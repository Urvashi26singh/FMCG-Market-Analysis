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6.xml" ContentType="application/vnd.openxmlformats-officedocument.spreadsheetml.pivotTable+xml"/>
  <Override PartName="/xl/tables/table4.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10" yWindow="570" windowWidth="14055" windowHeight="6090" firstSheet="5" activeTab="11"/>
  </bookViews>
  <sheets>
    <sheet name="Pivot_Region" sheetId="3" r:id="rId1"/>
    <sheet name="Pivot_Category" sheetId="4" r:id="rId2"/>
    <sheet name="Category_Profit" sheetId="5" r:id="rId3"/>
    <sheet name="Pivot_Product" sheetId="6" r:id="rId4"/>
    <sheet name="Pivot_Monthly" sheetId="7" r:id="rId5"/>
    <sheet name="FMCG_Data" sheetId="1" r:id="rId6"/>
    <sheet name="Sheet1" sheetId="11" r:id="rId7"/>
    <sheet name="Sheet2" sheetId="12" r:id="rId8"/>
    <sheet name="Sheet3" sheetId="13" r:id="rId9"/>
    <sheet name="KPI_Analysis" sheetId="2" r:id="rId10"/>
    <sheet name="Growth_Strategy" sheetId="9" r:id="rId11"/>
    <sheet name="dash" sheetId="10" r:id="rId12"/>
    <sheet name="Sheet4" sheetId="14" r:id="rId13"/>
  </sheets>
  <definedNames>
    <definedName name="_xlnm._FilterDatabase" localSheetId="5" hidden="1">FMCG_Data!$A$1:$T$501</definedName>
    <definedName name="Slicer_Category1">#N/A</definedName>
    <definedName name="Slicer_Region1">#N/A</definedName>
    <definedName name="Slicer_Year1">#N/A</definedName>
  </definedNames>
  <calcPr calcId="144525"/>
  <pivotCaches>
    <pivotCache cacheId="4"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3" i="2" l="1"/>
  <c r="M16" i="10" s="1"/>
  <c r="E13" i="2"/>
  <c r="I16" i="10" s="1"/>
  <c r="E16" i="10"/>
  <c r="A16" i="10"/>
  <c r="B7" i="2" l="1"/>
  <c r="B6" i="2"/>
  <c r="B5" i="2"/>
  <c r="B4" i="2"/>
  <c r="B3" i="2"/>
  <c r="B8" i="2" l="1"/>
  <c r="B9" i="2"/>
</calcChain>
</file>

<file path=xl/sharedStrings.xml><?xml version="1.0" encoding="utf-8"?>
<sst xmlns="http://schemas.openxmlformats.org/spreadsheetml/2006/main" count="18226" uniqueCount="156">
  <si>
    <t>Order_ID</t>
  </si>
  <si>
    <t>Order_Date</t>
  </si>
  <si>
    <t>Year</t>
  </si>
  <si>
    <t>Quarter</t>
  </si>
  <si>
    <t>Month</t>
  </si>
  <si>
    <t>Month_Name</t>
  </si>
  <si>
    <t>Region</t>
  </si>
  <si>
    <t>Country</t>
  </si>
  <si>
    <t>City</t>
  </si>
  <si>
    <t>Sales_Person</t>
  </si>
  <si>
    <t>Category</t>
  </si>
  <si>
    <t>Product</t>
  </si>
  <si>
    <t>Quantity</t>
  </si>
  <si>
    <t>Unit_Price</t>
  </si>
  <si>
    <t>Sales</t>
  </si>
  <si>
    <t>Cost</t>
  </si>
  <si>
    <t>Profit</t>
  </si>
  <si>
    <t>Discount</t>
  </si>
  <si>
    <t>Customer_Segment</t>
  </si>
  <si>
    <t>Marketing_Spend</t>
  </si>
  <si>
    <t>Q2</t>
  </si>
  <si>
    <t>May</t>
  </si>
  <si>
    <t>West</t>
  </si>
  <si>
    <t>India</t>
  </si>
  <si>
    <t>Ahmedabad</t>
  </si>
  <si>
    <t>Rahul</t>
  </si>
  <si>
    <t>Household</t>
  </si>
  <si>
    <t>Detergent</t>
  </si>
  <si>
    <t>Wholesale</t>
  </si>
  <si>
    <t>East</t>
  </si>
  <si>
    <t>Patna</t>
  </si>
  <si>
    <t>Simran</t>
  </si>
  <si>
    <t>Beverages</t>
  </si>
  <si>
    <t>Soft Drink</t>
  </si>
  <si>
    <t>April</t>
  </si>
  <si>
    <t>South</t>
  </si>
  <si>
    <t>Bengaluru</t>
  </si>
  <si>
    <t>Fruit Juice</t>
  </si>
  <si>
    <t>General Trade</t>
  </si>
  <si>
    <t>Q3</t>
  </si>
  <si>
    <t>September</t>
  </si>
  <si>
    <t>Pune</t>
  </si>
  <si>
    <t>Aarav</t>
  </si>
  <si>
    <t>Q4</t>
  </si>
  <si>
    <t>October</t>
  </si>
  <si>
    <t>North</t>
  </si>
  <si>
    <t>Delhi</t>
  </si>
  <si>
    <t>Tea</t>
  </si>
  <si>
    <t>June</t>
  </si>
  <si>
    <t>Ranchi</t>
  </si>
  <si>
    <t>Neha</t>
  </si>
  <si>
    <t>Snacks</t>
  </si>
  <si>
    <t>Namkeen</t>
  </si>
  <si>
    <t>Hyderabad</t>
  </si>
  <si>
    <t>Rohan</t>
  </si>
  <si>
    <t>Dairy</t>
  </si>
  <si>
    <t>Cheese</t>
  </si>
  <si>
    <t>Online</t>
  </si>
  <si>
    <t>August</t>
  </si>
  <si>
    <t>Personal Care</t>
  </si>
  <si>
    <t>Bath Soap</t>
  </si>
  <si>
    <t>Amit</t>
  </si>
  <si>
    <t>Lucknow</t>
  </si>
  <si>
    <t>Q1</t>
  </si>
  <si>
    <t>March</t>
  </si>
  <si>
    <t>Surat</t>
  </si>
  <si>
    <t>Kavya</t>
  </si>
  <si>
    <t>Toothpaste</t>
  </si>
  <si>
    <t>Priya</t>
  </si>
  <si>
    <t>Floor Cleaner</t>
  </si>
  <si>
    <t>Modern Trade</t>
  </si>
  <si>
    <t>Mumbai</t>
  </si>
  <si>
    <t>Cookies</t>
  </si>
  <si>
    <t>Kolkata</t>
  </si>
  <si>
    <t>Mineral Water</t>
  </si>
  <si>
    <t>July</t>
  </si>
  <si>
    <t>Biscuits</t>
  </si>
  <si>
    <t>Chennai</t>
  </si>
  <si>
    <t>Dishwash Liquid</t>
  </si>
  <si>
    <t>January</t>
  </si>
  <si>
    <t>Kochi</t>
  </si>
  <si>
    <t>February</t>
  </si>
  <si>
    <t>Toilet Cleaner</t>
  </si>
  <si>
    <t>December</t>
  </si>
  <si>
    <t>Curd</t>
  </si>
  <si>
    <t>Bhubaneswar</t>
  </si>
  <si>
    <t>Shampoo</t>
  </si>
  <si>
    <t>November</t>
  </si>
  <si>
    <t>Noida</t>
  </si>
  <si>
    <t>Butter</t>
  </si>
  <si>
    <t>Jaipur</t>
  </si>
  <si>
    <t>Face Wash</t>
  </si>
  <si>
    <t>Potato Chips</t>
  </si>
  <si>
    <t>Milk</t>
  </si>
  <si>
    <t>KPI</t>
  </si>
  <si>
    <t>Value</t>
  </si>
  <si>
    <t>Total Sales</t>
  </si>
  <si>
    <t>Total Cost</t>
  </si>
  <si>
    <t>Total Profit</t>
  </si>
  <si>
    <t>Total Quantity</t>
  </si>
  <si>
    <t>Total Orders</t>
  </si>
  <si>
    <t>Average Order Value</t>
  </si>
  <si>
    <t>Profit Margin</t>
  </si>
  <si>
    <t>Row Labels</t>
  </si>
  <si>
    <t>Grand Total</t>
  </si>
  <si>
    <t>Sum of Sales</t>
  </si>
  <si>
    <t>Sum of Profit</t>
  </si>
  <si>
    <t>FMCG MARKET ANALYSIS &amp; GROWTH STRATEGY</t>
  </si>
  <si>
    <t>Area</t>
  </si>
  <si>
    <t>Data Finding</t>
  </si>
  <si>
    <t>Insight</t>
  </si>
  <si>
    <t>Growth Strategy</t>
  </si>
  <si>
    <t>Priority</t>
  </si>
  <si>
    <t>High</t>
  </si>
  <si>
    <t>Medium</t>
  </si>
  <si>
    <t>Overall</t>
  </si>
  <si>
    <t>South – ₹10.69L sales</t>
  </si>
  <si>
    <t>Strongest market</t>
  </si>
  <si>
    <t>Increase distribution &amp; marketing</t>
  </si>
  <si>
    <t>Personal Care – ₹8.62L sales</t>
  </si>
  <si>
    <t>Highest sales &amp; profit</t>
  </si>
  <si>
    <t>Increase promotion</t>
  </si>
  <si>
    <t>Snacks – 39.72% margin</t>
  </si>
  <si>
    <t>High margin, low sales</t>
  </si>
  <si>
    <t>Expand promotion</t>
  </si>
  <si>
    <t>Dairy – 24.65% margin</t>
  </si>
  <si>
    <t>Lowest margin</t>
  </si>
  <si>
    <t>Review costs/pricing</t>
  </si>
  <si>
    <t>East – ₹8.45L sales</t>
  </si>
  <si>
    <t>Lowest sales</t>
  </si>
  <si>
    <t>Investigate demand</t>
  </si>
  <si>
    <t>34.89% margin</t>
  </si>
  <si>
    <t>Healthy profitability</t>
  </si>
  <si>
    <t>Focus on high-margin products</t>
  </si>
  <si>
    <t>Strategy</t>
  </si>
  <si>
    <t>Expected Impact</t>
  </si>
  <si>
    <t>Expand South</t>
  </si>
  <si>
    <t>Increase regional revenue</t>
  </si>
  <si>
    <t>Promote Personal Care</t>
  </si>
  <si>
    <t>Increase sales &amp; profit</t>
  </si>
  <si>
    <t>Expand Snacks</t>
  </si>
  <si>
    <t>Increase revenue while maintaining margins</t>
  </si>
  <si>
    <t>Optimize Dairy</t>
  </si>
  <si>
    <t>Improve profitability</t>
  </si>
  <si>
    <t>Investigate East</t>
  </si>
  <si>
    <t>Identify growth opportunities</t>
  </si>
  <si>
    <t>Interactive Sales, Profitability &amp; Growth Dashboard | 2023–2025</t>
  </si>
  <si>
    <t>Avg Order Value</t>
  </si>
  <si>
    <t>KEY BUSINESS INSIGHTS &amp; GROWTH STRATEGY</t>
  </si>
  <si>
    <t>• Expand South — highest regional sales (₹1,069,346).</t>
  </si>
  <si>
    <t>• Invest in Personal Care — highest category sales and profit.</t>
  </si>
  <si>
    <t>• Grow Snacks — highest profit margin (39.71%) with room to scale sales.</t>
  </si>
  <si>
    <t>• Optimize Dairy — lowest profit margin (24.65%).</t>
  </si>
  <si>
    <t>• Investigate East — lowest regional sales (₹845,173).</t>
  </si>
  <si>
    <t>Sum of Quantity</t>
  </si>
  <si>
    <t>Count of Order_ID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</si>
</sst>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
    <numFmt numFmtId="165" formatCode="&quot;₹&quot;\ #,##0.00"/>
    <numFmt numFmtId="166" formatCode="\₹#,##0"/>
  </numFmts>
  <fonts count="11" x14ac:knownFonts="1">
    <font>
      <sz val="11"/>
      <color theme="1"/>
      <name val="Calibri"/>
      <family val="2"/>
      <scheme val="minor"/>
    </font>
    <font>
      <b/>
      <sz val="11"/>
      <name val="Calibri"/>
      <family val="2"/>
    </font>
    <font>
      <b/>
      <sz val="11"/>
      <color rgb="FFFFFFFF"/>
      <name val="Calibri"/>
      <family val="2"/>
    </font>
    <font>
      <b/>
      <sz val="11"/>
      <color theme="1"/>
      <name val="Calibri"/>
      <family val="2"/>
      <scheme val="minor"/>
    </font>
    <font>
      <sz val="12"/>
      <color theme="1"/>
      <name val="Calibri"/>
      <family val="2"/>
      <scheme val="minor"/>
    </font>
    <font>
      <b/>
      <sz val="24"/>
      <color theme="0"/>
      <name val="Calibri"/>
      <family val="2"/>
      <scheme val="minor"/>
    </font>
    <font>
      <i/>
      <sz val="11"/>
      <color theme="1"/>
      <name val="Calibri"/>
      <family val="2"/>
      <scheme val="minor"/>
    </font>
    <font>
      <sz val="11"/>
      <color theme="1"/>
      <name val="Calibri"/>
      <family val="2"/>
      <scheme val="minor"/>
    </font>
    <font>
      <b/>
      <sz val="12"/>
      <color rgb="FFFFFFFF"/>
      <name val="Calibri"/>
      <family val="2"/>
    </font>
    <font>
      <sz val="10"/>
      <color rgb="FF1F2937"/>
      <name val="Calibri"/>
      <family val="2"/>
    </font>
    <font>
      <b/>
      <sz val="14"/>
      <color theme="0"/>
      <name val="Calibri"/>
      <family val="2"/>
      <scheme val="minor"/>
    </font>
  </fonts>
  <fills count="5">
    <fill>
      <patternFill patternType="none"/>
    </fill>
    <fill>
      <patternFill patternType="gray125"/>
    </fill>
    <fill>
      <patternFill patternType="solid">
        <fgColor rgb="FF1F4E78"/>
      </patternFill>
    </fill>
    <fill>
      <patternFill patternType="solid">
        <fgColor theme="3" tint="-0.249977111117893"/>
        <bgColor indexed="64"/>
      </patternFill>
    </fill>
    <fill>
      <patternFill patternType="solid">
        <fgColor theme="0" tint="-0.249977111117893"/>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7" fillId="0" borderId="0" applyFont="0" applyFill="0" applyBorder="0" applyAlignment="0" applyProtection="0"/>
  </cellStyleXfs>
  <cellXfs count="52">
    <xf numFmtId="0" fontId="0" fillId="0" borderId="0" xfId="0"/>
    <xf numFmtId="0" fontId="2" fillId="2" borderId="1" xfId="0" applyFont="1" applyFill="1" applyBorder="1" applyAlignment="1">
      <alignment horizontal="center"/>
    </xf>
    <xf numFmtId="164" fontId="0" fillId="0" borderId="0" xfId="0" applyNumberFormat="1"/>
    <xf numFmtId="9" fontId="0" fillId="0" borderId="0" xfId="0" applyNumberFormat="1"/>
    <xf numFmtId="0" fontId="1" fillId="0" borderId="1" xfId="0" applyFont="1" applyBorder="1" applyAlignment="1">
      <alignment horizontal="center" vertical="top"/>
    </xf>
    <xf numFmtId="14" fontId="2" fillId="2" borderId="1" xfId="0" applyNumberFormat="1" applyFont="1" applyFill="1" applyBorder="1" applyAlignment="1">
      <alignment horizontal="center"/>
    </xf>
    <xf numFmtId="14" fontId="0" fillId="0" borderId="0" xfId="0" applyNumberFormat="1"/>
    <xf numFmtId="0" fontId="2" fillId="2" borderId="1" xfId="0" applyNumberFormat="1" applyFont="1" applyFill="1" applyBorder="1" applyAlignment="1">
      <alignment horizontal="center"/>
    </xf>
    <xf numFmtId="0" fontId="0" fillId="0" borderId="0" xfId="0" applyNumberFormat="1"/>
    <xf numFmtId="165" fontId="2" fillId="2" borderId="1" xfId="0" applyNumberFormat="1" applyFont="1" applyFill="1" applyBorder="1" applyAlignment="1">
      <alignment horizontal="center"/>
    </xf>
    <xf numFmtId="165" fontId="0" fillId="0" borderId="0" xfId="0" applyNumberFormat="1"/>
    <xf numFmtId="0" fontId="3"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165"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0" borderId="14" xfId="0" applyBorder="1"/>
    <xf numFmtId="0" fontId="0" fillId="0" borderId="15" xfId="0" applyBorder="1"/>
    <xf numFmtId="0" fontId="0" fillId="0" borderId="0" xfId="0" applyAlignment="1">
      <alignment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0" fillId="0" borderId="8" xfId="0" applyBorder="1" applyAlignment="1">
      <alignment vertical="center" wrapText="1"/>
    </xf>
    <xf numFmtId="0" fontId="0" fillId="0" borderId="1" xfId="0" applyBorder="1" applyAlignment="1">
      <alignment vertical="center" wrapText="1"/>
    </xf>
    <xf numFmtId="0" fontId="0" fillId="0" borderId="9"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10" fontId="0" fillId="0" borderId="0" xfId="0" applyNumberFormat="1"/>
    <xf numFmtId="0" fontId="0" fillId="0" borderId="0" xfId="0" applyFill="1"/>
    <xf numFmtId="0" fontId="0" fillId="0" borderId="0" xfId="0" applyFill="1" applyBorder="1" applyAlignment="1">
      <alignment wrapText="1"/>
    </xf>
    <xf numFmtId="0" fontId="0" fillId="4" borderId="0" xfId="0" applyFill="1" applyBorder="1" applyAlignment="1">
      <alignment wrapText="1"/>
    </xf>
    <xf numFmtId="0" fontId="0" fillId="4" borderId="0" xfId="0" applyFill="1" applyBorder="1" applyAlignment="1">
      <alignment vertical="center" wrapText="1"/>
    </xf>
    <xf numFmtId="166" fontId="0" fillId="4" borderId="0" xfId="0" applyNumberFormat="1" applyFill="1" applyBorder="1" applyAlignment="1">
      <alignment vertical="center" wrapText="1"/>
    </xf>
    <xf numFmtId="165" fontId="4" fillId="0" borderId="4" xfId="0" applyNumberFormat="1" applyFont="1" applyFill="1" applyBorder="1" applyAlignment="1">
      <alignment horizontal="center" vertical="center"/>
    </xf>
    <xf numFmtId="165" fontId="4" fillId="0" borderId="5" xfId="0" applyNumberFormat="1" applyFont="1" applyFill="1" applyBorder="1" applyAlignment="1">
      <alignment horizontal="center" vertical="center"/>
    </xf>
    <xf numFmtId="165" fontId="4" fillId="0" borderId="6" xfId="0" applyNumberFormat="1" applyFont="1" applyFill="1" applyBorder="1" applyAlignment="1">
      <alignment horizontal="center" vertical="center"/>
    </xf>
    <xf numFmtId="165" fontId="4" fillId="0" borderId="7" xfId="0" applyNumberFormat="1" applyFont="1" applyFill="1" applyBorder="1" applyAlignment="1">
      <alignment horizontal="center" vertical="center"/>
    </xf>
    <xf numFmtId="9" fontId="4" fillId="0" borderId="4" xfId="1" applyNumberFormat="1" applyFont="1" applyFill="1" applyBorder="1" applyAlignment="1">
      <alignment horizontal="center" vertical="center"/>
    </xf>
    <xf numFmtId="9" fontId="4" fillId="0" borderId="5" xfId="1" applyNumberFormat="1" applyFont="1" applyFill="1" applyBorder="1" applyAlignment="1">
      <alignment horizontal="center" vertical="center"/>
    </xf>
    <xf numFmtId="9" fontId="4" fillId="0" borderId="6" xfId="1" applyNumberFormat="1" applyFont="1" applyFill="1" applyBorder="1" applyAlignment="1">
      <alignment horizontal="center" vertical="center"/>
    </xf>
    <xf numFmtId="9" fontId="4" fillId="0" borderId="7" xfId="1" applyNumberFormat="1" applyFont="1" applyFill="1" applyBorder="1" applyAlignment="1">
      <alignment horizontal="center" vertical="center"/>
    </xf>
    <xf numFmtId="0" fontId="5" fillId="3" borderId="0" xfId="0" applyFont="1" applyFill="1" applyAlignment="1">
      <alignment horizontal="center" vertical="center"/>
    </xf>
    <xf numFmtId="0" fontId="6" fillId="0" borderId="0" xfId="0" applyFont="1" applyFill="1" applyAlignment="1">
      <alignment horizontal="center"/>
    </xf>
    <xf numFmtId="0" fontId="10" fillId="3" borderId="2" xfId="0" applyFont="1" applyFill="1" applyBorder="1" applyAlignment="1">
      <alignment horizontal="center" vertical="top"/>
    </xf>
    <xf numFmtId="0" fontId="10" fillId="3" borderId="3" xfId="0" applyFont="1" applyFill="1" applyBorder="1" applyAlignment="1">
      <alignment horizontal="center" vertical="top"/>
    </xf>
    <xf numFmtId="0" fontId="9" fillId="4" borderId="0" xfId="0" applyFont="1" applyFill="1" applyBorder="1" applyAlignment="1">
      <alignment vertical="center" wrapText="1"/>
    </xf>
    <xf numFmtId="0" fontId="0" fillId="4" borderId="0" xfId="0" applyFill="1" applyBorder="1" applyAlignment="1">
      <alignment wrapText="1"/>
    </xf>
    <xf numFmtId="0" fontId="8" fillId="3" borderId="0" xfId="0" applyFont="1" applyFill="1" applyBorder="1" applyAlignment="1">
      <alignment horizontal="left" wrapText="1"/>
    </xf>
    <xf numFmtId="0" fontId="0" fillId="3" borderId="0" xfId="0" applyFill="1" applyBorder="1" applyAlignment="1">
      <alignment wrapText="1"/>
    </xf>
  </cellXfs>
  <cellStyles count="2">
    <cellStyle name="Normal" xfId="0" builtinId="0"/>
    <cellStyle name="Percent" xfId="1" builtinId="5"/>
  </cellStyles>
  <dxfs count="27">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9" formatCode="dd/mm/yyyy"/>
    </dxf>
    <dxf>
      <numFmt numFmtId="19" formatCode="dd/mm/yyyy"/>
    </dxf>
    <dxf>
      <numFmt numFmtId="19" formatCode="dd/mm/yyyy"/>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[FMCG.xlsx]Pivot_Region!PivotTable1</c:name>
    <c:fmtId val="0"/>
  </c:pivotSource>
  <c:chart>
    <c:title>
      <c:tx>
        <c:rich>
          <a:bodyPr/>
          <a:lstStyle/>
          <a:p>
            <a:pPr>
              <a:defRPr/>
            </a:pPr>
            <a:r>
              <a:rPr lang="en-IN"/>
              <a:t>Sales</a:t>
            </a:r>
            <a:r>
              <a:rPr lang="en-IN" baseline="0"/>
              <a:t> By Region</a:t>
            </a:r>
            <a:endParaRPr lang="en-IN"/>
          </a:p>
        </c:rich>
      </c:tx>
      <c:overlay val="0"/>
    </c:title>
    <c:autoTitleDeleted val="0"/>
    <c:pivotFmts>
      <c:pivotFmt>
        <c:idx val="0"/>
        <c:marker>
          <c:symbol val="none"/>
        </c:marker>
      </c:pivotFmt>
    </c:pivotFmts>
    <c:plotArea>
      <c:layout/>
      <c:barChart>
        <c:barDir val="col"/>
        <c:grouping val="clustered"/>
        <c:varyColors val="0"/>
        <c:ser>
          <c:idx val="0"/>
          <c:order val="0"/>
          <c:tx>
            <c:strRef>
              <c:f>Pivot_Region!$B$3</c:f>
              <c:strCache>
                <c:ptCount val="1"/>
                <c:pt idx="0">
                  <c:v>Total</c:v>
                </c:pt>
              </c:strCache>
            </c:strRef>
          </c:tx>
          <c:invertIfNegative val="0"/>
          <c:cat>
            <c:strRef>
              <c:f>Pivot_Region!$A$4:$A$8</c:f>
              <c:strCache>
                <c:ptCount val="4"/>
                <c:pt idx="0">
                  <c:v>East</c:v>
                </c:pt>
                <c:pt idx="1">
                  <c:v>North</c:v>
                </c:pt>
                <c:pt idx="2">
                  <c:v>South</c:v>
                </c:pt>
                <c:pt idx="3">
                  <c:v>West</c:v>
                </c:pt>
              </c:strCache>
            </c:strRef>
          </c:cat>
          <c:val>
            <c:numRef>
              <c:f>Pivot_Region!$B$4:$B$8</c:f>
              <c:numCache>
                <c:formatCode>"₹"\ #,##0.00</c:formatCode>
                <c:ptCount val="4"/>
                <c:pt idx="0">
                  <c:v>845173.3</c:v>
                </c:pt>
                <c:pt idx="1">
                  <c:v>959781.8</c:v>
                </c:pt>
                <c:pt idx="2">
                  <c:v>1069345.6499999999</c:v>
                </c:pt>
                <c:pt idx="3">
                  <c:v>903900.70000000007</c:v>
                </c:pt>
              </c:numCache>
            </c:numRef>
          </c:val>
        </c:ser>
        <c:dLbls>
          <c:showLegendKey val="0"/>
          <c:showVal val="0"/>
          <c:showCatName val="0"/>
          <c:showSerName val="0"/>
          <c:showPercent val="0"/>
          <c:showBubbleSize val="0"/>
        </c:dLbls>
        <c:gapWidth val="150"/>
        <c:axId val="43827968"/>
        <c:axId val="43829888"/>
      </c:barChart>
      <c:catAx>
        <c:axId val="43827968"/>
        <c:scaling>
          <c:orientation val="minMax"/>
        </c:scaling>
        <c:delete val="0"/>
        <c:axPos val="b"/>
        <c:majorTickMark val="out"/>
        <c:minorTickMark val="none"/>
        <c:tickLblPos val="nextTo"/>
        <c:crossAx val="43829888"/>
        <c:crosses val="autoZero"/>
        <c:auto val="1"/>
        <c:lblAlgn val="ctr"/>
        <c:lblOffset val="100"/>
        <c:noMultiLvlLbl val="0"/>
      </c:catAx>
      <c:valAx>
        <c:axId val="43829888"/>
        <c:scaling>
          <c:orientation val="minMax"/>
        </c:scaling>
        <c:delete val="0"/>
        <c:axPos val="l"/>
        <c:majorGridlines/>
        <c:numFmt formatCode="&quot;₹&quot;\ #,##0.00" sourceLinked="1"/>
        <c:majorTickMark val="out"/>
        <c:minorTickMark val="none"/>
        <c:tickLblPos val="nextTo"/>
        <c:crossAx val="438279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[FMCG.xlsx]Pivot_Category!PivotTable2</c:name>
    <c:fmtId val="0"/>
  </c:pivotSource>
  <c:chart>
    <c:title>
      <c:tx>
        <c:rich>
          <a:bodyPr/>
          <a:lstStyle/>
          <a:p>
            <a:pPr>
              <a:defRPr/>
            </a:pPr>
            <a:r>
              <a:rPr lang="en-IN"/>
              <a:t>Sales</a:t>
            </a:r>
            <a:r>
              <a:rPr lang="en-IN" baseline="0"/>
              <a:t> By Category</a:t>
            </a:r>
            <a:endParaRPr lang="en-IN"/>
          </a:p>
        </c:rich>
      </c:tx>
      <c:overlay val="0"/>
    </c:title>
    <c:autoTitleDeleted val="0"/>
    <c:pivotFmts>
      <c:pivotFmt>
        <c:idx val="0"/>
        <c:marker>
          <c:symbol val="none"/>
        </c:marker>
      </c:pivotFmt>
    </c:pivotFmts>
    <c:plotArea>
      <c:layout/>
      <c:barChart>
        <c:barDir val="col"/>
        <c:grouping val="stacked"/>
        <c:varyColors val="0"/>
        <c:ser>
          <c:idx val="0"/>
          <c:order val="0"/>
          <c:tx>
            <c:strRef>
              <c:f>Pivot_Category!$B$3</c:f>
              <c:strCache>
                <c:ptCount val="1"/>
                <c:pt idx="0">
                  <c:v>Total</c:v>
                </c:pt>
              </c:strCache>
            </c:strRef>
          </c:tx>
          <c:invertIfNegative val="0"/>
          <c:cat>
            <c:strRef>
              <c:f>Pivot_Category!$A$4:$A$9</c:f>
              <c:strCache>
                <c:ptCount val="5"/>
                <c:pt idx="0">
                  <c:v>Beverages</c:v>
                </c:pt>
                <c:pt idx="1">
                  <c:v>Dairy</c:v>
                </c:pt>
                <c:pt idx="2">
                  <c:v>Household</c:v>
                </c:pt>
                <c:pt idx="3">
                  <c:v>Personal Care</c:v>
                </c:pt>
                <c:pt idx="4">
                  <c:v>Snacks</c:v>
                </c:pt>
              </c:strCache>
            </c:strRef>
          </c:cat>
          <c:val>
            <c:numRef>
              <c:f>Pivot_Category!$B$4:$B$9</c:f>
              <c:numCache>
                <c:formatCode>"₹"\ #,##0.00</c:formatCode>
                <c:ptCount val="5"/>
                <c:pt idx="0">
                  <c:v>822183.25000000012</c:v>
                </c:pt>
                <c:pt idx="1">
                  <c:v>712103.99999999988</c:v>
                </c:pt>
                <c:pt idx="2">
                  <c:v>729375.40000000014</c:v>
                </c:pt>
                <c:pt idx="3">
                  <c:v>861891.15</c:v>
                </c:pt>
                <c:pt idx="4">
                  <c:v>652647.65</c:v>
                </c:pt>
              </c:numCache>
            </c:numRef>
          </c:val>
        </c:ser>
        <c:dLbls>
          <c:showLegendKey val="0"/>
          <c:showVal val="0"/>
          <c:showCatName val="0"/>
          <c:showSerName val="0"/>
          <c:showPercent val="0"/>
          <c:showBubbleSize val="0"/>
        </c:dLbls>
        <c:gapWidth val="150"/>
        <c:overlap val="100"/>
        <c:axId val="45668608"/>
        <c:axId val="47284608"/>
      </c:barChart>
      <c:catAx>
        <c:axId val="45668608"/>
        <c:scaling>
          <c:orientation val="minMax"/>
        </c:scaling>
        <c:delete val="0"/>
        <c:axPos val="b"/>
        <c:majorTickMark val="out"/>
        <c:minorTickMark val="none"/>
        <c:tickLblPos val="nextTo"/>
        <c:crossAx val="47284608"/>
        <c:crosses val="autoZero"/>
        <c:auto val="1"/>
        <c:lblAlgn val="ctr"/>
        <c:lblOffset val="100"/>
        <c:noMultiLvlLbl val="0"/>
      </c:catAx>
      <c:valAx>
        <c:axId val="47284608"/>
        <c:scaling>
          <c:orientation val="minMax"/>
        </c:scaling>
        <c:delete val="0"/>
        <c:axPos val="l"/>
        <c:majorGridlines/>
        <c:numFmt formatCode="&quot;₹&quot;\ #,##0.00" sourceLinked="1"/>
        <c:majorTickMark val="out"/>
        <c:minorTickMark val="none"/>
        <c:tickLblPos val="nextTo"/>
        <c:crossAx val="456686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[FMCG.xlsx]Pivot_Product!PivotTable4</c:name>
    <c:fmtId val="0"/>
  </c:pivotSource>
  <c:chart>
    <c:title>
      <c:tx>
        <c:rich>
          <a:bodyPr/>
          <a:lstStyle/>
          <a:p>
            <a:pPr>
              <a:defRPr/>
            </a:pPr>
            <a:r>
              <a:rPr lang="en-IN" sz="1800" b="1" i="0" u="none" strike="noStrike" baseline="0"/>
              <a:t>Top 5 FMCG Products by Sales</a:t>
            </a:r>
          </a:p>
          <a:p>
            <a:pPr>
              <a:defRPr/>
            </a:pPr>
            <a:endParaRPr lang="en-IN"/>
          </a:p>
        </c:rich>
      </c:tx>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36337839020122487"/>
          <c:y val="0.38763670166229219"/>
          <c:w val="0.3658097112860893"/>
          <c:h val="0.49638342082239723"/>
        </c:manualLayout>
      </c:layout>
      <c:barChart>
        <c:barDir val="bar"/>
        <c:grouping val="stacked"/>
        <c:varyColors val="0"/>
        <c:ser>
          <c:idx val="0"/>
          <c:order val="0"/>
          <c:tx>
            <c:strRef>
              <c:f>Pivot_Product!$B$3</c:f>
              <c:strCache>
                <c:ptCount val="1"/>
                <c:pt idx="0">
                  <c:v>Sum of Sales</c:v>
                </c:pt>
              </c:strCache>
            </c:strRef>
          </c:tx>
          <c:invertIfNegative val="0"/>
          <c:cat>
            <c:strRef>
              <c:f>Pivot_Product!$A$4:$A$9</c:f>
              <c:strCache>
                <c:ptCount val="5"/>
                <c:pt idx="0">
                  <c:v>Cheese</c:v>
                </c:pt>
                <c:pt idx="1">
                  <c:v>Floor Cleaner</c:v>
                </c:pt>
                <c:pt idx="2">
                  <c:v>Fruit Juice</c:v>
                </c:pt>
                <c:pt idx="3">
                  <c:v>Shampoo</c:v>
                </c:pt>
                <c:pt idx="4">
                  <c:v>Tea</c:v>
                </c:pt>
              </c:strCache>
            </c:strRef>
          </c:cat>
          <c:val>
            <c:numRef>
              <c:f>Pivot_Product!$B$4:$B$9</c:f>
              <c:numCache>
                <c:formatCode>"₹"\ #,##0.00</c:formatCode>
                <c:ptCount val="5"/>
                <c:pt idx="0">
                  <c:v>360627.19999999995</c:v>
                </c:pt>
                <c:pt idx="1">
                  <c:v>286885.3</c:v>
                </c:pt>
                <c:pt idx="2">
                  <c:v>253147.19999999998</c:v>
                </c:pt>
                <c:pt idx="3">
                  <c:v>311720</c:v>
                </c:pt>
                <c:pt idx="4">
                  <c:v>399247.2</c:v>
                </c:pt>
              </c:numCache>
            </c:numRef>
          </c:val>
        </c:ser>
        <c:ser>
          <c:idx val="1"/>
          <c:order val="1"/>
          <c:tx>
            <c:strRef>
              <c:f>Pivot_Product!$C$3</c:f>
              <c:strCache>
                <c:ptCount val="1"/>
                <c:pt idx="0">
                  <c:v>Sum of Profit</c:v>
                </c:pt>
              </c:strCache>
            </c:strRef>
          </c:tx>
          <c:invertIfNegative val="0"/>
          <c:cat>
            <c:strRef>
              <c:f>Pivot_Product!$A$4:$A$9</c:f>
              <c:strCache>
                <c:ptCount val="5"/>
                <c:pt idx="0">
                  <c:v>Cheese</c:v>
                </c:pt>
                <c:pt idx="1">
                  <c:v>Floor Cleaner</c:v>
                </c:pt>
                <c:pt idx="2">
                  <c:v>Fruit Juice</c:v>
                </c:pt>
                <c:pt idx="3">
                  <c:v>Shampoo</c:v>
                </c:pt>
                <c:pt idx="4">
                  <c:v>Tea</c:v>
                </c:pt>
              </c:strCache>
            </c:strRef>
          </c:cat>
          <c:val>
            <c:numRef>
              <c:f>Pivot_Product!$C$4:$C$9</c:f>
              <c:numCache>
                <c:formatCode>General</c:formatCode>
                <c:ptCount val="5"/>
                <c:pt idx="0">
                  <c:v>85677.200000000012</c:v>
                </c:pt>
                <c:pt idx="1">
                  <c:v>112085.3</c:v>
                </c:pt>
                <c:pt idx="2">
                  <c:v>81079.199999999997</c:v>
                </c:pt>
                <c:pt idx="3">
                  <c:v>120580</c:v>
                </c:pt>
                <c:pt idx="4">
                  <c:v>130492.20000000001</c:v>
                </c:pt>
              </c:numCache>
            </c:numRef>
          </c:val>
        </c:ser>
        <c:dLbls>
          <c:showLegendKey val="0"/>
          <c:showVal val="0"/>
          <c:showCatName val="0"/>
          <c:showSerName val="0"/>
          <c:showPercent val="0"/>
          <c:showBubbleSize val="0"/>
        </c:dLbls>
        <c:gapWidth val="150"/>
        <c:overlap val="100"/>
        <c:axId val="145413248"/>
        <c:axId val="145447936"/>
      </c:barChart>
      <c:catAx>
        <c:axId val="145413248"/>
        <c:scaling>
          <c:orientation val="minMax"/>
        </c:scaling>
        <c:delete val="0"/>
        <c:axPos val="l"/>
        <c:majorTickMark val="out"/>
        <c:minorTickMark val="none"/>
        <c:tickLblPos val="nextTo"/>
        <c:crossAx val="145447936"/>
        <c:crosses val="autoZero"/>
        <c:auto val="1"/>
        <c:lblAlgn val="ctr"/>
        <c:lblOffset val="100"/>
        <c:noMultiLvlLbl val="0"/>
      </c:catAx>
      <c:valAx>
        <c:axId val="145447936"/>
        <c:scaling>
          <c:orientation val="minMax"/>
        </c:scaling>
        <c:delete val="0"/>
        <c:axPos val="b"/>
        <c:majorGridlines/>
        <c:numFmt formatCode="&quot;₹&quot;\ #,##0.00" sourceLinked="1"/>
        <c:majorTickMark val="out"/>
        <c:minorTickMark val="none"/>
        <c:tickLblPos val="nextTo"/>
        <c:crossAx val="145413248"/>
        <c:crosses val="autoZero"/>
        <c:crossBetween val="between"/>
      </c:valAx>
      <c:spPr>
        <a:noFill/>
        <a:ln w="25400">
          <a:noFill/>
        </a:ln>
      </c:spPr>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[FMCG.xlsx]Pivot_Monthly!PivotTable5</c:name>
    <c:fmtId val="0"/>
  </c:pivotSource>
  <c:chart>
    <c:title>
      <c:tx>
        <c:rich>
          <a:bodyPr/>
          <a:lstStyle/>
          <a:p>
            <a:pPr>
              <a:defRPr/>
            </a:pPr>
            <a:r>
              <a:rPr lang="en-IN" sz="1800" b="1" i="0" u="none" strike="noStrike" baseline="0"/>
              <a:t>Monthly FMCG Sales Trend</a:t>
            </a:r>
          </a:p>
          <a:p>
            <a:pPr>
              <a:defRPr/>
            </a:pPr>
            <a:r>
              <a:rPr lang="en-IN" sz="1800" b="1" i="0" u="none" strike="noStrike" baseline="0"/>
              <a:t> (2023–2025)</a:t>
            </a:r>
            <a:endParaRPr lang="en-US"/>
          </a:p>
        </c:rich>
      </c:tx>
      <c:layout>
        <c:manualLayout>
          <c:xMode val="edge"/>
          <c:yMode val="edge"/>
          <c:x val="0.21190266841644795"/>
          <c:y val="4.9905220180810735E-2"/>
        </c:manualLayout>
      </c:layout>
      <c:overlay val="0"/>
    </c:title>
    <c:autoTitleDeleted val="0"/>
    <c:pivotFmts>
      <c:pivotFmt>
        <c:idx val="0"/>
        <c:marker>
          <c:symbol val="none"/>
        </c:marker>
      </c:pivotFmt>
    </c:pivotFmts>
    <c:plotArea>
      <c:layout/>
      <c:lineChart>
        <c:grouping val="standard"/>
        <c:varyColors val="0"/>
        <c:ser>
          <c:idx val="0"/>
          <c:order val="0"/>
          <c:tx>
            <c:strRef>
              <c:f>Pivot_Monthly!$B$3</c:f>
              <c:strCache>
                <c:ptCount val="1"/>
                <c:pt idx="0">
                  <c:v>Total</c:v>
                </c:pt>
              </c:strCache>
            </c:strRef>
          </c:tx>
          <c:marker>
            <c:symbol val="none"/>
          </c:marker>
          <c:cat>
            <c:multiLvlStrRef>
              <c:f>Pivot_Monthly!$A$4:$A$43</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Pivot_Monthly!$B$4:$B$43</c:f>
              <c:numCache>
                <c:formatCode>"₹"\ #,##0.00</c:formatCode>
                <c:ptCount val="36"/>
                <c:pt idx="0">
                  <c:v>142474.25</c:v>
                </c:pt>
                <c:pt idx="1">
                  <c:v>110721.69999999998</c:v>
                </c:pt>
                <c:pt idx="2">
                  <c:v>44210.3</c:v>
                </c:pt>
                <c:pt idx="3">
                  <c:v>107928.7</c:v>
                </c:pt>
                <c:pt idx="4">
                  <c:v>147447.70000000001</c:v>
                </c:pt>
                <c:pt idx="5">
                  <c:v>52648.4</c:v>
                </c:pt>
                <c:pt idx="6">
                  <c:v>85791</c:v>
                </c:pt>
                <c:pt idx="7">
                  <c:v>129993.75</c:v>
                </c:pt>
                <c:pt idx="8">
                  <c:v>63220.15</c:v>
                </c:pt>
                <c:pt idx="9">
                  <c:v>48004.049999999996</c:v>
                </c:pt>
                <c:pt idx="10">
                  <c:v>78389.649999999994</c:v>
                </c:pt>
                <c:pt idx="11">
                  <c:v>126709.15</c:v>
                </c:pt>
                <c:pt idx="12">
                  <c:v>88030.7</c:v>
                </c:pt>
                <c:pt idx="13">
                  <c:v>94188.349999999991</c:v>
                </c:pt>
                <c:pt idx="14">
                  <c:v>107308.15</c:v>
                </c:pt>
                <c:pt idx="15">
                  <c:v>150195.79999999999</c:v>
                </c:pt>
                <c:pt idx="16">
                  <c:v>60806.700000000004</c:v>
                </c:pt>
                <c:pt idx="17">
                  <c:v>107932.59999999999</c:v>
                </c:pt>
                <c:pt idx="18">
                  <c:v>91855.6</c:v>
                </c:pt>
                <c:pt idx="19">
                  <c:v>81560.800000000003</c:v>
                </c:pt>
                <c:pt idx="20">
                  <c:v>111354.2</c:v>
                </c:pt>
                <c:pt idx="21">
                  <c:v>194234.7</c:v>
                </c:pt>
                <c:pt idx="22">
                  <c:v>131324.6</c:v>
                </c:pt>
                <c:pt idx="23">
                  <c:v>108781.79999999999</c:v>
                </c:pt>
                <c:pt idx="24">
                  <c:v>65751.95</c:v>
                </c:pt>
                <c:pt idx="25">
                  <c:v>48939.649999999994</c:v>
                </c:pt>
                <c:pt idx="26">
                  <c:v>91923.9</c:v>
                </c:pt>
                <c:pt idx="27">
                  <c:v>106446.59999999999</c:v>
                </c:pt>
                <c:pt idx="28">
                  <c:v>100268</c:v>
                </c:pt>
                <c:pt idx="29">
                  <c:v>94480.4</c:v>
                </c:pt>
                <c:pt idx="30">
                  <c:v>144770.6</c:v>
                </c:pt>
                <c:pt idx="31">
                  <c:v>224791.75</c:v>
                </c:pt>
                <c:pt idx="32">
                  <c:v>178966.04999999996</c:v>
                </c:pt>
                <c:pt idx="33">
                  <c:v>153568.04999999999</c:v>
                </c:pt>
                <c:pt idx="34">
                  <c:v>33509.699999999997</c:v>
                </c:pt>
                <c:pt idx="35">
                  <c:v>69672</c:v>
                </c:pt>
              </c:numCache>
            </c:numRef>
          </c:val>
          <c:smooth val="0"/>
        </c:ser>
        <c:dLbls>
          <c:showLegendKey val="0"/>
          <c:showVal val="0"/>
          <c:showCatName val="0"/>
          <c:showSerName val="0"/>
          <c:showPercent val="0"/>
          <c:showBubbleSize val="0"/>
        </c:dLbls>
        <c:marker val="1"/>
        <c:smooth val="0"/>
        <c:axId val="145644544"/>
        <c:axId val="145654912"/>
      </c:lineChart>
      <c:catAx>
        <c:axId val="145644544"/>
        <c:scaling>
          <c:orientation val="minMax"/>
        </c:scaling>
        <c:delete val="0"/>
        <c:axPos val="b"/>
        <c:majorTickMark val="none"/>
        <c:minorTickMark val="none"/>
        <c:tickLblPos val="nextTo"/>
        <c:crossAx val="145654912"/>
        <c:crosses val="autoZero"/>
        <c:auto val="1"/>
        <c:lblAlgn val="ctr"/>
        <c:lblOffset val="100"/>
        <c:noMultiLvlLbl val="0"/>
      </c:catAx>
      <c:valAx>
        <c:axId val="145654912"/>
        <c:scaling>
          <c:orientation val="minMax"/>
        </c:scaling>
        <c:delete val="0"/>
        <c:axPos val="l"/>
        <c:majorGridlines/>
        <c:title>
          <c:overlay val="0"/>
        </c:title>
        <c:numFmt formatCode="&quot;₹&quot;\ #,##0.00" sourceLinked="1"/>
        <c:majorTickMark val="none"/>
        <c:minorTickMark val="none"/>
        <c:tickLblPos val="nextTo"/>
        <c:crossAx val="14564454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5"/>
    </mc:Choice>
    <mc:Fallback>
      <c:style val="15"/>
    </mc:Fallback>
  </mc:AlternateContent>
  <c:pivotSource>
    <c:name>[FMCG.xlsx]Pivot_Region!PivotTable1</c:name>
    <c:fmtId val="8"/>
  </c:pivotSource>
  <c:chart>
    <c:title>
      <c:tx>
        <c:rich>
          <a:bodyPr/>
          <a:lstStyle/>
          <a:p>
            <a:pPr>
              <a:defRPr>
                <a:solidFill>
                  <a:schemeClr val="tx2">
                    <a:lumMod val="50000"/>
                  </a:schemeClr>
                </a:solidFill>
              </a:defRPr>
            </a:pPr>
            <a:r>
              <a:rPr lang="en-IN">
                <a:solidFill>
                  <a:schemeClr val="tx2">
                    <a:lumMod val="50000"/>
                  </a:schemeClr>
                </a:solidFill>
              </a:rPr>
              <a:t>Sales By Region</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marker>
          <c:symbol val="none"/>
        </c:marker>
      </c:pivotFmt>
    </c:pivotFmts>
    <c:plotArea>
      <c:layout/>
      <c:barChart>
        <c:barDir val="col"/>
        <c:grouping val="clustered"/>
        <c:varyColors val="0"/>
        <c:ser>
          <c:idx val="0"/>
          <c:order val="0"/>
          <c:tx>
            <c:strRef>
              <c:f>Pivot_Region!$B$3</c:f>
              <c:strCache>
                <c:ptCount val="1"/>
                <c:pt idx="0">
                  <c:v>Total</c:v>
                </c:pt>
              </c:strCache>
            </c:strRef>
          </c:tx>
          <c:invertIfNegative val="0"/>
          <c:cat>
            <c:strRef>
              <c:f>Pivot_Region!$A$4:$A$8</c:f>
              <c:strCache>
                <c:ptCount val="4"/>
                <c:pt idx="0">
                  <c:v>East</c:v>
                </c:pt>
                <c:pt idx="1">
                  <c:v>North</c:v>
                </c:pt>
                <c:pt idx="2">
                  <c:v>South</c:v>
                </c:pt>
                <c:pt idx="3">
                  <c:v>West</c:v>
                </c:pt>
              </c:strCache>
            </c:strRef>
          </c:cat>
          <c:val>
            <c:numRef>
              <c:f>Pivot_Region!$B$4:$B$8</c:f>
              <c:numCache>
                <c:formatCode>"₹"\ #,##0.00</c:formatCode>
                <c:ptCount val="4"/>
                <c:pt idx="0">
                  <c:v>845173.3</c:v>
                </c:pt>
                <c:pt idx="1">
                  <c:v>959781.8</c:v>
                </c:pt>
                <c:pt idx="2">
                  <c:v>1069345.6499999999</c:v>
                </c:pt>
                <c:pt idx="3">
                  <c:v>903900.70000000007</c:v>
                </c:pt>
              </c:numCache>
            </c:numRef>
          </c:val>
        </c:ser>
        <c:dLbls>
          <c:showLegendKey val="0"/>
          <c:showVal val="0"/>
          <c:showCatName val="0"/>
          <c:showSerName val="0"/>
          <c:showPercent val="0"/>
          <c:showBubbleSize val="0"/>
        </c:dLbls>
        <c:gapWidth val="150"/>
        <c:axId val="145834752"/>
        <c:axId val="145836672"/>
      </c:barChart>
      <c:catAx>
        <c:axId val="145834752"/>
        <c:scaling>
          <c:orientation val="minMax"/>
        </c:scaling>
        <c:delete val="0"/>
        <c:axPos val="b"/>
        <c:majorTickMark val="out"/>
        <c:minorTickMark val="none"/>
        <c:tickLblPos val="nextTo"/>
        <c:crossAx val="145836672"/>
        <c:crosses val="autoZero"/>
        <c:auto val="1"/>
        <c:lblAlgn val="ctr"/>
        <c:lblOffset val="100"/>
        <c:noMultiLvlLbl val="0"/>
      </c:catAx>
      <c:valAx>
        <c:axId val="145836672"/>
        <c:scaling>
          <c:orientation val="minMax"/>
        </c:scaling>
        <c:delete val="0"/>
        <c:axPos val="l"/>
        <c:majorGridlines/>
        <c:numFmt formatCode="&quot;₹&quot;\ #,##0.00" sourceLinked="1"/>
        <c:majorTickMark val="out"/>
        <c:minorTickMark val="none"/>
        <c:tickLblPos val="nextTo"/>
        <c:crossAx val="145834752"/>
        <c:crosses val="autoZero"/>
        <c:crossBetween val="between"/>
      </c:valAx>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[FMCG.xlsx]Pivot_Category!PivotTable2</c:name>
    <c:fmtId val="7"/>
  </c:pivotSource>
  <c:chart>
    <c:title>
      <c:tx>
        <c:rich>
          <a:bodyPr/>
          <a:lstStyle/>
          <a:p>
            <a:pPr>
              <a:defRPr/>
            </a:pPr>
            <a:r>
              <a:rPr lang="en-IN"/>
              <a:t>Sales By Category</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marker>
          <c:symbol val="none"/>
        </c:marker>
      </c:pivotFmt>
    </c:pivotFmts>
    <c:plotArea>
      <c:layout>
        <c:manualLayout>
          <c:layoutTarget val="inner"/>
          <c:xMode val="edge"/>
          <c:yMode val="edge"/>
          <c:x val="0.36630841503267975"/>
          <c:y val="0.25159369114877589"/>
          <c:w val="0.57365318627450979"/>
          <c:h val="0.38326365348399249"/>
        </c:manualLayout>
      </c:layout>
      <c:barChart>
        <c:barDir val="col"/>
        <c:grouping val="stacked"/>
        <c:varyColors val="0"/>
        <c:ser>
          <c:idx val="0"/>
          <c:order val="0"/>
          <c:tx>
            <c:strRef>
              <c:f>Pivot_Category!$B$3</c:f>
              <c:strCache>
                <c:ptCount val="1"/>
                <c:pt idx="0">
                  <c:v>Total</c:v>
                </c:pt>
              </c:strCache>
            </c:strRef>
          </c:tx>
          <c:invertIfNegative val="0"/>
          <c:cat>
            <c:strRef>
              <c:f>Pivot_Category!$A$4:$A$9</c:f>
              <c:strCache>
                <c:ptCount val="5"/>
                <c:pt idx="0">
                  <c:v>Beverages</c:v>
                </c:pt>
                <c:pt idx="1">
                  <c:v>Dairy</c:v>
                </c:pt>
                <c:pt idx="2">
                  <c:v>Household</c:v>
                </c:pt>
                <c:pt idx="3">
                  <c:v>Personal Care</c:v>
                </c:pt>
                <c:pt idx="4">
                  <c:v>Snacks</c:v>
                </c:pt>
              </c:strCache>
            </c:strRef>
          </c:cat>
          <c:val>
            <c:numRef>
              <c:f>Pivot_Category!$B$4:$B$9</c:f>
              <c:numCache>
                <c:formatCode>"₹"\ #,##0.00</c:formatCode>
                <c:ptCount val="5"/>
                <c:pt idx="0">
                  <c:v>822183.25000000012</c:v>
                </c:pt>
                <c:pt idx="1">
                  <c:v>712103.99999999988</c:v>
                </c:pt>
                <c:pt idx="2">
                  <c:v>729375.40000000014</c:v>
                </c:pt>
                <c:pt idx="3">
                  <c:v>861891.15</c:v>
                </c:pt>
                <c:pt idx="4">
                  <c:v>652647.65</c:v>
                </c:pt>
              </c:numCache>
            </c:numRef>
          </c:val>
        </c:ser>
        <c:dLbls>
          <c:showLegendKey val="0"/>
          <c:showVal val="0"/>
          <c:showCatName val="0"/>
          <c:showSerName val="0"/>
          <c:showPercent val="0"/>
          <c:showBubbleSize val="0"/>
        </c:dLbls>
        <c:gapWidth val="150"/>
        <c:overlap val="100"/>
        <c:axId val="146281216"/>
        <c:axId val="146282752"/>
      </c:barChart>
      <c:catAx>
        <c:axId val="146281216"/>
        <c:scaling>
          <c:orientation val="minMax"/>
        </c:scaling>
        <c:delete val="0"/>
        <c:axPos val="b"/>
        <c:majorTickMark val="out"/>
        <c:minorTickMark val="none"/>
        <c:tickLblPos val="nextTo"/>
        <c:crossAx val="146282752"/>
        <c:crosses val="autoZero"/>
        <c:auto val="1"/>
        <c:lblAlgn val="ctr"/>
        <c:lblOffset val="100"/>
        <c:noMultiLvlLbl val="0"/>
      </c:catAx>
      <c:valAx>
        <c:axId val="146282752"/>
        <c:scaling>
          <c:orientation val="minMax"/>
        </c:scaling>
        <c:delete val="0"/>
        <c:axPos val="l"/>
        <c:majorGridlines/>
        <c:numFmt formatCode="&quot;₹&quot;\ #,##0.00" sourceLinked="1"/>
        <c:majorTickMark val="out"/>
        <c:minorTickMark val="none"/>
        <c:tickLblPos val="nextTo"/>
        <c:crossAx val="146281216"/>
        <c:crosses val="autoZero"/>
        <c:crossBetween val="between"/>
      </c:valAx>
    </c:plotArea>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[FMCG.xlsx]Pivot_Product!PivotTable4</c:name>
    <c:fmtId val="10"/>
  </c:pivotSource>
  <c:chart>
    <c:title>
      <c:tx>
        <c:rich>
          <a:bodyPr/>
          <a:lstStyle/>
          <a:p>
            <a:pPr>
              <a:defRPr>
                <a:solidFill>
                  <a:srgbClr val="002060"/>
                </a:solidFill>
              </a:defRPr>
            </a:pPr>
            <a:r>
              <a:rPr lang="en-IN">
                <a:solidFill>
                  <a:srgbClr val="002060"/>
                </a:solidFill>
              </a:rPr>
              <a:t>Top 5 Products — Sales vs Profit</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marker>
          <c:symbol val="none"/>
        </c:marker>
      </c:pivotFmt>
      <c:pivotFmt>
        <c:idx val="18"/>
        <c:marker>
          <c:symbol val="none"/>
        </c:marker>
      </c:pivotFmt>
    </c:pivotFmts>
    <c:plotArea>
      <c:layout>
        <c:manualLayout>
          <c:layoutTarget val="inner"/>
          <c:xMode val="edge"/>
          <c:yMode val="edge"/>
          <c:x val="0.3375575980392157"/>
          <c:y val="0.34753954802259884"/>
          <c:w val="0.47444566993464055"/>
          <c:h val="0.47398500881834216"/>
        </c:manualLayout>
      </c:layout>
      <c:barChart>
        <c:barDir val="bar"/>
        <c:grouping val="stacked"/>
        <c:varyColors val="0"/>
        <c:ser>
          <c:idx val="0"/>
          <c:order val="0"/>
          <c:tx>
            <c:strRef>
              <c:f>Pivot_Product!$B$3</c:f>
              <c:strCache>
                <c:ptCount val="1"/>
                <c:pt idx="0">
                  <c:v>Sum of Sales</c:v>
                </c:pt>
              </c:strCache>
            </c:strRef>
          </c:tx>
          <c:invertIfNegative val="0"/>
          <c:cat>
            <c:strRef>
              <c:f>Pivot_Product!$A$4:$A$9</c:f>
              <c:strCache>
                <c:ptCount val="5"/>
                <c:pt idx="0">
                  <c:v>Cheese</c:v>
                </c:pt>
                <c:pt idx="1">
                  <c:v>Floor Cleaner</c:v>
                </c:pt>
                <c:pt idx="2">
                  <c:v>Fruit Juice</c:v>
                </c:pt>
                <c:pt idx="3">
                  <c:v>Shampoo</c:v>
                </c:pt>
                <c:pt idx="4">
                  <c:v>Tea</c:v>
                </c:pt>
              </c:strCache>
            </c:strRef>
          </c:cat>
          <c:val>
            <c:numRef>
              <c:f>Pivot_Product!$B$4:$B$9</c:f>
              <c:numCache>
                <c:formatCode>"₹"\ #,##0.00</c:formatCode>
                <c:ptCount val="5"/>
                <c:pt idx="0">
                  <c:v>360627.19999999995</c:v>
                </c:pt>
                <c:pt idx="1">
                  <c:v>286885.3</c:v>
                </c:pt>
                <c:pt idx="2">
                  <c:v>253147.19999999998</c:v>
                </c:pt>
                <c:pt idx="3">
                  <c:v>311720</c:v>
                </c:pt>
                <c:pt idx="4">
                  <c:v>399247.2</c:v>
                </c:pt>
              </c:numCache>
            </c:numRef>
          </c:val>
        </c:ser>
        <c:ser>
          <c:idx val="1"/>
          <c:order val="1"/>
          <c:tx>
            <c:strRef>
              <c:f>Pivot_Product!$C$3</c:f>
              <c:strCache>
                <c:ptCount val="1"/>
                <c:pt idx="0">
                  <c:v>Sum of Profit</c:v>
                </c:pt>
              </c:strCache>
            </c:strRef>
          </c:tx>
          <c:invertIfNegative val="0"/>
          <c:cat>
            <c:strRef>
              <c:f>Pivot_Product!$A$4:$A$9</c:f>
              <c:strCache>
                <c:ptCount val="5"/>
                <c:pt idx="0">
                  <c:v>Cheese</c:v>
                </c:pt>
                <c:pt idx="1">
                  <c:v>Floor Cleaner</c:v>
                </c:pt>
                <c:pt idx="2">
                  <c:v>Fruit Juice</c:v>
                </c:pt>
                <c:pt idx="3">
                  <c:v>Shampoo</c:v>
                </c:pt>
                <c:pt idx="4">
                  <c:v>Tea</c:v>
                </c:pt>
              </c:strCache>
            </c:strRef>
          </c:cat>
          <c:val>
            <c:numRef>
              <c:f>Pivot_Product!$C$4:$C$9</c:f>
              <c:numCache>
                <c:formatCode>General</c:formatCode>
                <c:ptCount val="5"/>
                <c:pt idx="0">
                  <c:v>85677.200000000012</c:v>
                </c:pt>
                <c:pt idx="1">
                  <c:v>112085.3</c:v>
                </c:pt>
                <c:pt idx="2">
                  <c:v>81079.199999999997</c:v>
                </c:pt>
                <c:pt idx="3">
                  <c:v>120580</c:v>
                </c:pt>
                <c:pt idx="4">
                  <c:v>130492.20000000001</c:v>
                </c:pt>
              </c:numCache>
            </c:numRef>
          </c:val>
        </c:ser>
        <c:dLbls>
          <c:showLegendKey val="0"/>
          <c:showVal val="0"/>
          <c:showCatName val="0"/>
          <c:showSerName val="0"/>
          <c:showPercent val="0"/>
          <c:showBubbleSize val="0"/>
        </c:dLbls>
        <c:gapWidth val="150"/>
        <c:overlap val="100"/>
        <c:axId val="149323136"/>
        <c:axId val="152977792"/>
      </c:barChart>
      <c:catAx>
        <c:axId val="149323136"/>
        <c:scaling>
          <c:orientation val="minMax"/>
        </c:scaling>
        <c:delete val="0"/>
        <c:axPos val="l"/>
        <c:majorTickMark val="out"/>
        <c:minorTickMark val="none"/>
        <c:tickLblPos val="nextTo"/>
        <c:crossAx val="152977792"/>
        <c:crosses val="autoZero"/>
        <c:auto val="1"/>
        <c:lblAlgn val="ctr"/>
        <c:lblOffset val="100"/>
        <c:noMultiLvlLbl val="0"/>
      </c:catAx>
      <c:valAx>
        <c:axId val="152977792"/>
        <c:scaling>
          <c:orientation val="minMax"/>
        </c:scaling>
        <c:delete val="0"/>
        <c:axPos val="b"/>
        <c:majorGridlines/>
        <c:numFmt formatCode="&quot;₹&quot;\ #,##0.00" sourceLinked="1"/>
        <c:majorTickMark val="out"/>
        <c:minorTickMark val="none"/>
        <c:tickLblPos val="nextTo"/>
        <c:crossAx val="149323136"/>
        <c:crosses val="autoZero"/>
        <c:crossBetween val="between"/>
        <c:dispUnits>
          <c:builtInUnit val="thousands"/>
          <c:dispUnitsLbl>
            <c:layout/>
          </c:dispUnitsLbl>
        </c:dispUnits>
      </c:valAx>
    </c:plotArea>
    <c:legend>
      <c:legendPos val="r"/>
      <c:layout>
        <c:manualLayout>
          <c:xMode val="edge"/>
          <c:yMode val="edge"/>
          <c:x val="0.74967320261437909"/>
          <c:y val="0.40617984934086632"/>
          <c:w val="0.24513888888888888"/>
          <c:h val="0.36074011299435027"/>
        </c:manualLayout>
      </c:layout>
      <c:overlay val="0"/>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[FMCG.xlsx]Pivot_Monthly!PivotTable5</c:name>
    <c:fmtId val="7"/>
  </c:pivotSource>
  <c:chart>
    <c:title>
      <c:tx>
        <c:rich>
          <a:bodyPr/>
          <a:lstStyle/>
          <a:p>
            <a:pPr>
              <a:defRPr/>
            </a:pPr>
            <a:r>
              <a:rPr lang="en-IN"/>
              <a:t>Monthly Sales</a:t>
            </a:r>
          </a:p>
          <a:p>
            <a:pPr>
              <a:defRPr/>
            </a:pPr>
            <a:endParaRPr lang="en-IN"/>
          </a:p>
        </c:rich>
      </c:tx>
      <c:layout/>
      <c:overlay val="1"/>
    </c:title>
    <c:autoTitleDeleted val="0"/>
    <c:pivotFmts>
      <c:pivotFmt>
        <c:idx val="0"/>
      </c:pivotFmt>
      <c:pivotFmt>
        <c:idx val="1"/>
      </c:pivotFmt>
      <c:pivotFmt>
        <c:idx val="2"/>
      </c:pivotFmt>
      <c:pivotFmt>
        <c:idx val="3"/>
      </c:pivotFmt>
      <c:pivotFmt>
        <c:idx val="4"/>
      </c:pivotFmt>
      <c:pivotFmt>
        <c:idx val="5"/>
      </c:pivotFmt>
      <c:pivotFmt>
        <c:idx val="6"/>
        <c:marker>
          <c:symbol val="none"/>
        </c:marker>
      </c:pivotFmt>
    </c:pivotFmts>
    <c:plotArea>
      <c:layout>
        <c:manualLayout>
          <c:layoutTarget val="inner"/>
          <c:xMode val="edge"/>
          <c:yMode val="edge"/>
          <c:x val="0.36927982026143791"/>
          <c:y val="0.17976278659611994"/>
          <c:w val="0.57365318627450979"/>
          <c:h val="0.41517857142857145"/>
        </c:manualLayout>
      </c:layout>
      <c:lineChart>
        <c:grouping val="standard"/>
        <c:varyColors val="0"/>
        <c:ser>
          <c:idx val="0"/>
          <c:order val="0"/>
          <c:tx>
            <c:strRef>
              <c:f>Pivot_Monthly!$B$3</c:f>
              <c:strCache>
                <c:ptCount val="1"/>
                <c:pt idx="0">
                  <c:v>Total</c:v>
                </c:pt>
              </c:strCache>
            </c:strRef>
          </c:tx>
          <c:marker>
            <c:symbol val="none"/>
          </c:marker>
          <c:cat>
            <c:multiLvlStrRef>
              <c:f>Pivot_Monthly!$A$4:$A$43</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Pivot_Monthly!$B$4:$B$43</c:f>
              <c:numCache>
                <c:formatCode>"₹"\ #,##0.00</c:formatCode>
                <c:ptCount val="36"/>
                <c:pt idx="0">
                  <c:v>142474.25</c:v>
                </c:pt>
                <c:pt idx="1">
                  <c:v>110721.69999999998</c:v>
                </c:pt>
                <c:pt idx="2">
                  <c:v>44210.3</c:v>
                </c:pt>
                <c:pt idx="3">
                  <c:v>107928.7</c:v>
                </c:pt>
                <c:pt idx="4">
                  <c:v>147447.70000000001</c:v>
                </c:pt>
                <c:pt idx="5">
                  <c:v>52648.4</c:v>
                </c:pt>
                <c:pt idx="6">
                  <c:v>85791</c:v>
                </c:pt>
                <c:pt idx="7">
                  <c:v>129993.75</c:v>
                </c:pt>
                <c:pt idx="8">
                  <c:v>63220.15</c:v>
                </c:pt>
                <c:pt idx="9">
                  <c:v>48004.049999999996</c:v>
                </c:pt>
                <c:pt idx="10">
                  <c:v>78389.649999999994</c:v>
                </c:pt>
                <c:pt idx="11">
                  <c:v>126709.15</c:v>
                </c:pt>
                <c:pt idx="12">
                  <c:v>88030.7</c:v>
                </c:pt>
                <c:pt idx="13">
                  <c:v>94188.349999999991</c:v>
                </c:pt>
                <c:pt idx="14">
                  <c:v>107308.15</c:v>
                </c:pt>
                <c:pt idx="15">
                  <c:v>150195.79999999999</c:v>
                </c:pt>
                <c:pt idx="16">
                  <c:v>60806.700000000004</c:v>
                </c:pt>
                <c:pt idx="17">
                  <c:v>107932.59999999999</c:v>
                </c:pt>
                <c:pt idx="18">
                  <c:v>91855.6</c:v>
                </c:pt>
                <c:pt idx="19">
                  <c:v>81560.800000000003</c:v>
                </c:pt>
                <c:pt idx="20">
                  <c:v>111354.2</c:v>
                </c:pt>
                <c:pt idx="21">
                  <c:v>194234.7</c:v>
                </c:pt>
                <c:pt idx="22">
                  <c:v>131324.6</c:v>
                </c:pt>
                <c:pt idx="23">
                  <c:v>108781.79999999999</c:v>
                </c:pt>
                <c:pt idx="24">
                  <c:v>65751.95</c:v>
                </c:pt>
                <c:pt idx="25">
                  <c:v>48939.649999999994</c:v>
                </c:pt>
                <c:pt idx="26">
                  <c:v>91923.9</c:v>
                </c:pt>
                <c:pt idx="27">
                  <c:v>106446.59999999999</c:v>
                </c:pt>
                <c:pt idx="28">
                  <c:v>100268</c:v>
                </c:pt>
                <c:pt idx="29">
                  <c:v>94480.4</c:v>
                </c:pt>
                <c:pt idx="30">
                  <c:v>144770.6</c:v>
                </c:pt>
                <c:pt idx="31">
                  <c:v>224791.75</c:v>
                </c:pt>
                <c:pt idx="32">
                  <c:v>178966.04999999996</c:v>
                </c:pt>
                <c:pt idx="33">
                  <c:v>153568.04999999999</c:v>
                </c:pt>
                <c:pt idx="34">
                  <c:v>33509.699999999997</c:v>
                </c:pt>
                <c:pt idx="35">
                  <c:v>69672</c:v>
                </c:pt>
              </c:numCache>
            </c:numRef>
          </c:val>
          <c:smooth val="0"/>
        </c:ser>
        <c:dLbls>
          <c:showLegendKey val="0"/>
          <c:showVal val="0"/>
          <c:showCatName val="0"/>
          <c:showSerName val="0"/>
          <c:showPercent val="0"/>
          <c:showBubbleSize val="0"/>
        </c:dLbls>
        <c:marker val="1"/>
        <c:smooth val="0"/>
        <c:axId val="153154688"/>
        <c:axId val="153550848"/>
      </c:lineChart>
      <c:catAx>
        <c:axId val="153154688"/>
        <c:scaling>
          <c:orientation val="minMax"/>
        </c:scaling>
        <c:delete val="0"/>
        <c:axPos val="b"/>
        <c:majorTickMark val="none"/>
        <c:minorTickMark val="none"/>
        <c:tickLblPos val="nextTo"/>
        <c:crossAx val="153550848"/>
        <c:crosses val="autoZero"/>
        <c:auto val="1"/>
        <c:lblAlgn val="ctr"/>
        <c:lblOffset val="100"/>
        <c:tickMarkSkip val="3"/>
        <c:noMultiLvlLbl val="0"/>
      </c:catAx>
      <c:valAx>
        <c:axId val="153550848"/>
        <c:scaling>
          <c:orientation val="minMax"/>
        </c:scaling>
        <c:delete val="0"/>
        <c:axPos val="l"/>
        <c:numFmt formatCode="&quot;₹&quot;\ #,##0.00" sourceLinked="1"/>
        <c:majorTickMark val="none"/>
        <c:minorTickMark val="none"/>
        <c:tickLblPos val="nextTo"/>
        <c:crossAx val="153154688"/>
        <c:crosses val="autoZero"/>
        <c:crossBetween val="between"/>
      </c:valAx>
    </c:plotArea>
    <c:legend>
      <c:legendPos val="b"/>
      <c:layout/>
      <c:overlay val="0"/>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590550</xdr:colOff>
      <xdr:row>5</xdr:row>
      <xdr:rowOff>180975</xdr:rowOff>
    </xdr:from>
    <xdr:to>
      <xdr:col>11</xdr:col>
      <xdr:colOff>285750</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5</xdr:row>
      <xdr:rowOff>180975</xdr:rowOff>
    </xdr:from>
    <xdr:to>
      <xdr:col>10</xdr:col>
      <xdr:colOff>600075</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361950</xdr:colOff>
      <xdr:row>5</xdr:row>
      <xdr:rowOff>180975</xdr:rowOff>
    </xdr:from>
    <xdr:to>
      <xdr:col>11</xdr:col>
      <xdr:colOff>57150</xdr:colOff>
      <xdr:row>20</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xdr:colOff>
      <xdr:row>3</xdr:row>
      <xdr:rowOff>142875</xdr:rowOff>
    </xdr:from>
    <xdr:to>
      <xdr:col>8</xdr:col>
      <xdr:colOff>38100</xdr:colOff>
      <xdr:row>17</xdr:row>
      <xdr:rowOff>0</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67150" y="714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2</xdr:row>
      <xdr:rowOff>123825</xdr:rowOff>
    </xdr:from>
    <xdr:to>
      <xdr:col>11</xdr:col>
      <xdr:colOff>342900</xdr:colOff>
      <xdr:row>15</xdr:row>
      <xdr:rowOff>171450</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00750" y="504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514350</xdr:colOff>
      <xdr:row>6</xdr:row>
      <xdr:rowOff>47625</xdr:rowOff>
    </xdr:from>
    <xdr:to>
      <xdr:col>8</xdr:col>
      <xdr:colOff>514350</xdr:colOff>
      <xdr:row>19</xdr:row>
      <xdr:rowOff>95250</xdr:rowOff>
    </xdr:to>
    <mc:AlternateContent xmlns:mc="http://schemas.openxmlformats.org/markup-compatibility/2006" xmlns:a14="http://schemas.microsoft.com/office/drawing/2010/main">
      <mc:Choice Requires="a14">
        <xdr:graphicFrame macro="">
          <xdr:nvGraphicFramePr>
            <xdr:cNvPr id="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343400" y="1190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428625</xdr:colOff>
      <xdr:row>5</xdr:row>
      <xdr:rowOff>180975</xdr:rowOff>
    </xdr:from>
    <xdr:to>
      <xdr:col>13</xdr:col>
      <xdr:colOff>123825</xdr:colOff>
      <xdr:row>20</xdr:row>
      <xdr:rowOff>66675</xdr:rowOff>
    </xdr:to>
    <xdr:graphicFrame macro="">
      <xdr:nvGraphicFramePr>
        <xdr:cNvPr id="2" name="Monthly FMCG Sales Trend (2023–20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xdr:col>
      <xdr:colOff>65850</xdr:colOff>
      <xdr:row>12</xdr:row>
      <xdr:rowOff>189000</xdr:rowOff>
    </xdr:to>
    <mc:AlternateContent xmlns:mc="http://schemas.openxmlformats.org/markup-compatibility/2006" xmlns:a14="http://schemas.microsoft.com/office/drawing/2010/main">
      <mc:Choice Requires="a14">
        <xdr:graphicFrame macro="">
          <xdr:nvGraphicFramePr>
            <xdr:cNvPr id="2"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1143000"/>
              <a:ext cx="675450" cy="1332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xdr:colOff>
      <xdr:row>5</xdr:row>
      <xdr:rowOff>171450</xdr:rowOff>
    </xdr:from>
    <xdr:to>
      <xdr:col>5</xdr:col>
      <xdr:colOff>338025</xdr:colOff>
      <xdr:row>13</xdr:row>
      <xdr:rowOff>15450</xdr:rowOff>
    </xdr:to>
    <mc:AlternateContent xmlns:mc="http://schemas.openxmlformats.org/markup-compatibility/2006" xmlns:a14="http://schemas.microsoft.com/office/drawing/2010/main">
      <mc:Choice Requires="a14">
        <xdr:graphicFrame macro="">
          <xdr:nvGraphicFramePr>
            <xdr:cNvPr id="3"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486025" y="1123950"/>
              <a:ext cx="900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5</xdr:row>
      <xdr:rowOff>152400</xdr:rowOff>
    </xdr:from>
    <xdr:to>
      <xdr:col>9</xdr:col>
      <xdr:colOff>590025</xdr:colOff>
      <xdr:row>13</xdr:row>
      <xdr:rowOff>32400</xdr:rowOff>
    </xdr:to>
    <mc:AlternateContent xmlns:mc="http://schemas.openxmlformats.org/markup-compatibility/2006" xmlns:a14="http://schemas.microsoft.com/office/drawing/2010/main">
      <mc:Choice Requires="a14">
        <xdr:graphicFrame macro="">
          <xdr:nvGraphicFramePr>
            <xdr:cNvPr id="4"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924425" y="1104900"/>
              <a:ext cx="1152000" cy="1404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0</xdr:rowOff>
    </xdr:from>
    <xdr:to>
      <xdr:col>4</xdr:col>
      <xdr:colOff>9600</xdr:colOff>
      <xdr:row>29</xdr:row>
      <xdr:rowOff>172500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18</xdr:row>
      <xdr:rowOff>9525</xdr:rowOff>
    </xdr:from>
    <xdr:to>
      <xdr:col>8</xdr:col>
      <xdr:colOff>28650</xdr:colOff>
      <xdr:row>29</xdr:row>
      <xdr:rowOff>182025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18</xdr:row>
      <xdr:rowOff>0</xdr:rowOff>
    </xdr:from>
    <xdr:to>
      <xdr:col>12</xdr:col>
      <xdr:colOff>9600</xdr:colOff>
      <xdr:row>29</xdr:row>
      <xdr:rowOff>172500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18</xdr:row>
      <xdr:rowOff>0</xdr:rowOff>
    </xdr:from>
    <xdr:to>
      <xdr:col>16</xdr:col>
      <xdr:colOff>9600</xdr:colOff>
      <xdr:row>29</xdr:row>
      <xdr:rowOff>172500</xdr:rowOff>
    </xdr:to>
    <xdr:graphicFrame macro="">
      <xdr:nvGraphicFramePr>
        <xdr:cNvPr id="8" name="Monthly FMCG Sales Trend (2023–2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0.57975</cdr:x>
      <cdr:y>0.15119</cdr:y>
    </cdr:from>
    <cdr:to>
      <cdr:x>0.95328</cdr:x>
      <cdr:y>0.55437</cdr:y>
    </cdr:to>
    <cdr:sp macro="" textlink="">
      <cdr:nvSpPr>
        <cdr:cNvPr id="2" name="TextBox 1"/>
        <cdr:cNvSpPr txBox="1"/>
      </cdr:nvSpPr>
      <cdr:spPr>
        <a:xfrm xmlns:a="http://schemas.openxmlformats.org/drawingml/2006/main">
          <a:off x="1419225" y="342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43.205303819443" createdVersion="4" refreshedVersion="4" minRefreshableVersion="3" recordCount="500">
  <cacheSource type="worksheet">
    <worksheetSource ref="A1:T501" sheet="FMCG_Data"/>
  </cacheSource>
  <cacheFields count="20">
    <cacheField name="Order_ID" numFmtId="0">
      <sharedItems containsSemiMixedTypes="0" containsString="0" containsNumber="1" containsInteger="1" minValue="100001" maxValue="100500"/>
    </cacheField>
    <cacheField name="Order_Date" numFmtId="14">
      <sharedItems containsSemiMixedTypes="0" containsNonDate="0" containsDate="1" containsString="0" minDate="2023-01-01T00:00:00" maxDate="2025-12-28T00:00:00"/>
    </cacheField>
    <cacheField name="Year" numFmtId="0">
      <sharedItems containsSemiMixedTypes="0" containsString="0" containsNumber="1" containsInteger="1" minValue="2023" maxValue="2025" count="3">
        <n v="2025"/>
        <n v="2024"/>
        <n v="2023"/>
      </sharedItems>
    </cacheField>
    <cacheField name="Quarter" numFmtId="0">
      <sharedItems/>
    </cacheField>
    <cacheField name="Month" numFmtId="0">
      <sharedItems containsSemiMixedTypes="0" containsString="0" containsNumber="1" containsInteger="1" minValue="1" maxValue="12"/>
    </cacheField>
    <cacheField name="Month_Name" numFmtId="0">
      <sharedItems count="12">
        <s v="May"/>
        <s v="April"/>
        <s v="September"/>
        <s v="October"/>
        <s v="June"/>
        <s v="August"/>
        <s v="March"/>
        <s v="July"/>
        <s v="January"/>
        <s v="February"/>
        <s v="December"/>
        <s v="November"/>
      </sharedItems>
    </cacheField>
    <cacheField name="Region" numFmtId="0">
      <sharedItems count="4">
        <s v="West"/>
        <s v="East"/>
        <s v="South"/>
        <s v="North"/>
      </sharedItems>
    </cacheField>
    <cacheField name="Country" numFmtId="0">
      <sharedItems/>
    </cacheField>
    <cacheField name="City" numFmtId="0">
      <sharedItems/>
    </cacheField>
    <cacheField name="Sales_Person" numFmtId="0">
      <sharedItems/>
    </cacheField>
    <cacheField name="Category" numFmtId="0">
      <sharedItems count="5">
        <s v="Household"/>
        <s v="Beverages"/>
        <s v="Snacks"/>
        <s v="Dairy"/>
        <s v="Personal Care"/>
      </sharedItems>
    </cacheField>
    <cacheField name="Product" numFmtId="0">
      <sharedItems count="20">
        <s v="Detergent"/>
        <s v="Soft Drink"/>
        <s v="Fruit Juice"/>
        <s v="Tea"/>
        <s v="Namkeen"/>
        <s v="Cheese"/>
        <s v="Bath Soap"/>
        <s v="Toothpaste"/>
        <s v="Floor Cleaner"/>
        <s v="Cookies"/>
        <s v="Mineral Water"/>
        <s v="Biscuits"/>
        <s v="Dishwash Liquid"/>
        <s v="Toilet Cleaner"/>
        <s v="Curd"/>
        <s v="Shampoo"/>
        <s v="Butter"/>
        <s v="Face Wash"/>
        <s v="Potato Chips"/>
        <s v="Milk"/>
      </sharedItems>
    </cacheField>
    <cacheField name="Quantity" numFmtId="0">
      <sharedItems containsSemiMixedTypes="0" containsString="0" containsNumber="1" containsInteger="1" minValue="10" maxValue="150"/>
    </cacheField>
    <cacheField name="Unit_Price" numFmtId="165">
      <sharedItems containsSemiMixedTypes="0" containsString="0" containsNumber="1" containsInteger="1" minValue="25" maxValue="320"/>
    </cacheField>
    <cacheField name="Sales" numFmtId="165">
      <sharedItems containsSemiMixedTypes="0" containsString="0" containsNumber="1" minValue="380" maxValue="40062.400000000001"/>
    </cacheField>
    <cacheField name="Cost" numFmtId="165">
      <sharedItems containsSemiMixedTypes="0" containsString="0" containsNumber="1" containsInteger="1" minValue="224" maxValue="29930"/>
    </cacheField>
    <cacheField name="Profit" numFmtId="164">
      <sharedItems containsSemiMixedTypes="0" containsString="0" containsNumber="1" minValue="156" maxValue="10625"/>
    </cacheField>
    <cacheField name="Discount" numFmtId="9">
      <sharedItems containsSemiMixedTypes="0" containsString="0" containsNumber="1" minValue="0" maxValue="0.1"/>
    </cacheField>
    <cacheField name="Customer_Segment" numFmtId="0">
      <sharedItems/>
    </cacheField>
    <cacheField name="Marketing_Spend" numFmtId="164">
      <sharedItems containsSemiMixedTypes="0" containsString="0" containsNumber="1" minValue="9.49" maxValue="2212.6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n v="100001"/>
    <d v="2025-05-10T00:00:00"/>
    <x v="0"/>
    <s v="Q2"/>
    <n v="5"/>
    <x v="0"/>
    <x v="0"/>
    <s v="India"/>
    <s v="Ahmedabad"/>
    <s v="Rahul"/>
    <x v="0"/>
    <x v="0"/>
    <n v="112"/>
    <n v="110"/>
    <n v="11950.4"/>
    <n v="7616"/>
    <n v="4334.3999999999996"/>
    <n v="0.03"/>
    <s v="Wholesale"/>
    <n v="244.97"/>
  </r>
  <r>
    <n v="100002"/>
    <d v="2025-05-21T00:00:00"/>
    <x v="0"/>
    <s v="Q2"/>
    <n v="5"/>
    <x v="0"/>
    <x v="1"/>
    <s v="India"/>
    <s v="Patna"/>
    <s v="Simran"/>
    <x v="1"/>
    <x v="1"/>
    <n v="97"/>
    <n v="60"/>
    <n v="5354.4"/>
    <n v="3686"/>
    <n v="1668.4"/>
    <n v="0.08"/>
    <s v="Wholesale"/>
    <n v="142.85"/>
  </r>
  <r>
    <n v="100003"/>
    <d v="2024-04-04T00:00:00"/>
    <x v="1"/>
    <s v="Q2"/>
    <n v="4"/>
    <x v="1"/>
    <x v="2"/>
    <s v="India"/>
    <s v="Bengaluru"/>
    <s v="Simran"/>
    <x v="1"/>
    <x v="2"/>
    <n v="58"/>
    <n v="120"/>
    <n v="6751.2"/>
    <n v="4524"/>
    <n v="2227.1999999999998"/>
    <n v="0.03"/>
    <s v="General Trade"/>
    <n v="249.74"/>
  </r>
  <r>
    <n v="100004"/>
    <d v="2025-09-02T00:00:00"/>
    <x v="0"/>
    <s v="Q3"/>
    <n v="9"/>
    <x v="2"/>
    <x v="0"/>
    <s v="India"/>
    <s v="Pune"/>
    <s v="Aarav"/>
    <x v="1"/>
    <x v="1"/>
    <n v="60"/>
    <n v="60"/>
    <n v="3492"/>
    <n v="2280"/>
    <n v="1212"/>
    <n v="0.03"/>
    <s v="General Trade"/>
    <n v="241.22"/>
  </r>
  <r>
    <n v="100005"/>
    <d v="2024-10-08T00:00:00"/>
    <x v="1"/>
    <s v="Q4"/>
    <n v="10"/>
    <x v="3"/>
    <x v="3"/>
    <s v="India"/>
    <s v="Delhi"/>
    <s v="Aarav"/>
    <x v="1"/>
    <x v="3"/>
    <n v="98"/>
    <n v="180"/>
    <n v="15876"/>
    <n v="11270"/>
    <n v="4606"/>
    <n v="0.1"/>
    <s v="General Trade"/>
    <n v="944.02"/>
  </r>
  <r>
    <n v="100006"/>
    <d v="2025-06-16T00:00:00"/>
    <x v="0"/>
    <s v="Q2"/>
    <n v="6"/>
    <x v="4"/>
    <x v="1"/>
    <s v="India"/>
    <s v="Ranchi"/>
    <s v="Neha"/>
    <x v="2"/>
    <x v="4"/>
    <n v="17"/>
    <n v="75"/>
    <n v="1275"/>
    <n v="748"/>
    <n v="527"/>
    <n v="0"/>
    <s v="General Trade"/>
    <n v="82.89"/>
  </r>
  <r>
    <n v="100007"/>
    <d v="2025-10-22T00:00:00"/>
    <x v="0"/>
    <s v="Q4"/>
    <n v="10"/>
    <x v="3"/>
    <x v="2"/>
    <s v="India"/>
    <s v="Bengaluru"/>
    <s v="Neha"/>
    <x v="1"/>
    <x v="3"/>
    <n v="63"/>
    <n v="180"/>
    <n v="11340"/>
    <n v="7245"/>
    <n v="4095"/>
    <n v="0"/>
    <s v="Wholesale"/>
    <n v="695.43"/>
  </r>
  <r>
    <n v="100008"/>
    <d v="2025-09-22T00:00:00"/>
    <x v="0"/>
    <s v="Q3"/>
    <n v="9"/>
    <x v="2"/>
    <x v="2"/>
    <s v="India"/>
    <s v="Hyderabad"/>
    <s v="Rohan"/>
    <x v="3"/>
    <x v="5"/>
    <n v="49"/>
    <n v="320"/>
    <n v="14425.6"/>
    <n v="11515"/>
    <n v="2910.6"/>
    <n v="0.08"/>
    <s v="Online"/>
    <n v="809.31"/>
  </r>
  <r>
    <n v="100009"/>
    <d v="2023-08-05T00:00:00"/>
    <x v="2"/>
    <s v="Q3"/>
    <n v="8"/>
    <x v="5"/>
    <x v="1"/>
    <s v="India"/>
    <s v="Ranchi"/>
    <s v="Aarav"/>
    <x v="4"/>
    <x v="6"/>
    <n v="24"/>
    <n v="45"/>
    <n v="1080"/>
    <n v="648"/>
    <n v="432"/>
    <n v="0"/>
    <s v="Online"/>
    <n v="17.13"/>
  </r>
  <r>
    <n v="100010"/>
    <d v="2024-10-09T00:00:00"/>
    <x v="1"/>
    <s v="Q4"/>
    <n v="10"/>
    <x v="3"/>
    <x v="1"/>
    <s v="India"/>
    <s v="Patna"/>
    <s v="Amit"/>
    <x v="0"/>
    <x v="0"/>
    <n v="145"/>
    <n v="110"/>
    <n v="15152.5"/>
    <n v="9860"/>
    <n v="5292.5"/>
    <n v="0.05"/>
    <s v="Wholesale"/>
    <n v="870.05"/>
  </r>
  <r>
    <n v="100011"/>
    <d v="2025-10-14T00:00:00"/>
    <x v="0"/>
    <s v="Q4"/>
    <n v="10"/>
    <x v="3"/>
    <x v="3"/>
    <s v="India"/>
    <s v="Lucknow"/>
    <s v="Rohan"/>
    <x v="3"/>
    <x v="5"/>
    <n v="21"/>
    <n v="320"/>
    <n v="6585.6"/>
    <n v="4935"/>
    <n v="1650.6"/>
    <n v="0.02"/>
    <s v="Online"/>
    <n v="121.81"/>
  </r>
  <r>
    <n v="100012"/>
    <d v="2025-03-15T00:00:00"/>
    <x v="0"/>
    <s v="Q1"/>
    <n v="3"/>
    <x v="6"/>
    <x v="0"/>
    <s v="India"/>
    <s v="Surat"/>
    <s v="Kavya"/>
    <x v="4"/>
    <x v="7"/>
    <n v="44"/>
    <n v="95"/>
    <n v="4054.6"/>
    <n v="2464"/>
    <n v="1590.6"/>
    <n v="0.03"/>
    <s v="Online"/>
    <n v="87.49"/>
  </r>
  <r>
    <n v="100013"/>
    <d v="2025-10-25T00:00:00"/>
    <x v="0"/>
    <s v="Q4"/>
    <n v="10"/>
    <x v="3"/>
    <x v="2"/>
    <s v="India"/>
    <s v="Hyderabad"/>
    <s v="Priya"/>
    <x v="0"/>
    <x v="8"/>
    <n v="36"/>
    <n v="130"/>
    <n v="4539.6000000000004"/>
    <n v="2736"/>
    <n v="1803.6"/>
    <n v="0.03"/>
    <s v="Modern Trade"/>
    <n v="174.84"/>
  </r>
  <r>
    <n v="100014"/>
    <d v="2025-05-13T00:00:00"/>
    <x v="0"/>
    <s v="Q2"/>
    <n v="5"/>
    <x v="0"/>
    <x v="0"/>
    <s v="India"/>
    <s v="Mumbai"/>
    <s v="Amit"/>
    <x v="2"/>
    <x v="9"/>
    <n v="141"/>
    <n v="90"/>
    <n v="11674.8"/>
    <n v="7332"/>
    <n v="4342.8"/>
    <n v="0.08"/>
    <s v="Modern Trade"/>
    <n v="335.2"/>
  </r>
  <r>
    <n v="100015"/>
    <d v="2024-06-24T00:00:00"/>
    <x v="1"/>
    <s v="Q2"/>
    <n v="6"/>
    <x v="4"/>
    <x v="1"/>
    <s v="India"/>
    <s v="Kolkata"/>
    <s v="Kavya"/>
    <x v="1"/>
    <x v="10"/>
    <n v="95"/>
    <n v="25"/>
    <n v="2185"/>
    <n v="1330"/>
    <n v="855"/>
    <n v="0.08"/>
    <s v="Modern Trade"/>
    <n v="107.81"/>
  </r>
  <r>
    <n v="100016"/>
    <d v="2024-10-07T00:00:00"/>
    <x v="1"/>
    <s v="Q4"/>
    <n v="10"/>
    <x v="3"/>
    <x v="1"/>
    <s v="India"/>
    <s v="Ranchi"/>
    <s v="Rohan"/>
    <x v="1"/>
    <x v="3"/>
    <n v="39"/>
    <n v="180"/>
    <n v="6458.4"/>
    <n v="4485"/>
    <n v="1973.4"/>
    <n v="0.08"/>
    <s v="Wholesale"/>
    <n v="212.09"/>
  </r>
  <r>
    <n v="100017"/>
    <d v="2023-07-09T00:00:00"/>
    <x v="2"/>
    <s v="Q3"/>
    <n v="7"/>
    <x v="7"/>
    <x v="3"/>
    <s v="India"/>
    <s v="Delhi"/>
    <s v="Rohan"/>
    <x v="2"/>
    <x v="11"/>
    <n v="130"/>
    <n v="40"/>
    <n v="4784"/>
    <n v="2990"/>
    <n v="1794"/>
    <n v="0.08"/>
    <s v="General Trade"/>
    <n v="298.24"/>
  </r>
  <r>
    <n v="100018"/>
    <d v="2024-10-10T00:00:00"/>
    <x v="1"/>
    <s v="Q4"/>
    <n v="10"/>
    <x v="3"/>
    <x v="2"/>
    <s v="India"/>
    <s v="Chennai"/>
    <s v="Aarav"/>
    <x v="0"/>
    <x v="12"/>
    <n v="68"/>
    <n v="95"/>
    <n v="6330.8"/>
    <n v="3944"/>
    <n v="2386.8000000000002"/>
    <n v="0.02"/>
    <s v="Modern Trade"/>
    <n v="275.60000000000002"/>
  </r>
  <r>
    <n v="100019"/>
    <d v="2024-03-17T00:00:00"/>
    <x v="1"/>
    <s v="Q1"/>
    <n v="3"/>
    <x v="6"/>
    <x v="1"/>
    <s v="India"/>
    <s v="Ranchi"/>
    <s v="Aarav"/>
    <x v="2"/>
    <x v="11"/>
    <n v="140"/>
    <n v="40"/>
    <n v="5488"/>
    <n v="3220"/>
    <n v="2268"/>
    <n v="0.02"/>
    <s v="General Trade"/>
    <n v="168.3"/>
  </r>
  <r>
    <n v="100020"/>
    <d v="2023-01-02T00:00:00"/>
    <x v="2"/>
    <s v="Q1"/>
    <n v="1"/>
    <x v="8"/>
    <x v="2"/>
    <s v="India"/>
    <s v="Kochi"/>
    <s v="Neha"/>
    <x v="1"/>
    <x v="2"/>
    <n v="138"/>
    <n v="120"/>
    <n v="16228.8"/>
    <n v="10764"/>
    <n v="5464.8"/>
    <n v="0.02"/>
    <s v="Modern Trade"/>
    <n v="372.76"/>
  </r>
  <r>
    <n v="100021"/>
    <d v="2023-09-04T00:00:00"/>
    <x v="2"/>
    <s v="Q3"/>
    <n v="9"/>
    <x v="2"/>
    <x v="1"/>
    <s v="India"/>
    <s v="Patna"/>
    <s v="Kavya"/>
    <x v="0"/>
    <x v="8"/>
    <n v="47"/>
    <n v="130"/>
    <n v="5926.7"/>
    <n v="3572"/>
    <n v="2354.6999999999998"/>
    <n v="0.03"/>
    <s v="General Trade"/>
    <n v="295.01"/>
  </r>
  <r>
    <n v="100022"/>
    <d v="2025-01-21T00:00:00"/>
    <x v="0"/>
    <s v="Q1"/>
    <n v="1"/>
    <x v="8"/>
    <x v="1"/>
    <s v="India"/>
    <s v="Kolkata"/>
    <s v="Neha"/>
    <x v="1"/>
    <x v="10"/>
    <n v="79"/>
    <n v="25"/>
    <n v="1876.25"/>
    <n v="1106"/>
    <n v="770.25"/>
    <n v="0.05"/>
    <s v="Online"/>
    <n v="116.72"/>
  </r>
  <r>
    <n v="100023"/>
    <d v="2024-02-07T00:00:00"/>
    <x v="1"/>
    <s v="Q1"/>
    <n v="2"/>
    <x v="9"/>
    <x v="2"/>
    <s v="India"/>
    <s v="Hyderabad"/>
    <s v="Simran"/>
    <x v="0"/>
    <x v="13"/>
    <n v="105"/>
    <n v="105"/>
    <n v="11025"/>
    <n v="6405"/>
    <n v="4620"/>
    <n v="0"/>
    <s v="General Trade"/>
    <n v="735.68"/>
  </r>
  <r>
    <n v="100024"/>
    <d v="2023-12-04T00:00:00"/>
    <x v="2"/>
    <s v="Q4"/>
    <n v="12"/>
    <x v="10"/>
    <x v="1"/>
    <s v="India"/>
    <s v="Kolkata"/>
    <s v="Priya"/>
    <x v="0"/>
    <x v="0"/>
    <n v="51"/>
    <n v="110"/>
    <n v="5497.8"/>
    <n v="3468"/>
    <n v="2029.8"/>
    <n v="0.02"/>
    <s v="Wholesale"/>
    <n v="282.02999999999997"/>
  </r>
  <r>
    <n v="100025"/>
    <d v="2025-05-30T00:00:00"/>
    <x v="0"/>
    <s v="Q2"/>
    <n v="5"/>
    <x v="0"/>
    <x v="2"/>
    <s v="India"/>
    <s v="Chennai"/>
    <s v="Aarav"/>
    <x v="1"/>
    <x v="3"/>
    <n v="46"/>
    <n v="180"/>
    <n v="7617.6"/>
    <n v="5290"/>
    <n v="2327.6"/>
    <n v="0.08"/>
    <s v="General Trade"/>
    <n v="193.33"/>
  </r>
  <r>
    <n v="100026"/>
    <d v="2025-03-26T00:00:00"/>
    <x v="0"/>
    <s v="Q1"/>
    <n v="3"/>
    <x v="6"/>
    <x v="1"/>
    <s v="India"/>
    <s v="Patna"/>
    <s v="Aarav"/>
    <x v="3"/>
    <x v="14"/>
    <n v="129"/>
    <n v="55"/>
    <n v="6527.4"/>
    <n v="4773"/>
    <n v="1754.4"/>
    <n v="0.08"/>
    <s v="General Trade"/>
    <n v="403.4"/>
  </r>
  <r>
    <n v="100027"/>
    <d v="2023-04-14T00:00:00"/>
    <x v="2"/>
    <s v="Q2"/>
    <n v="4"/>
    <x v="1"/>
    <x v="1"/>
    <s v="India"/>
    <s v="Bhubaneswar"/>
    <s v="Kavya"/>
    <x v="1"/>
    <x v="1"/>
    <n v="108"/>
    <n v="60"/>
    <n v="5832"/>
    <n v="4104"/>
    <n v="1728"/>
    <n v="0.1"/>
    <s v="Modern Trade"/>
    <n v="178.55"/>
  </r>
  <r>
    <n v="100028"/>
    <d v="2025-04-01T00:00:00"/>
    <x v="0"/>
    <s v="Q2"/>
    <n v="4"/>
    <x v="1"/>
    <x v="0"/>
    <s v="India"/>
    <s v="Surat"/>
    <s v="Neha"/>
    <x v="3"/>
    <x v="5"/>
    <n v="77"/>
    <n v="320"/>
    <n v="24147.200000000001"/>
    <n v="18095"/>
    <n v="6052.2"/>
    <n v="0.02"/>
    <s v="General Trade"/>
    <n v="794.37"/>
  </r>
  <r>
    <n v="100029"/>
    <d v="2024-02-05T00:00:00"/>
    <x v="1"/>
    <s v="Q1"/>
    <n v="2"/>
    <x v="9"/>
    <x v="1"/>
    <s v="India"/>
    <s v="Kolkata"/>
    <s v="Kavya"/>
    <x v="4"/>
    <x v="7"/>
    <n v="124"/>
    <n v="95"/>
    <n v="11191"/>
    <n v="6944"/>
    <n v="4247"/>
    <n v="0.05"/>
    <s v="Wholesale"/>
    <n v="322.02999999999997"/>
  </r>
  <r>
    <n v="100030"/>
    <d v="2024-07-16T00:00:00"/>
    <x v="1"/>
    <s v="Q3"/>
    <n v="7"/>
    <x v="7"/>
    <x v="2"/>
    <s v="India"/>
    <s v="Kochi"/>
    <s v="Simran"/>
    <x v="4"/>
    <x v="15"/>
    <n v="30"/>
    <n v="160"/>
    <n v="4656"/>
    <n v="2850"/>
    <n v="1806"/>
    <n v="0.03"/>
    <s v="Wholesale"/>
    <n v="217.57"/>
  </r>
  <r>
    <n v="100031"/>
    <d v="2025-10-16T00:00:00"/>
    <x v="0"/>
    <s v="Q4"/>
    <n v="10"/>
    <x v="3"/>
    <x v="3"/>
    <s v="India"/>
    <s v="Lucknow"/>
    <s v="Kavya"/>
    <x v="2"/>
    <x v="4"/>
    <n v="58"/>
    <n v="75"/>
    <n v="4350"/>
    <n v="2552"/>
    <n v="1798"/>
    <n v="0"/>
    <s v="Wholesale"/>
    <n v="303.2"/>
  </r>
  <r>
    <n v="100032"/>
    <d v="2024-06-01T00:00:00"/>
    <x v="1"/>
    <s v="Q2"/>
    <n v="6"/>
    <x v="4"/>
    <x v="0"/>
    <s v="India"/>
    <s v="Surat"/>
    <s v="Rahul"/>
    <x v="1"/>
    <x v="3"/>
    <n v="102"/>
    <n v="180"/>
    <n v="17809.2"/>
    <n v="11730"/>
    <n v="6079.2"/>
    <n v="0.03"/>
    <s v="Wholesale"/>
    <n v="1213.98"/>
  </r>
  <r>
    <n v="100033"/>
    <d v="2023-07-10T00:00:00"/>
    <x v="2"/>
    <s v="Q3"/>
    <n v="7"/>
    <x v="7"/>
    <x v="3"/>
    <s v="India"/>
    <s v="Delhi"/>
    <s v="Rohan"/>
    <x v="1"/>
    <x v="2"/>
    <n v="76"/>
    <n v="120"/>
    <n v="9120"/>
    <n v="5928"/>
    <n v="3192"/>
    <n v="0"/>
    <s v="Online"/>
    <n v="416.09"/>
  </r>
  <r>
    <n v="100034"/>
    <d v="2024-11-16T00:00:00"/>
    <x v="1"/>
    <s v="Q4"/>
    <n v="11"/>
    <x v="11"/>
    <x v="1"/>
    <s v="India"/>
    <s v="Bhubaneswar"/>
    <s v="Aarav"/>
    <x v="4"/>
    <x v="15"/>
    <n v="136"/>
    <n v="160"/>
    <n v="21107.200000000001"/>
    <n v="12920"/>
    <n v="8187.2"/>
    <n v="0.03"/>
    <s v="Online"/>
    <n v="1335.15"/>
  </r>
  <r>
    <n v="100035"/>
    <d v="2023-09-03T00:00:00"/>
    <x v="2"/>
    <s v="Q3"/>
    <n v="9"/>
    <x v="2"/>
    <x v="1"/>
    <s v="India"/>
    <s v="Patna"/>
    <s v="Amit"/>
    <x v="2"/>
    <x v="4"/>
    <n v="35"/>
    <n v="75"/>
    <n v="2415"/>
    <n v="1540"/>
    <n v="875"/>
    <n v="0.08"/>
    <s v="General Trade"/>
    <n v="151.38999999999999"/>
  </r>
  <r>
    <n v="100036"/>
    <d v="2025-06-21T00:00:00"/>
    <x v="0"/>
    <s v="Q2"/>
    <n v="6"/>
    <x v="4"/>
    <x v="3"/>
    <s v="India"/>
    <s v="Lucknow"/>
    <s v="Neha"/>
    <x v="0"/>
    <x v="0"/>
    <n v="17"/>
    <n v="110"/>
    <n v="1776.5"/>
    <n v="1156"/>
    <n v="620.5"/>
    <n v="0.05"/>
    <s v="Wholesale"/>
    <n v="104.4"/>
  </r>
  <r>
    <n v="100037"/>
    <d v="2025-04-13T00:00:00"/>
    <x v="0"/>
    <s v="Q2"/>
    <n v="4"/>
    <x v="1"/>
    <x v="1"/>
    <s v="India"/>
    <s v="Patna"/>
    <s v="Priya"/>
    <x v="0"/>
    <x v="8"/>
    <n v="72"/>
    <n v="130"/>
    <n v="8424"/>
    <n v="5472"/>
    <n v="2952"/>
    <n v="0.1"/>
    <s v="General Trade"/>
    <n v="515.04999999999995"/>
  </r>
  <r>
    <n v="100038"/>
    <d v="2024-11-12T00:00:00"/>
    <x v="1"/>
    <s v="Q4"/>
    <n v="11"/>
    <x v="11"/>
    <x v="2"/>
    <s v="India"/>
    <s v="Hyderabad"/>
    <s v="Neha"/>
    <x v="2"/>
    <x v="9"/>
    <n v="110"/>
    <n v="90"/>
    <n v="9603"/>
    <n v="5720"/>
    <n v="3883"/>
    <n v="0.03"/>
    <s v="Wholesale"/>
    <n v="550.73"/>
  </r>
  <r>
    <n v="100039"/>
    <d v="2025-02-12T00:00:00"/>
    <x v="0"/>
    <s v="Q1"/>
    <n v="2"/>
    <x v="9"/>
    <x v="3"/>
    <s v="India"/>
    <s v="Lucknow"/>
    <s v="Amit"/>
    <x v="4"/>
    <x v="7"/>
    <n v="108"/>
    <n v="95"/>
    <n v="9747"/>
    <n v="6048"/>
    <n v="3699"/>
    <n v="0.05"/>
    <s v="Wholesale"/>
    <n v="535.45000000000005"/>
  </r>
  <r>
    <n v="100040"/>
    <d v="2024-10-18T00:00:00"/>
    <x v="1"/>
    <s v="Q4"/>
    <n v="10"/>
    <x v="3"/>
    <x v="1"/>
    <s v="India"/>
    <s v="Patna"/>
    <s v="Rohan"/>
    <x v="2"/>
    <x v="11"/>
    <n v="99"/>
    <n v="40"/>
    <n v="3960"/>
    <n v="2277"/>
    <n v="1683"/>
    <n v="0"/>
    <s v="Modern Trade"/>
    <n v="269.06"/>
  </r>
  <r>
    <n v="100041"/>
    <d v="2025-10-09T00:00:00"/>
    <x v="0"/>
    <s v="Q4"/>
    <n v="10"/>
    <x v="3"/>
    <x v="3"/>
    <s v="India"/>
    <s v="Noida"/>
    <s v="Aarav"/>
    <x v="3"/>
    <x v="16"/>
    <n v="43"/>
    <n v="280"/>
    <n v="11799.2"/>
    <n v="8815"/>
    <n v="2984.2"/>
    <n v="0.02"/>
    <s v="Online"/>
    <n v="237.91"/>
  </r>
  <r>
    <n v="100042"/>
    <d v="2025-06-15T00:00:00"/>
    <x v="0"/>
    <s v="Q2"/>
    <n v="6"/>
    <x v="4"/>
    <x v="1"/>
    <s v="India"/>
    <s v="Kolkata"/>
    <s v="Neha"/>
    <x v="0"/>
    <x v="8"/>
    <n v="78"/>
    <n v="130"/>
    <n v="9633"/>
    <n v="5928"/>
    <n v="3705"/>
    <n v="0.05"/>
    <s v="Modern Trade"/>
    <n v="366.81"/>
  </r>
  <r>
    <n v="100043"/>
    <d v="2025-09-23T00:00:00"/>
    <x v="0"/>
    <s v="Q3"/>
    <n v="9"/>
    <x v="2"/>
    <x v="2"/>
    <s v="India"/>
    <s v="Chennai"/>
    <s v="Kavya"/>
    <x v="2"/>
    <x v="9"/>
    <n v="78"/>
    <n v="90"/>
    <n v="7020"/>
    <n v="4056"/>
    <n v="2964"/>
    <n v="0"/>
    <s v="Online"/>
    <n v="225.54"/>
  </r>
  <r>
    <n v="100044"/>
    <d v="2025-06-30T00:00:00"/>
    <x v="0"/>
    <s v="Q2"/>
    <n v="6"/>
    <x v="4"/>
    <x v="2"/>
    <s v="India"/>
    <s v="Bengaluru"/>
    <s v="Rohan"/>
    <x v="4"/>
    <x v="7"/>
    <n v="109"/>
    <n v="95"/>
    <n v="10355"/>
    <n v="6104"/>
    <n v="4251"/>
    <n v="0"/>
    <s v="General Trade"/>
    <n v="402.41"/>
  </r>
  <r>
    <n v="100045"/>
    <d v="2025-03-12T00:00:00"/>
    <x v="0"/>
    <s v="Q1"/>
    <n v="3"/>
    <x v="6"/>
    <x v="1"/>
    <s v="India"/>
    <s v="Patna"/>
    <s v="Neha"/>
    <x v="1"/>
    <x v="10"/>
    <n v="105"/>
    <n v="25"/>
    <n v="2415"/>
    <n v="1470"/>
    <n v="945"/>
    <n v="0.08"/>
    <s v="Modern Trade"/>
    <n v="123.72"/>
  </r>
  <r>
    <n v="100046"/>
    <d v="2023-12-02T00:00:00"/>
    <x v="2"/>
    <s v="Q4"/>
    <n v="12"/>
    <x v="10"/>
    <x v="0"/>
    <s v="India"/>
    <s v="Pune"/>
    <s v="Neha"/>
    <x v="1"/>
    <x v="3"/>
    <n v="93"/>
    <n v="180"/>
    <n v="15903"/>
    <n v="10695"/>
    <n v="5208"/>
    <n v="0.05"/>
    <s v="General Trade"/>
    <n v="578.05999999999995"/>
  </r>
  <r>
    <n v="100047"/>
    <d v="2025-08-14T00:00:00"/>
    <x v="0"/>
    <s v="Q3"/>
    <n v="8"/>
    <x v="5"/>
    <x v="0"/>
    <s v="India"/>
    <s v="Ahmedabad"/>
    <s v="Neha"/>
    <x v="3"/>
    <x v="16"/>
    <n v="74"/>
    <n v="280"/>
    <n v="18648"/>
    <n v="15170"/>
    <n v="3478"/>
    <n v="0.1"/>
    <s v="General Trade"/>
    <n v="1208.28"/>
  </r>
  <r>
    <n v="100048"/>
    <d v="2023-01-12T00:00:00"/>
    <x v="2"/>
    <s v="Q1"/>
    <n v="1"/>
    <x v="8"/>
    <x v="0"/>
    <s v="India"/>
    <s v="Pune"/>
    <s v="Amit"/>
    <x v="1"/>
    <x v="10"/>
    <n v="44"/>
    <n v="25"/>
    <n v="1078"/>
    <n v="616"/>
    <n v="462"/>
    <n v="0.02"/>
    <s v="Online"/>
    <n v="55.05"/>
  </r>
  <r>
    <n v="100049"/>
    <d v="2025-10-18T00:00:00"/>
    <x v="0"/>
    <s v="Q4"/>
    <n v="10"/>
    <x v="3"/>
    <x v="2"/>
    <s v="India"/>
    <s v="Hyderabad"/>
    <s v="Amit"/>
    <x v="2"/>
    <x v="9"/>
    <n v="67"/>
    <n v="90"/>
    <n v="5728.5"/>
    <n v="3484"/>
    <n v="2244.5"/>
    <n v="0.05"/>
    <s v="General Trade"/>
    <n v="284.08999999999997"/>
  </r>
  <r>
    <n v="100050"/>
    <d v="2024-12-29T00:00:00"/>
    <x v="1"/>
    <s v="Q4"/>
    <n v="12"/>
    <x v="10"/>
    <x v="3"/>
    <s v="India"/>
    <s v="Delhi"/>
    <s v="Aarav"/>
    <x v="2"/>
    <x v="11"/>
    <n v="110"/>
    <n v="40"/>
    <n v="4180"/>
    <n v="2530"/>
    <n v="1650"/>
    <n v="0.05"/>
    <s v="Online"/>
    <n v="248.19"/>
  </r>
  <r>
    <n v="100051"/>
    <d v="2025-09-04T00:00:00"/>
    <x v="0"/>
    <s v="Q3"/>
    <n v="9"/>
    <x v="2"/>
    <x v="3"/>
    <s v="India"/>
    <s v="Jaipur"/>
    <s v="Rohan"/>
    <x v="4"/>
    <x v="7"/>
    <n v="46"/>
    <n v="95"/>
    <n v="4282.6000000000004"/>
    <n v="2576"/>
    <n v="1706.6"/>
    <n v="0.02"/>
    <s v="Online"/>
    <n v="224.37"/>
  </r>
  <r>
    <n v="100052"/>
    <d v="2025-05-22T00:00:00"/>
    <x v="0"/>
    <s v="Q2"/>
    <n v="5"/>
    <x v="0"/>
    <x v="2"/>
    <s v="India"/>
    <s v="Chennai"/>
    <s v="Rahul"/>
    <x v="4"/>
    <x v="17"/>
    <n v="121"/>
    <n v="140"/>
    <n v="16431.8"/>
    <n v="9922"/>
    <n v="6509.8"/>
    <n v="0.03"/>
    <s v="General Trade"/>
    <n v="515.46"/>
  </r>
  <r>
    <n v="100053"/>
    <d v="2024-01-31T00:00:00"/>
    <x v="1"/>
    <s v="Q1"/>
    <n v="1"/>
    <x v="8"/>
    <x v="3"/>
    <s v="India"/>
    <s v="Delhi"/>
    <s v="Rahul"/>
    <x v="0"/>
    <x v="0"/>
    <n v="37"/>
    <n v="110"/>
    <n v="3663"/>
    <n v="2516"/>
    <n v="1147"/>
    <n v="0.1"/>
    <s v="Modern Trade"/>
    <n v="246.46"/>
  </r>
  <r>
    <n v="100054"/>
    <d v="2023-05-24T00:00:00"/>
    <x v="2"/>
    <s v="Q2"/>
    <n v="5"/>
    <x v="0"/>
    <x v="3"/>
    <s v="India"/>
    <s v="Delhi"/>
    <s v="Simran"/>
    <x v="2"/>
    <x v="18"/>
    <n v="132"/>
    <n v="50"/>
    <n v="6468"/>
    <n v="3828"/>
    <n v="2640"/>
    <n v="0.02"/>
    <s v="Online"/>
    <n v="433.62"/>
  </r>
  <r>
    <n v="100055"/>
    <d v="2023-04-19T00:00:00"/>
    <x v="2"/>
    <s v="Q2"/>
    <n v="4"/>
    <x v="1"/>
    <x v="3"/>
    <s v="India"/>
    <s v="Noida"/>
    <s v="Rahul"/>
    <x v="3"/>
    <x v="14"/>
    <n v="131"/>
    <n v="55"/>
    <n v="6988.85"/>
    <n v="4847"/>
    <n v="2141.85"/>
    <n v="0.03"/>
    <s v="Online"/>
    <n v="446.05"/>
  </r>
  <r>
    <n v="100056"/>
    <d v="2025-01-20T00:00:00"/>
    <x v="0"/>
    <s v="Q1"/>
    <n v="1"/>
    <x v="8"/>
    <x v="1"/>
    <s v="India"/>
    <s v="Kolkata"/>
    <s v="Aarav"/>
    <x v="0"/>
    <x v="13"/>
    <n v="16"/>
    <n v="105"/>
    <n v="1629.6"/>
    <n v="976"/>
    <n v="653.6"/>
    <n v="0.03"/>
    <s v="Online"/>
    <n v="44.39"/>
  </r>
  <r>
    <n v="100057"/>
    <d v="2024-09-25T00:00:00"/>
    <x v="1"/>
    <s v="Q3"/>
    <n v="9"/>
    <x v="2"/>
    <x v="2"/>
    <s v="India"/>
    <s v="Chennai"/>
    <s v="Kavya"/>
    <x v="4"/>
    <x v="15"/>
    <n v="92"/>
    <n v="160"/>
    <n v="13984"/>
    <n v="8740"/>
    <n v="5244"/>
    <n v="0.05"/>
    <s v="Online"/>
    <n v="873.62"/>
  </r>
  <r>
    <n v="100058"/>
    <d v="2024-05-25T00:00:00"/>
    <x v="1"/>
    <s v="Q2"/>
    <n v="5"/>
    <x v="0"/>
    <x v="0"/>
    <s v="India"/>
    <s v="Mumbai"/>
    <s v="Neha"/>
    <x v="4"/>
    <x v="17"/>
    <n v="79"/>
    <n v="140"/>
    <n v="10507"/>
    <n v="6478"/>
    <n v="4029"/>
    <n v="0.05"/>
    <s v="Modern Trade"/>
    <n v="435.95"/>
  </r>
  <r>
    <n v="100059"/>
    <d v="2023-04-01T00:00:00"/>
    <x v="2"/>
    <s v="Q2"/>
    <n v="4"/>
    <x v="1"/>
    <x v="2"/>
    <s v="India"/>
    <s v="Bengaluru"/>
    <s v="Neha"/>
    <x v="2"/>
    <x v="11"/>
    <n v="150"/>
    <n v="40"/>
    <n v="5820"/>
    <n v="3450"/>
    <n v="2370"/>
    <n v="0.03"/>
    <s v="General Trade"/>
    <n v="270.23"/>
  </r>
  <r>
    <n v="100060"/>
    <d v="2025-04-08T00:00:00"/>
    <x v="0"/>
    <s v="Q2"/>
    <n v="4"/>
    <x v="1"/>
    <x v="0"/>
    <s v="India"/>
    <s v="Mumbai"/>
    <s v="Aarav"/>
    <x v="0"/>
    <x v="8"/>
    <n v="101"/>
    <n v="130"/>
    <n v="11817"/>
    <n v="7676"/>
    <n v="4141"/>
    <n v="0.1"/>
    <s v="General Trade"/>
    <n v="420.9"/>
  </r>
  <r>
    <n v="100061"/>
    <d v="2025-07-17T00:00:00"/>
    <x v="0"/>
    <s v="Q3"/>
    <n v="7"/>
    <x v="7"/>
    <x v="2"/>
    <s v="India"/>
    <s v="Chennai"/>
    <s v="Amit"/>
    <x v="3"/>
    <x v="5"/>
    <n v="70"/>
    <n v="320"/>
    <n v="21952"/>
    <n v="16450"/>
    <n v="5502"/>
    <n v="0.02"/>
    <s v="Wholesale"/>
    <n v="381.68"/>
  </r>
  <r>
    <n v="100062"/>
    <d v="2023-02-16T00:00:00"/>
    <x v="2"/>
    <s v="Q1"/>
    <n v="2"/>
    <x v="9"/>
    <x v="3"/>
    <s v="India"/>
    <s v="Delhi"/>
    <s v="Simran"/>
    <x v="0"/>
    <x v="8"/>
    <n v="10"/>
    <n v="130"/>
    <n v="1235"/>
    <n v="760"/>
    <n v="475"/>
    <n v="0.05"/>
    <s v="Online"/>
    <n v="58.21"/>
  </r>
  <r>
    <n v="100063"/>
    <d v="2025-08-28T00:00:00"/>
    <x v="0"/>
    <s v="Q3"/>
    <n v="8"/>
    <x v="5"/>
    <x v="1"/>
    <s v="India"/>
    <s v="Bhubaneswar"/>
    <s v="Simran"/>
    <x v="3"/>
    <x v="5"/>
    <n v="111"/>
    <n v="320"/>
    <n v="34454.400000000001"/>
    <n v="26085"/>
    <n v="8369.4"/>
    <n v="0.03"/>
    <s v="General Trade"/>
    <n v="1691.96"/>
  </r>
  <r>
    <n v="100064"/>
    <d v="2024-11-06T00:00:00"/>
    <x v="1"/>
    <s v="Q4"/>
    <n v="11"/>
    <x v="11"/>
    <x v="2"/>
    <s v="India"/>
    <s v="Kochi"/>
    <s v="Simran"/>
    <x v="2"/>
    <x v="11"/>
    <n v="37"/>
    <n v="40"/>
    <n v="1480"/>
    <n v="851"/>
    <n v="629"/>
    <n v="0"/>
    <s v="Modern Trade"/>
    <n v="101.52"/>
  </r>
  <r>
    <n v="100065"/>
    <d v="2025-08-16T00:00:00"/>
    <x v="0"/>
    <s v="Q3"/>
    <n v="8"/>
    <x v="5"/>
    <x v="3"/>
    <s v="India"/>
    <s v="Delhi"/>
    <s v="Priya"/>
    <x v="2"/>
    <x v="9"/>
    <n v="150"/>
    <n v="90"/>
    <n v="12420"/>
    <n v="7800"/>
    <n v="4620"/>
    <n v="0.08"/>
    <s v="Modern Trade"/>
    <n v="748.18"/>
  </r>
  <r>
    <n v="100066"/>
    <d v="2024-12-09T00:00:00"/>
    <x v="1"/>
    <s v="Q4"/>
    <n v="12"/>
    <x v="10"/>
    <x v="0"/>
    <s v="India"/>
    <s v="Mumbai"/>
    <s v="Rohan"/>
    <x v="2"/>
    <x v="9"/>
    <n v="39"/>
    <n v="90"/>
    <n v="3229.2"/>
    <n v="2028"/>
    <n v="1201.2"/>
    <n v="0.08"/>
    <s v="Modern Trade"/>
    <n v="56.47"/>
  </r>
  <r>
    <n v="100067"/>
    <d v="2024-01-09T00:00:00"/>
    <x v="1"/>
    <s v="Q1"/>
    <n v="1"/>
    <x v="8"/>
    <x v="3"/>
    <s v="India"/>
    <s v="Noida"/>
    <s v="Kavya"/>
    <x v="3"/>
    <x v="19"/>
    <n v="20"/>
    <n v="60"/>
    <n v="1140"/>
    <n v="840"/>
    <n v="300"/>
    <n v="0.05"/>
    <s v="Online"/>
    <n v="40.98"/>
  </r>
  <r>
    <n v="100068"/>
    <d v="2024-11-19T00:00:00"/>
    <x v="1"/>
    <s v="Q4"/>
    <n v="11"/>
    <x v="11"/>
    <x v="3"/>
    <s v="India"/>
    <s v="Delhi"/>
    <s v="Neha"/>
    <x v="4"/>
    <x v="7"/>
    <n v="138"/>
    <n v="95"/>
    <n v="13110"/>
    <n v="7728"/>
    <n v="5382"/>
    <n v="0"/>
    <s v="Online"/>
    <n v="250.99"/>
  </r>
  <r>
    <n v="100069"/>
    <d v="2025-02-09T00:00:00"/>
    <x v="0"/>
    <s v="Q1"/>
    <n v="2"/>
    <x v="9"/>
    <x v="3"/>
    <s v="India"/>
    <s v="Jaipur"/>
    <s v="Kavya"/>
    <x v="0"/>
    <x v="0"/>
    <n v="92"/>
    <n v="110"/>
    <n v="9917.6"/>
    <n v="6256"/>
    <n v="3661.6"/>
    <n v="0.02"/>
    <s v="General Trade"/>
    <n v="394.52"/>
  </r>
  <r>
    <n v="100070"/>
    <d v="2024-11-15T00:00:00"/>
    <x v="1"/>
    <s v="Q4"/>
    <n v="11"/>
    <x v="11"/>
    <x v="3"/>
    <s v="India"/>
    <s v="Lucknow"/>
    <s v="Rohan"/>
    <x v="2"/>
    <x v="18"/>
    <n v="41"/>
    <n v="50"/>
    <n v="2050"/>
    <n v="1189"/>
    <n v="861"/>
    <n v="0"/>
    <s v="Online"/>
    <n v="61.04"/>
  </r>
  <r>
    <n v="100071"/>
    <d v="2024-11-04T00:00:00"/>
    <x v="1"/>
    <s v="Q4"/>
    <n v="11"/>
    <x v="11"/>
    <x v="2"/>
    <s v="India"/>
    <s v="Bengaluru"/>
    <s v="Kavya"/>
    <x v="0"/>
    <x v="12"/>
    <n v="21"/>
    <n v="95"/>
    <n v="1835.4"/>
    <n v="1218"/>
    <n v="617.4"/>
    <n v="0.08"/>
    <s v="Wholesale"/>
    <n v="125.25"/>
  </r>
  <r>
    <n v="100072"/>
    <d v="2024-02-05T00:00:00"/>
    <x v="1"/>
    <s v="Q1"/>
    <n v="2"/>
    <x v="9"/>
    <x v="1"/>
    <s v="India"/>
    <s v="Patna"/>
    <s v="Rohan"/>
    <x v="1"/>
    <x v="10"/>
    <n v="94"/>
    <n v="25"/>
    <n v="2232.5"/>
    <n v="1316"/>
    <n v="916.5"/>
    <n v="0.05"/>
    <s v="General Trade"/>
    <n v="132.34"/>
  </r>
  <r>
    <n v="100073"/>
    <d v="2025-02-02T00:00:00"/>
    <x v="0"/>
    <s v="Q1"/>
    <n v="2"/>
    <x v="9"/>
    <x v="2"/>
    <s v="India"/>
    <s v="Bengaluru"/>
    <s v="Priya"/>
    <x v="4"/>
    <x v="15"/>
    <n v="39"/>
    <n v="160"/>
    <n v="6052.8"/>
    <n v="3705"/>
    <n v="2347.8000000000002"/>
    <n v="0.03"/>
    <s v="General Trade"/>
    <n v="121.09"/>
  </r>
  <r>
    <n v="100074"/>
    <d v="2023-06-15T00:00:00"/>
    <x v="2"/>
    <s v="Q2"/>
    <n v="6"/>
    <x v="4"/>
    <x v="3"/>
    <s v="India"/>
    <s v="Lucknow"/>
    <s v="Neha"/>
    <x v="3"/>
    <x v="14"/>
    <n v="115"/>
    <n v="55"/>
    <n v="5819"/>
    <n v="4255"/>
    <n v="1564"/>
    <n v="0.08"/>
    <s v="Modern Trade"/>
    <n v="391.17"/>
  </r>
  <r>
    <n v="100075"/>
    <d v="2025-02-23T00:00:00"/>
    <x v="0"/>
    <s v="Q1"/>
    <n v="2"/>
    <x v="9"/>
    <x v="1"/>
    <s v="India"/>
    <s v="Ranchi"/>
    <s v="Rahul"/>
    <x v="2"/>
    <x v="11"/>
    <n v="15"/>
    <n v="40"/>
    <n v="582"/>
    <n v="345"/>
    <n v="237"/>
    <n v="0.03"/>
    <s v="Modern Trade"/>
    <n v="19.25"/>
  </r>
  <r>
    <n v="100076"/>
    <d v="2023-04-21T00:00:00"/>
    <x v="2"/>
    <s v="Q2"/>
    <n v="4"/>
    <x v="1"/>
    <x v="3"/>
    <s v="India"/>
    <s v="Jaipur"/>
    <s v="Neha"/>
    <x v="1"/>
    <x v="10"/>
    <n v="127"/>
    <n v="25"/>
    <n v="3016.25"/>
    <n v="1778"/>
    <n v="1238.25"/>
    <n v="0.05"/>
    <s v="General Trade"/>
    <n v="75.12"/>
  </r>
  <r>
    <n v="100077"/>
    <d v="2024-10-28T00:00:00"/>
    <x v="1"/>
    <s v="Q4"/>
    <n v="10"/>
    <x v="3"/>
    <x v="3"/>
    <s v="India"/>
    <s v="Lucknow"/>
    <s v="Neha"/>
    <x v="1"/>
    <x v="1"/>
    <n v="60"/>
    <n v="60"/>
    <n v="3600"/>
    <n v="2280"/>
    <n v="1320"/>
    <n v="0"/>
    <s v="General Trade"/>
    <n v="87.45"/>
  </r>
  <r>
    <n v="100078"/>
    <d v="2024-06-17T00:00:00"/>
    <x v="1"/>
    <s v="Q2"/>
    <n v="6"/>
    <x v="4"/>
    <x v="3"/>
    <s v="India"/>
    <s v="Noida"/>
    <s v="Kavya"/>
    <x v="1"/>
    <x v="2"/>
    <n v="21"/>
    <n v="120"/>
    <n v="2469.6"/>
    <n v="1638"/>
    <n v="831.6"/>
    <n v="0.02"/>
    <s v="General Trade"/>
    <n v="86.52"/>
  </r>
  <r>
    <n v="100079"/>
    <d v="2025-03-04T00:00:00"/>
    <x v="0"/>
    <s v="Q1"/>
    <n v="3"/>
    <x v="6"/>
    <x v="3"/>
    <s v="India"/>
    <s v="Jaipur"/>
    <s v="Amit"/>
    <x v="4"/>
    <x v="7"/>
    <n v="65"/>
    <n v="95"/>
    <n v="5681"/>
    <n v="3640"/>
    <n v="2041"/>
    <n v="0.08"/>
    <s v="General Trade"/>
    <n v="372.95"/>
  </r>
  <r>
    <n v="100080"/>
    <d v="2025-03-14T00:00:00"/>
    <x v="0"/>
    <s v="Q1"/>
    <n v="3"/>
    <x v="6"/>
    <x v="3"/>
    <s v="India"/>
    <s v="Lucknow"/>
    <s v="Priya"/>
    <x v="0"/>
    <x v="0"/>
    <n v="56"/>
    <n v="110"/>
    <n v="5975.2"/>
    <n v="3808"/>
    <n v="2167.1999999999998"/>
    <n v="0.03"/>
    <s v="Online"/>
    <n v="248.86"/>
  </r>
  <r>
    <n v="100081"/>
    <d v="2023-03-19T00:00:00"/>
    <x v="2"/>
    <s v="Q1"/>
    <n v="3"/>
    <x v="6"/>
    <x v="1"/>
    <s v="India"/>
    <s v="Bhubaneswar"/>
    <s v="Rohan"/>
    <x v="0"/>
    <x v="12"/>
    <n v="65"/>
    <n v="95"/>
    <n v="6175"/>
    <n v="3770"/>
    <n v="2405"/>
    <n v="0"/>
    <s v="Modern Trade"/>
    <n v="326"/>
  </r>
  <r>
    <n v="100082"/>
    <d v="2025-03-16T00:00:00"/>
    <x v="0"/>
    <s v="Q1"/>
    <n v="3"/>
    <x v="6"/>
    <x v="0"/>
    <s v="India"/>
    <s v="Ahmedabad"/>
    <s v="Aarav"/>
    <x v="2"/>
    <x v="18"/>
    <n v="128"/>
    <n v="50"/>
    <n v="6208"/>
    <n v="3712"/>
    <n v="2496"/>
    <n v="0.03"/>
    <s v="Online"/>
    <n v="99.97"/>
  </r>
  <r>
    <n v="100083"/>
    <d v="2023-03-27T00:00:00"/>
    <x v="2"/>
    <s v="Q1"/>
    <n v="3"/>
    <x v="6"/>
    <x v="2"/>
    <s v="India"/>
    <s v="Bengaluru"/>
    <s v="Rahul"/>
    <x v="1"/>
    <x v="2"/>
    <n v="22"/>
    <n v="120"/>
    <n v="2508"/>
    <n v="1716"/>
    <n v="792"/>
    <n v="0.05"/>
    <s v="Modern Trade"/>
    <n v="131.30000000000001"/>
  </r>
  <r>
    <n v="100084"/>
    <d v="2023-04-21T00:00:00"/>
    <x v="2"/>
    <s v="Q2"/>
    <n v="4"/>
    <x v="1"/>
    <x v="1"/>
    <s v="India"/>
    <s v="Patna"/>
    <s v="Priya"/>
    <x v="0"/>
    <x v="8"/>
    <n v="17"/>
    <n v="130"/>
    <n v="2099.5"/>
    <n v="1292"/>
    <n v="807.5"/>
    <n v="0.05"/>
    <s v="General Trade"/>
    <n v="96.67"/>
  </r>
  <r>
    <n v="100085"/>
    <d v="2024-11-22T00:00:00"/>
    <x v="1"/>
    <s v="Q4"/>
    <n v="11"/>
    <x v="11"/>
    <x v="2"/>
    <s v="India"/>
    <s v="Kochi"/>
    <s v="Aarav"/>
    <x v="4"/>
    <x v="17"/>
    <n v="68"/>
    <n v="140"/>
    <n v="8568"/>
    <n v="5576"/>
    <n v="2992"/>
    <n v="0.1"/>
    <s v="General Trade"/>
    <n v="413.99"/>
  </r>
  <r>
    <n v="100086"/>
    <d v="2023-10-04T00:00:00"/>
    <x v="2"/>
    <s v="Q4"/>
    <n v="10"/>
    <x v="3"/>
    <x v="2"/>
    <s v="India"/>
    <s v="Bengaluru"/>
    <s v="Rohan"/>
    <x v="2"/>
    <x v="9"/>
    <n v="103"/>
    <n v="90"/>
    <n v="9084.6"/>
    <n v="5356"/>
    <n v="3728.6"/>
    <n v="0.02"/>
    <s v="General Trade"/>
    <n v="278.72000000000003"/>
  </r>
  <r>
    <n v="100087"/>
    <d v="2025-01-28T00:00:00"/>
    <x v="0"/>
    <s v="Q1"/>
    <n v="1"/>
    <x v="8"/>
    <x v="0"/>
    <s v="India"/>
    <s v="Ahmedabad"/>
    <s v="Neha"/>
    <x v="1"/>
    <x v="2"/>
    <n v="45"/>
    <n v="120"/>
    <n v="4860"/>
    <n v="3510"/>
    <n v="1350"/>
    <n v="0.1"/>
    <s v="Wholesale"/>
    <n v="312.56"/>
  </r>
  <r>
    <n v="100088"/>
    <d v="2023-01-04T00:00:00"/>
    <x v="2"/>
    <s v="Q1"/>
    <n v="1"/>
    <x v="8"/>
    <x v="0"/>
    <s v="India"/>
    <s v="Pune"/>
    <s v="Simran"/>
    <x v="3"/>
    <x v="14"/>
    <n v="71"/>
    <n v="55"/>
    <n v="3514.5"/>
    <n v="2627"/>
    <n v="887.5"/>
    <n v="0.1"/>
    <s v="Modern Trade"/>
    <n v="160.34"/>
  </r>
  <r>
    <n v="100089"/>
    <d v="2023-06-22T00:00:00"/>
    <x v="2"/>
    <s v="Q2"/>
    <n v="6"/>
    <x v="4"/>
    <x v="1"/>
    <s v="India"/>
    <s v="Kolkata"/>
    <s v="Aarav"/>
    <x v="1"/>
    <x v="1"/>
    <n v="77"/>
    <n v="60"/>
    <n v="4481.3999999999996"/>
    <n v="2926"/>
    <n v="1555.4"/>
    <n v="0.03"/>
    <s v="Modern Trade"/>
    <n v="192.34"/>
  </r>
  <r>
    <n v="100090"/>
    <d v="2023-01-01T00:00:00"/>
    <x v="2"/>
    <s v="Q1"/>
    <n v="1"/>
    <x v="8"/>
    <x v="2"/>
    <s v="India"/>
    <s v="Bengaluru"/>
    <s v="Rahul"/>
    <x v="2"/>
    <x v="18"/>
    <n v="135"/>
    <n v="50"/>
    <n v="6750"/>
    <n v="3915"/>
    <n v="2835"/>
    <n v="0"/>
    <s v="Modern Trade"/>
    <n v="279.87"/>
  </r>
  <r>
    <n v="100091"/>
    <d v="2025-06-20T00:00:00"/>
    <x v="0"/>
    <s v="Q2"/>
    <n v="6"/>
    <x v="4"/>
    <x v="2"/>
    <s v="India"/>
    <s v="Kochi"/>
    <s v="Priya"/>
    <x v="1"/>
    <x v="10"/>
    <n v="147"/>
    <n v="25"/>
    <n v="3307.5"/>
    <n v="2058"/>
    <n v="1249.5"/>
    <n v="0.1"/>
    <s v="General Trade"/>
    <n v="108.25"/>
  </r>
  <r>
    <n v="100092"/>
    <d v="2023-11-25T00:00:00"/>
    <x v="2"/>
    <s v="Q4"/>
    <n v="11"/>
    <x v="11"/>
    <x v="3"/>
    <s v="India"/>
    <s v="Delhi"/>
    <s v="Aarav"/>
    <x v="4"/>
    <x v="17"/>
    <n v="47"/>
    <n v="140"/>
    <n v="6382.6"/>
    <n v="3854"/>
    <n v="2528.6"/>
    <n v="0.03"/>
    <s v="Wholesale"/>
    <n v="218.21"/>
  </r>
  <r>
    <n v="100093"/>
    <d v="2023-08-24T00:00:00"/>
    <x v="2"/>
    <s v="Q3"/>
    <n v="8"/>
    <x v="5"/>
    <x v="2"/>
    <s v="India"/>
    <s v="Bengaluru"/>
    <s v="Aarav"/>
    <x v="3"/>
    <x v="16"/>
    <n v="146"/>
    <n v="280"/>
    <n v="40062.400000000001"/>
    <n v="29930"/>
    <n v="10132.4"/>
    <n v="0.02"/>
    <s v="Online"/>
    <n v="1436.54"/>
  </r>
  <r>
    <n v="100094"/>
    <d v="2025-07-06T00:00:00"/>
    <x v="0"/>
    <s v="Q3"/>
    <n v="7"/>
    <x v="7"/>
    <x v="1"/>
    <s v="India"/>
    <s v="Ranchi"/>
    <s v="Rahul"/>
    <x v="0"/>
    <x v="8"/>
    <n v="114"/>
    <n v="130"/>
    <n v="14079"/>
    <n v="8664"/>
    <n v="5415"/>
    <n v="0.05"/>
    <s v="General Trade"/>
    <n v="830.3"/>
  </r>
  <r>
    <n v="100095"/>
    <d v="2023-01-05T00:00:00"/>
    <x v="2"/>
    <s v="Q1"/>
    <n v="1"/>
    <x v="8"/>
    <x v="0"/>
    <s v="India"/>
    <s v="Ahmedabad"/>
    <s v="Priya"/>
    <x v="4"/>
    <x v="15"/>
    <n v="141"/>
    <n v="160"/>
    <n v="22108.799999999999"/>
    <n v="13395"/>
    <n v="8713.7999999999993"/>
    <n v="0.02"/>
    <s v="Online"/>
    <n v="1047"/>
  </r>
  <r>
    <n v="100096"/>
    <d v="2024-09-07T00:00:00"/>
    <x v="1"/>
    <s v="Q3"/>
    <n v="9"/>
    <x v="2"/>
    <x v="2"/>
    <s v="India"/>
    <s v="Kochi"/>
    <s v="Aarav"/>
    <x v="4"/>
    <x v="15"/>
    <n v="106"/>
    <n v="160"/>
    <n v="16112"/>
    <n v="10070"/>
    <n v="6042"/>
    <n v="0.05"/>
    <s v="General Trade"/>
    <n v="687.17"/>
  </r>
  <r>
    <n v="100097"/>
    <d v="2025-10-03T00:00:00"/>
    <x v="0"/>
    <s v="Q4"/>
    <n v="10"/>
    <x v="3"/>
    <x v="0"/>
    <s v="India"/>
    <s v="Pune"/>
    <s v="Kavya"/>
    <x v="4"/>
    <x v="17"/>
    <n v="113"/>
    <n v="140"/>
    <n v="15029"/>
    <n v="9266"/>
    <n v="5763"/>
    <n v="0.05"/>
    <s v="General Trade"/>
    <n v="322.06"/>
  </r>
  <r>
    <n v="100098"/>
    <d v="2024-07-07T00:00:00"/>
    <x v="1"/>
    <s v="Q3"/>
    <n v="7"/>
    <x v="7"/>
    <x v="1"/>
    <s v="India"/>
    <s v="Ranchi"/>
    <s v="Neha"/>
    <x v="0"/>
    <x v="0"/>
    <n v="42"/>
    <n v="110"/>
    <n v="4481.3999999999996"/>
    <n v="2856"/>
    <n v="1625.4"/>
    <n v="0.03"/>
    <s v="Wholesale"/>
    <n v="287.54000000000002"/>
  </r>
  <r>
    <n v="100099"/>
    <d v="2025-10-17T00:00:00"/>
    <x v="0"/>
    <s v="Q4"/>
    <n v="10"/>
    <x v="3"/>
    <x v="3"/>
    <s v="India"/>
    <s v="Jaipur"/>
    <s v="Priya"/>
    <x v="0"/>
    <x v="12"/>
    <n v="95"/>
    <n v="95"/>
    <n v="8573.75"/>
    <n v="5510"/>
    <n v="3063.75"/>
    <n v="0.05"/>
    <s v="General Trade"/>
    <n v="361.55"/>
  </r>
  <r>
    <n v="100100"/>
    <d v="2025-03-16T00:00:00"/>
    <x v="0"/>
    <s v="Q1"/>
    <n v="3"/>
    <x v="6"/>
    <x v="3"/>
    <s v="India"/>
    <s v="Jaipur"/>
    <s v="Rohan"/>
    <x v="2"/>
    <x v="18"/>
    <n v="24"/>
    <n v="50"/>
    <n v="1140"/>
    <n v="696"/>
    <n v="444"/>
    <n v="0.05"/>
    <s v="Modern Trade"/>
    <n v="26.5"/>
  </r>
  <r>
    <n v="100101"/>
    <d v="2023-05-10T00:00:00"/>
    <x v="2"/>
    <s v="Q2"/>
    <n v="5"/>
    <x v="0"/>
    <x v="0"/>
    <s v="India"/>
    <s v="Ahmedabad"/>
    <s v="Neha"/>
    <x v="4"/>
    <x v="17"/>
    <n v="45"/>
    <n v="140"/>
    <n v="5985"/>
    <n v="3690"/>
    <n v="2295"/>
    <n v="0.05"/>
    <s v="General Trade"/>
    <n v="286.95999999999998"/>
  </r>
  <r>
    <n v="100102"/>
    <d v="2025-05-21T00:00:00"/>
    <x v="0"/>
    <s v="Q2"/>
    <n v="5"/>
    <x v="0"/>
    <x v="2"/>
    <s v="India"/>
    <s v="Bengaluru"/>
    <s v="Amit"/>
    <x v="2"/>
    <x v="4"/>
    <n v="99"/>
    <n v="75"/>
    <n v="6682.5"/>
    <n v="4356"/>
    <n v="2326.5"/>
    <n v="0.1"/>
    <s v="General Trade"/>
    <n v="156.6"/>
  </r>
  <r>
    <n v="100103"/>
    <d v="2025-09-11T00:00:00"/>
    <x v="0"/>
    <s v="Q3"/>
    <n v="9"/>
    <x v="2"/>
    <x v="3"/>
    <s v="India"/>
    <s v="Jaipur"/>
    <s v="Amit"/>
    <x v="0"/>
    <x v="8"/>
    <n v="109"/>
    <n v="130"/>
    <n v="13036.4"/>
    <n v="8284"/>
    <n v="4752.3999999999996"/>
    <n v="0.08"/>
    <s v="Online"/>
    <n v="762.04"/>
  </r>
  <r>
    <n v="100104"/>
    <d v="2025-10-05T00:00:00"/>
    <x v="0"/>
    <s v="Q4"/>
    <n v="10"/>
    <x v="3"/>
    <x v="1"/>
    <s v="India"/>
    <s v="Patna"/>
    <s v="Kavya"/>
    <x v="4"/>
    <x v="15"/>
    <n v="60"/>
    <n v="160"/>
    <n v="9120"/>
    <n v="5700"/>
    <n v="3420"/>
    <n v="0.05"/>
    <s v="Wholesale"/>
    <n v="605.48"/>
  </r>
  <r>
    <n v="100105"/>
    <d v="2025-03-24T00:00:00"/>
    <x v="0"/>
    <s v="Q1"/>
    <n v="3"/>
    <x v="6"/>
    <x v="3"/>
    <s v="India"/>
    <s v="Delhi"/>
    <s v="Rahul"/>
    <x v="1"/>
    <x v="3"/>
    <n v="66"/>
    <n v="180"/>
    <n v="11642.4"/>
    <n v="7590"/>
    <n v="4052.4"/>
    <n v="0.02"/>
    <s v="Modern Trade"/>
    <n v="374.06"/>
  </r>
  <r>
    <n v="100106"/>
    <d v="2024-10-22T00:00:00"/>
    <x v="1"/>
    <s v="Q4"/>
    <n v="10"/>
    <x v="3"/>
    <x v="0"/>
    <s v="India"/>
    <s v="Mumbai"/>
    <s v="Rohan"/>
    <x v="0"/>
    <x v="12"/>
    <n v="66"/>
    <n v="95"/>
    <n v="6270"/>
    <n v="3828"/>
    <n v="2442"/>
    <n v="0"/>
    <s v="Modern Trade"/>
    <n v="209.06"/>
  </r>
  <r>
    <n v="100107"/>
    <d v="2023-03-16T00:00:00"/>
    <x v="2"/>
    <s v="Q1"/>
    <n v="3"/>
    <x v="6"/>
    <x v="2"/>
    <s v="India"/>
    <s v="Bengaluru"/>
    <s v="Neha"/>
    <x v="4"/>
    <x v="7"/>
    <n v="100"/>
    <n v="95"/>
    <n v="9215"/>
    <n v="5600"/>
    <n v="3615"/>
    <n v="0.03"/>
    <s v="Wholesale"/>
    <n v="252.06"/>
  </r>
  <r>
    <n v="100108"/>
    <d v="2024-10-25T00:00:00"/>
    <x v="1"/>
    <s v="Q4"/>
    <n v="10"/>
    <x v="3"/>
    <x v="3"/>
    <s v="India"/>
    <s v="Jaipur"/>
    <s v="Rahul"/>
    <x v="1"/>
    <x v="2"/>
    <n v="97"/>
    <n v="120"/>
    <n v="11407.2"/>
    <n v="7566"/>
    <n v="3841.2"/>
    <n v="0.02"/>
    <s v="Modern Trade"/>
    <n v="660.79"/>
  </r>
  <r>
    <n v="100109"/>
    <d v="2023-06-05T00:00:00"/>
    <x v="2"/>
    <s v="Q2"/>
    <n v="6"/>
    <x v="4"/>
    <x v="2"/>
    <s v="India"/>
    <s v="Chennai"/>
    <s v="Kavya"/>
    <x v="4"/>
    <x v="6"/>
    <n v="93"/>
    <n v="45"/>
    <n v="4059.45"/>
    <n v="2511"/>
    <n v="1548.45"/>
    <n v="0.03"/>
    <s v="General Trade"/>
    <n v="185.32"/>
  </r>
  <r>
    <n v="100110"/>
    <d v="2024-07-14T00:00:00"/>
    <x v="1"/>
    <s v="Q3"/>
    <n v="7"/>
    <x v="7"/>
    <x v="0"/>
    <s v="India"/>
    <s v="Mumbai"/>
    <s v="Kavya"/>
    <x v="2"/>
    <x v="11"/>
    <n v="132"/>
    <n v="40"/>
    <n v="5016"/>
    <n v="3036"/>
    <n v="1980"/>
    <n v="0.05"/>
    <s v="General Trade"/>
    <n v="171.63"/>
  </r>
  <r>
    <n v="100111"/>
    <d v="2024-03-04T00:00:00"/>
    <x v="1"/>
    <s v="Q1"/>
    <n v="3"/>
    <x v="6"/>
    <x v="3"/>
    <s v="India"/>
    <s v="Noida"/>
    <s v="Priya"/>
    <x v="0"/>
    <x v="8"/>
    <n v="27"/>
    <n v="130"/>
    <n v="3439.8"/>
    <n v="2052"/>
    <n v="1387.8"/>
    <n v="0.02"/>
    <s v="Modern Trade"/>
    <n v="186.69"/>
  </r>
  <r>
    <n v="100112"/>
    <d v="2025-09-14T00:00:00"/>
    <x v="0"/>
    <s v="Q3"/>
    <n v="9"/>
    <x v="2"/>
    <x v="3"/>
    <s v="India"/>
    <s v="Noida"/>
    <s v="Rohan"/>
    <x v="4"/>
    <x v="7"/>
    <n v="72"/>
    <n v="95"/>
    <n v="6840"/>
    <n v="4032"/>
    <n v="2808"/>
    <n v="0"/>
    <s v="Wholesale"/>
    <n v="228.39"/>
  </r>
  <r>
    <n v="100113"/>
    <d v="2025-03-10T00:00:00"/>
    <x v="0"/>
    <s v="Q1"/>
    <n v="3"/>
    <x v="6"/>
    <x v="2"/>
    <s v="India"/>
    <s v="Bengaluru"/>
    <s v="Simran"/>
    <x v="3"/>
    <x v="14"/>
    <n v="133"/>
    <n v="55"/>
    <n v="6729.8"/>
    <n v="4921"/>
    <n v="1808.8"/>
    <n v="0.08"/>
    <s v="Online"/>
    <n v="463.29"/>
  </r>
  <r>
    <n v="100114"/>
    <d v="2025-10-28T00:00:00"/>
    <x v="0"/>
    <s v="Q4"/>
    <n v="10"/>
    <x v="3"/>
    <x v="3"/>
    <s v="India"/>
    <s v="Delhi"/>
    <s v="Rahul"/>
    <x v="2"/>
    <x v="9"/>
    <n v="81"/>
    <n v="90"/>
    <n v="7290"/>
    <n v="4212"/>
    <n v="3078"/>
    <n v="0"/>
    <s v="Wholesale"/>
    <n v="430.08"/>
  </r>
  <r>
    <n v="100115"/>
    <d v="2025-10-03T00:00:00"/>
    <x v="0"/>
    <s v="Q4"/>
    <n v="10"/>
    <x v="3"/>
    <x v="1"/>
    <s v="India"/>
    <s v="Bhubaneswar"/>
    <s v="Simran"/>
    <x v="0"/>
    <x v="13"/>
    <n v="87"/>
    <n v="105"/>
    <n v="8678.25"/>
    <n v="5307"/>
    <n v="3371.25"/>
    <n v="0.05"/>
    <s v="General Trade"/>
    <n v="515.29"/>
  </r>
  <r>
    <n v="100116"/>
    <d v="2023-06-14T00:00:00"/>
    <x v="2"/>
    <s v="Q2"/>
    <n v="6"/>
    <x v="4"/>
    <x v="2"/>
    <s v="India"/>
    <s v="Chennai"/>
    <s v="Amit"/>
    <x v="2"/>
    <x v="4"/>
    <n v="16"/>
    <n v="75"/>
    <n v="1140"/>
    <n v="704"/>
    <n v="436"/>
    <n v="0.05"/>
    <s v="General Trade"/>
    <n v="63.24"/>
  </r>
  <r>
    <n v="100117"/>
    <d v="2025-07-03T00:00:00"/>
    <x v="0"/>
    <s v="Q3"/>
    <n v="7"/>
    <x v="7"/>
    <x v="1"/>
    <s v="India"/>
    <s v="Kolkata"/>
    <s v="Priya"/>
    <x v="2"/>
    <x v="11"/>
    <n v="138"/>
    <n v="40"/>
    <n v="5078.3999999999996"/>
    <n v="3174"/>
    <n v="1904.4"/>
    <n v="0.08"/>
    <s v="Online"/>
    <n v="171.65"/>
  </r>
  <r>
    <n v="100118"/>
    <d v="2024-12-07T00:00:00"/>
    <x v="1"/>
    <s v="Q4"/>
    <n v="12"/>
    <x v="10"/>
    <x v="0"/>
    <s v="India"/>
    <s v="Ahmedabad"/>
    <s v="Priya"/>
    <x v="2"/>
    <x v="18"/>
    <n v="46"/>
    <n v="50"/>
    <n v="2231"/>
    <n v="1334"/>
    <n v="897"/>
    <n v="0.03"/>
    <s v="Wholesale"/>
    <n v="101.2"/>
  </r>
  <r>
    <n v="100119"/>
    <d v="2025-05-03T00:00:00"/>
    <x v="0"/>
    <s v="Q2"/>
    <n v="5"/>
    <x v="0"/>
    <x v="1"/>
    <s v="India"/>
    <s v="Ranchi"/>
    <s v="Simran"/>
    <x v="1"/>
    <x v="1"/>
    <n v="129"/>
    <n v="60"/>
    <n v="6966"/>
    <n v="4902"/>
    <n v="2064"/>
    <n v="0.1"/>
    <s v="Modern Trade"/>
    <n v="284.97000000000003"/>
  </r>
  <r>
    <n v="100120"/>
    <d v="2024-06-09T00:00:00"/>
    <x v="1"/>
    <s v="Q2"/>
    <n v="6"/>
    <x v="4"/>
    <x v="3"/>
    <s v="India"/>
    <s v="Lucknow"/>
    <s v="Kavya"/>
    <x v="0"/>
    <x v="0"/>
    <n v="112"/>
    <n v="110"/>
    <n v="12073.6"/>
    <n v="7616"/>
    <n v="4457.6000000000004"/>
    <n v="0.02"/>
    <s v="Wholesale"/>
    <n v="609.45000000000005"/>
  </r>
  <r>
    <n v="100121"/>
    <d v="2024-03-17T00:00:00"/>
    <x v="1"/>
    <s v="Q1"/>
    <n v="3"/>
    <x v="6"/>
    <x v="3"/>
    <s v="India"/>
    <s v="Delhi"/>
    <s v="Priya"/>
    <x v="0"/>
    <x v="0"/>
    <n v="84"/>
    <n v="110"/>
    <n v="8500.7999999999993"/>
    <n v="5712"/>
    <n v="2788.8"/>
    <n v="0.08"/>
    <s v="Modern Trade"/>
    <n v="375.15"/>
  </r>
  <r>
    <n v="100122"/>
    <d v="2025-07-22T00:00:00"/>
    <x v="0"/>
    <s v="Q3"/>
    <n v="7"/>
    <x v="7"/>
    <x v="2"/>
    <s v="India"/>
    <s v="Chennai"/>
    <s v="Kavya"/>
    <x v="2"/>
    <x v="11"/>
    <n v="131"/>
    <n v="40"/>
    <n v="4978"/>
    <n v="3013"/>
    <n v="1965"/>
    <n v="0.05"/>
    <s v="General Trade"/>
    <n v="103.85"/>
  </r>
  <r>
    <n v="100123"/>
    <d v="2024-10-07T00:00:00"/>
    <x v="1"/>
    <s v="Q4"/>
    <n v="10"/>
    <x v="3"/>
    <x v="0"/>
    <s v="India"/>
    <s v="Surat"/>
    <s v="Priya"/>
    <x v="2"/>
    <x v="18"/>
    <n v="62"/>
    <n v="50"/>
    <n v="3100"/>
    <n v="1798"/>
    <n v="1302"/>
    <n v="0"/>
    <s v="Modern Trade"/>
    <n v="202.41"/>
  </r>
  <r>
    <n v="100124"/>
    <d v="2024-12-02T00:00:00"/>
    <x v="1"/>
    <s v="Q4"/>
    <n v="12"/>
    <x v="10"/>
    <x v="2"/>
    <s v="India"/>
    <s v="Bengaluru"/>
    <s v="Neha"/>
    <x v="1"/>
    <x v="3"/>
    <n v="63"/>
    <n v="180"/>
    <n v="10773"/>
    <n v="7245"/>
    <n v="3528"/>
    <n v="0.05"/>
    <s v="Online"/>
    <n v="210.65"/>
  </r>
  <r>
    <n v="100125"/>
    <d v="2023-01-29T00:00:00"/>
    <x v="2"/>
    <s v="Q1"/>
    <n v="1"/>
    <x v="8"/>
    <x v="3"/>
    <s v="India"/>
    <s v="Jaipur"/>
    <s v="Kavya"/>
    <x v="2"/>
    <x v="9"/>
    <n v="122"/>
    <n v="90"/>
    <n v="10431"/>
    <n v="6344"/>
    <n v="4087"/>
    <n v="0.05"/>
    <s v="Modern Trade"/>
    <n v="506.66"/>
  </r>
  <r>
    <n v="100126"/>
    <d v="2024-09-14T00:00:00"/>
    <x v="1"/>
    <s v="Q3"/>
    <n v="9"/>
    <x v="2"/>
    <x v="1"/>
    <s v="India"/>
    <s v="Bhubaneswar"/>
    <s v="Rahul"/>
    <x v="1"/>
    <x v="3"/>
    <n v="42"/>
    <n v="180"/>
    <n v="7408.8"/>
    <n v="4830"/>
    <n v="2578.8000000000002"/>
    <n v="0.02"/>
    <s v="Modern Trade"/>
    <n v="331.11"/>
  </r>
  <r>
    <n v="100127"/>
    <d v="2025-08-15T00:00:00"/>
    <x v="0"/>
    <s v="Q3"/>
    <n v="8"/>
    <x v="5"/>
    <x v="0"/>
    <s v="India"/>
    <s v="Mumbai"/>
    <s v="Aarav"/>
    <x v="1"/>
    <x v="2"/>
    <n v="82"/>
    <n v="120"/>
    <n v="9840"/>
    <n v="6396"/>
    <n v="3444"/>
    <n v="0"/>
    <s v="Online"/>
    <n v="541.70000000000005"/>
  </r>
  <r>
    <n v="100128"/>
    <d v="2023-02-11T00:00:00"/>
    <x v="2"/>
    <s v="Q1"/>
    <n v="2"/>
    <x v="9"/>
    <x v="3"/>
    <s v="India"/>
    <s v="Jaipur"/>
    <s v="Priya"/>
    <x v="1"/>
    <x v="1"/>
    <n v="117"/>
    <n v="60"/>
    <n v="6669"/>
    <n v="4446"/>
    <n v="2223"/>
    <n v="0.05"/>
    <s v="General Trade"/>
    <n v="199.86"/>
  </r>
  <r>
    <n v="100129"/>
    <d v="2025-12-03T00:00:00"/>
    <x v="0"/>
    <s v="Q4"/>
    <n v="12"/>
    <x v="10"/>
    <x v="0"/>
    <s v="India"/>
    <s v="Ahmedabad"/>
    <s v="Neha"/>
    <x v="3"/>
    <x v="19"/>
    <n v="83"/>
    <n v="60"/>
    <n v="4731"/>
    <n v="3486"/>
    <n v="1245"/>
    <n v="0.05"/>
    <s v="Modern Trade"/>
    <n v="206.61"/>
  </r>
  <r>
    <n v="100130"/>
    <d v="2023-08-04T00:00:00"/>
    <x v="2"/>
    <s v="Q3"/>
    <n v="8"/>
    <x v="5"/>
    <x v="0"/>
    <s v="India"/>
    <s v="Surat"/>
    <s v="Priya"/>
    <x v="4"/>
    <x v="6"/>
    <n v="127"/>
    <n v="45"/>
    <n v="5429.25"/>
    <n v="3429"/>
    <n v="2000.25"/>
    <n v="0.05"/>
    <s v="Modern Trade"/>
    <n v="374.25"/>
  </r>
  <r>
    <n v="100131"/>
    <d v="2024-05-03T00:00:00"/>
    <x v="1"/>
    <s v="Q2"/>
    <n v="5"/>
    <x v="0"/>
    <x v="3"/>
    <s v="India"/>
    <s v="Noida"/>
    <s v="Amit"/>
    <x v="1"/>
    <x v="1"/>
    <n v="25"/>
    <n v="60"/>
    <n v="1350"/>
    <n v="950"/>
    <n v="400"/>
    <n v="0.1"/>
    <s v="Modern Trade"/>
    <n v="33.659999999999997"/>
  </r>
  <r>
    <n v="100132"/>
    <d v="2024-01-26T00:00:00"/>
    <x v="1"/>
    <s v="Q1"/>
    <n v="1"/>
    <x v="8"/>
    <x v="2"/>
    <s v="India"/>
    <s v="Hyderabad"/>
    <s v="Rohan"/>
    <x v="0"/>
    <x v="0"/>
    <n v="124"/>
    <n v="110"/>
    <n v="12276"/>
    <n v="8432"/>
    <n v="3844"/>
    <n v="0.1"/>
    <s v="Online"/>
    <n v="839.78"/>
  </r>
  <r>
    <n v="100133"/>
    <d v="2025-09-16T00:00:00"/>
    <x v="0"/>
    <s v="Q3"/>
    <n v="9"/>
    <x v="2"/>
    <x v="1"/>
    <s v="India"/>
    <s v="Patna"/>
    <s v="Rahul"/>
    <x v="2"/>
    <x v="4"/>
    <n v="112"/>
    <n v="75"/>
    <n v="8400"/>
    <n v="4928"/>
    <n v="3472"/>
    <n v="0"/>
    <s v="Modern Trade"/>
    <n v="401.48"/>
  </r>
  <r>
    <n v="100134"/>
    <d v="2023-05-11T00:00:00"/>
    <x v="2"/>
    <s v="Q2"/>
    <n v="5"/>
    <x v="0"/>
    <x v="3"/>
    <s v="India"/>
    <s v="Jaipur"/>
    <s v="Neha"/>
    <x v="2"/>
    <x v="4"/>
    <n v="117"/>
    <n v="75"/>
    <n v="8336.25"/>
    <n v="5148"/>
    <n v="3188.25"/>
    <n v="0.05"/>
    <s v="Online"/>
    <n v="493.66"/>
  </r>
  <r>
    <n v="100135"/>
    <d v="2025-07-09T00:00:00"/>
    <x v="0"/>
    <s v="Q3"/>
    <n v="7"/>
    <x v="7"/>
    <x v="3"/>
    <s v="India"/>
    <s v="Noida"/>
    <s v="Priya"/>
    <x v="4"/>
    <x v="6"/>
    <n v="117"/>
    <n v="45"/>
    <n v="5159.7"/>
    <n v="3159"/>
    <n v="2000.7"/>
    <n v="0.02"/>
    <s v="Wholesale"/>
    <n v="84.32"/>
  </r>
  <r>
    <n v="100136"/>
    <d v="2023-09-08T00:00:00"/>
    <x v="2"/>
    <s v="Q3"/>
    <n v="9"/>
    <x v="2"/>
    <x v="0"/>
    <s v="India"/>
    <s v="Mumbai"/>
    <s v="Neha"/>
    <x v="4"/>
    <x v="17"/>
    <n v="105"/>
    <n v="140"/>
    <n v="13965"/>
    <n v="8610"/>
    <n v="5355"/>
    <n v="0.05"/>
    <s v="General Trade"/>
    <n v="975.96"/>
  </r>
  <r>
    <n v="100137"/>
    <d v="2024-04-21T00:00:00"/>
    <x v="1"/>
    <s v="Q2"/>
    <n v="4"/>
    <x v="1"/>
    <x v="2"/>
    <s v="India"/>
    <s v="Chennai"/>
    <s v="Rohan"/>
    <x v="4"/>
    <x v="17"/>
    <n v="130"/>
    <n v="140"/>
    <n v="17290"/>
    <n v="10660"/>
    <n v="6630"/>
    <n v="0.05"/>
    <s v="Modern Trade"/>
    <n v="656.63"/>
  </r>
  <r>
    <n v="100138"/>
    <d v="2024-07-30T00:00:00"/>
    <x v="1"/>
    <s v="Q3"/>
    <n v="7"/>
    <x v="7"/>
    <x v="2"/>
    <s v="India"/>
    <s v="Chennai"/>
    <s v="Kavya"/>
    <x v="1"/>
    <x v="1"/>
    <n v="129"/>
    <n v="60"/>
    <n v="7585.2"/>
    <n v="4902"/>
    <n v="2683.2"/>
    <n v="0.02"/>
    <s v="Modern Trade"/>
    <n v="237.39"/>
  </r>
  <r>
    <n v="100139"/>
    <d v="2024-03-07T00:00:00"/>
    <x v="1"/>
    <s v="Q1"/>
    <n v="3"/>
    <x v="6"/>
    <x v="3"/>
    <s v="India"/>
    <s v="Delhi"/>
    <s v="Rahul"/>
    <x v="3"/>
    <x v="19"/>
    <n v="58"/>
    <n v="60"/>
    <n v="3375.6"/>
    <n v="2436"/>
    <n v="939.6"/>
    <n v="0.03"/>
    <s v="Wholesale"/>
    <n v="73.739999999999995"/>
  </r>
  <r>
    <n v="100140"/>
    <d v="2023-03-02T00:00:00"/>
    <x v="2"/>
    <s v="Q1"/>
    <n v="3"/>
    <x v="6"/>
    <x v="3"/>
    <s v="India"/>
    <s v="Jaipur"/>
    <s v="Amit"/>
    <x v="4"/>
    <x v="7"/>
    <n v="72"/>
    <n v="95"/>
    <n v="6156"/>
    <n v="4032"/>
    <n v="2124"/>
    <n v="0.1"/>
    <s v="Wholesale"/>
    <n v="250.59"/>
  </r>
  <r>
    <n v="100141"/>
    <d v="2024-07-17T00:00:00"/>
    <x v="1"/>
    <s v="Q3"/>
    <n v="7"/>
    <x v="7"/>
    <x v="1"/>
    <s v="India"/>
    <s v="Patna"/>
    <s v="Kavya"/>
    <x v="2"/>
    <x v="18"/>
    <n v="72"/>
    <n v="50"/>
    <n v="3528"/>
    <n v="2088"/>
    <n v="1440"/>
    <n v="0.02"/>
    <s v="General Trade"/>
    <n v="214.1"/>
  </r>
  <r>
    <n v="100142"/>
    <d v="2023-08-14T00:00:00"/>
    <x v="2"/>
    <s v="Q3"/>
    <n v="8"/>
    <x v="5"/>
    <x v="3"/>
    <s v="India"/>
    <s v="Noida"/>
    <s v="Kavya"/>
    <x v="1"/>
    <x v="1"/>
    <n v="12"/>
    <n v="60"/>
    <n v="662.4"/>
    <n v="456"/>
    <n v="206.4"/>
    <n v="0.08"/>
    <s v="Wholesale"/>
    <n v="39.11"/>
  </r>
  <r>
    <n v="100143"/>
    <d v="2024-11-19T00:00:00"/>
    <x v="1"/>
    <s v="Q4"/>
    <n v="11"/>
    <x v="11"/>
    <x v="3"/>
    <s v="India"/>
    <s v="Jaipur"/>
    <s v="Priya"/>
    <x v="4"/>
    <x v="6"/>
    <n v="70"/>
    <n v="45"/>
    <n v="3087"/>
    <n v="1890"/>
    <n v="1197"/>
    <n v="0.02"/>
    <s v="Online"/>
    <n v="133.79"/>
  </r>
  <r>
    <n v="100144"/>
    <d v="2023-08-04T00:00:00"/>
    <x v="2"/>
    <s v="Q3"/>
    <n v="8"/>
    <x v="5"/>
    <x v="0"/>
    <s v="India"/>
    <s v="Surat"/>
    <s v="Neha"/>
    <x v="4"/>
    <x v="6"/>
    <n v="129"/>
    <n v="45"/>
    <n v="5514.75"/>
    <n v="3483"/>
    <n v="2031.75"/>
    <n v="0.05"/>
    <s v="Modern Trade"/>
    <n v="93.3"/>
  </r>
  <r>
    <n v="100145"/>
    <d v="2025-08-09T00:00:00"/>
    <x v="0"/>
    <s v="Q3"/>
    <n v="8"/>
    <x v="5"/>
    <x v="0"/>
    <s v="India"/>
    <s v="Ahmedabad"/>
    <s v="Aarav"/>
    <x v="1"/>
    <x v="2"/>
    <n v="85"/>
    <n v="120"/>
    <n v="10200"/>
    <n v="6630"/>
    <n v="3570"/>
    <n v="0"/>
    <s v="Modern Trade"/>
    <n v="337.6"/>
  </r>
  <r>
    <n v="100146"/>
    <d v="2025-08-12T00:00:00"/>
    <x v="0"/>
    <s v="Q3"/>
    <n v="8"/>
    <x v="5"/>
    <x v="2"/>
    <s v="India"/>
    <s v="Kochi"/>
    <s v="Priya"/>
    <x v="2"/>
    <x v="11"/>
    <n v="81"/>
    <n v="40"/>
    <n v="3078"/>
    <n v="1863"/>
    <n v="1215"/>
    <n v="0.05"/>
    <s v="General Trade"/>
    <n v="54.43"/>
  </r>
  <r>
    <n v="100147"/>
    <d v="2025-08-30T00:00:00"/>
    <x v="0"/>
    <s v="Q3"/>
    <n v="8"/>
    <x v="5"/>
    <x v="1"/>
    <s v="India"/>
    <s v="Kolkata"/>
    <s v="Rahul"/>
    <x v="3"/>
    <x v="14"/>
    <n v="49"/>
    <n v="55"/>
    <n v="2479.4"/>
    <n v="1813"/>
    <n v="666.4"/>
    <n v="0.08"/>
    <s v="Online"/>
    <n v="107.57"/>
  </r>
  <r>
    <n v="100148"/>
    <d v="2025-11-29T00:00:00"/>
    <x v="0"/>
    <s v="Q4"/>
    <n v="11"/>
    <x v="11"/>
    <x v="2"/>
    <s v="India"/>
    <s v="Kochi"/>
    <s v="Simran"/>
    <x v="4"/>
    <x v="6"/>
    <n v="42"/>
    <n v="45"/>
    <n v="1738.8"/>
    <n v="1134"/>
    <n v="604.79999999999995"/>
    <n v="0.08"/>
    <s v="General Trade"/>
    <n v="102.34"/>
  </r>
  <r>
    <n v="100149"/>
    <d v="2024-07-24T00:00:00"/>
    <x v="1"/>
    <s v="Q3"/>
    <n v="7"/>
    <x v="7"/>
    <x v="0"/>
    <s v="India"/>
    <s v="Surat"/>
    <s v="Rohan"/>
    <x v="0"/>
    <x v="8"/>
    <n v="54"/>
    <n v="130"/>
    <n v="6669"/>
    <n v="4104"/>
    <n v="2565"/>
    <n v="0.05"/>
    <s v="Online"/>
    <n v="349.51"/>
  </r>
  <r>
    <n v="100150"/>
    <d v="2024-11-30T00:00:00"/>
    <x v="1"/>
    <s v="Q4"/>
    <n v="11"/>
    <x v="11"/>
    <x v="0"/>
    <s v="India"/>
    <s v="Mumbai"/>
    <s v="Rahul"/>
    <x v="3"/>
    <x v="14"/>
    <n v="40"/>
    <n v="55"/>
    <n v="2024"/>
    <n v="1480"/>
    <n v="544"/>
    <n v="0.08"/>
    <s v="General Trade"/>
    <n v="44.71"/>
  </r>
  <r>
    <n v="100151"/>
    <d v="2023-03-23T00:00:00"/>
    <x v="2"/>
    <s v="Q1"/>
    <n v="3"/>
    <x v="6"/>
    <x v="1"/>
    <s v="India"/>
    <s v="Bhubaneswar"/>
    <s v="Kavya"/>
    <x v="0"/>
    <x v="0"/>
    <n v="21"/>
    <n v="110"/>
    <n v="2310"/>
    <n v="1428"/>
    <n v="882"/>
    <n v="0"/>
    <s v="General Trade"/>
    <n v="71.12"/>
  </r>
  <r>
    <n v="100152"/>
    <d v="2023-01-17T00:00:00"/>
    <x v="2"/>
    <s v="Q1"/>
    <n v="1"/>
    <x v="8"/>
    <x v="1"/>
    <s v="India"/>
    <s v="Patna"/>
    <s v="Rahul"/>
    <x v="2"/>
    <x v="9"/>
    <n v="97"/>
    <n v="90"/>
    <n v="8031.6"/>
    <n v="5044"/>
    <n v="2987.6"/>
    <n v="0.08"/>
    <s v="Online"/>
    <n v="177.21"/>
  </r>
  <r>
    <n v="100153"/>
    <d v="2024-08-08T00:00:00"/>
    <x v="1"/>
    <s v="Q3"/>
    <n v="8"/>
    <x v="5"/>
    <x v="3"/>
    <s v="India"/>
    <s v="Lucknow"/>
    <s v="Kavya"/>
    <x v="0"/>
    <x v="13"/>
    <n v="69"/>
    <n v="105"/>
    <n v="7245"/>
    <n v="4209"/>
    <n v="3036"/>
    <n v="0"/>
    <s v="Wholesale"/>
    <n v="409.01"/>
  </r>
  <r>
    <n v="100154"/>
    <d v="2024-04-28T00:00:00"/>
    <x v="1"/>
    <s v="Q2"/>
    <n v="4"/>
    <x v="1"/>
    <x v="2"/>
    <s v="India"/>
    <s v="Kochi"/>
    <s v="Aarav"/>
    <x v="2"/>
    <x v="18"/>
    <n v="21"/>
    <n v="50"/>
    <n v="1050"/>
    <n v="609"/>
    <n v="441"/>
    <n v="0"/>
    <s v="General Trade"/>
    <n v="49.37"/>
  </r>
  <r>
    <n v="100155"/>
    <d v="2023-07-29T00:00:00"/>
    <x v="2"/>
    <s v="Q3"/>
    <n v="7"/>
    <x v="7"/>
    <x v="2"/>
    <s v="India"/>
    <s v="Bengaluru"/>
    <s v="Aarav"/>
    <x v="3"/>
    <x v="19"/>
    <n v="134"/>
    <n v="60"/>
    <n v="7798.8"/>
    <n v="5628"/>
    <n v="2170.8000000000002"/>
    <n v="0.03"/>
    <s v="General Trade"/>
    <n v="145.13"/>
  </r>
  <r>
    <n v="100156"/>
    <d v="2023-03-20T00:00:00"/>
    <x v="2"/>
    <s v="Q1"/>
    <n v="3"/>
    <x v="6"/>
    <x v="1"/>
    <s v="India"/>
    <s v="Patna"/>
    <s v="Neha"/>
    <x v="2"/>
    <x v="4"/>
    <n v="35"/>
    <n v="75"/>
    <n v="2625"/>
    <n v="1540"/>
    <n v="1085"/>
    <n v="0"/>
    <s v="Modern Trade"/>
    <n v="107.02"/>
  </r>
  <r>
    <n v="100157"/>
    <d v="2024-02-01T00:00:00"/>
    <x v="1"/>
    <s v="Q1"/>
    <n v="2"/>
    <x v="9"/>
    <x v="3"/>
    <s v="India"/>
    <s v="Jaipur"/>
    <s v="Kavya"/>
    <x v="4"/>
    <x v="6"/>
    <n v="84"/>
    <n v="45"/>
    <n v="3704.4"/>
    <n v="2268"/>
    <n v="1436.4"/>
    <n v="0.02"/>
    <s v="General Trade"/>
    <n v="72.349999999999994"/>
  </r>
  <r>
    <n v="100158"/>
    <d v="2025-04-28T00:00:00"/>
    <x v="0"/>
    <s v="Q2"/>
    <n v="4"/>
    <x v="1"/>
    <x v="2"/>
    <s v="India"/>
    <s v="Kochi"/>
    <s v="Neha"/>
    <x v="1"/>
    <x v="2"/>
    <n v="30"/>
    <n v="120"/>
    <n v="3312"/>
    <n v="2340"/>
    <n v="972"/>
    <n v="0.08"/>
    <s v="General Trade"/>
    <n v="205.86"/>
  </r>
  <r>
    <n v="100159"/>
    <d v="2024-07-23T00:00:00"/>
    <x v="1"/>
    <s v="Q3"/>
    <n v="7"/>
    <x v="7"/>
    <x v="1"/>
    <s v="India"/>
    <s v="Bhubaneswar"/>
    <s v="Priya"/>
    <x v="2"/>
    <x v="18"/>
    <n v="73"/>
    <n v="50"/>
    <n v="3358"/>
    <n v="2117"/>
    <n v="1241"/>
    <n v="0.08"/>
    <s v="Wholesale"/>
    <n v="182.41"/>
  </r>
  <r>
    <n v="100160"/>
    <d v="2023-07-27T00:00:00"/>
    <x v="2"/>
    <s v="Q3"/>
    <n v="7"/>
    <x v="7"/>
    <x v="0"/>
    <s v="India"/>
    <s v="Surat"/>
    <s v="Kavya"/>
    <x v="1"/>
    <x v="2"/>
    <n v="102"/>
    <n v="120"/>
    <n v="11628"/>
    <n v="7956"/>
    <n v="3672"/>
    <n v="0.05"/>
    <s v="Modern Trade"/>
    <n v="667.46"/>
  </r>
  <r>
    <n v="100161"/>
    <d v="2023-07-18T00:00:00"/>
    <x v="2"/>
    <s v="Q3"/>
    <n v="7"/>
    <x v="7"/>
    <x v="0"/>
    <s v="India"/>
    <s v="Mumbai"/>
    <s v="Kavya"/>
    <x v="1"/>
    <x v="2"/>
    <n v="33"/>
    <n v="120"/>
    <n v="3564"/>
    <n v="2574"/>
    <n v="990"/>
    <n v="0.1"/>
    <s v="Modern Trade"/>
    <n v="174.34"/>
  </r>
  <r>
    <n v="100162"/>
    <d v="2025-01-03T00:00:00"/>
    <x v="0"/>
    <s v="Q1"/>
    <n v="1"/>
    <x v="8"/>
    <x v="2"/>
    <s v="India"/>
    <s v="Hyderabad"/>
    <s v="Aarav"/>
    <x v="1"/>
    <x v="3"/>
    <n v="93"/>
    <n v="180"/>
    <n v="16237.8"/>
    <n v="10695"/>
    <n v="5542.8"/>
    <n v="0.03"/>
    <s v="General Trade"/>
    <n v="422.65"/>
  </r>
  <r>
    <n v="100163"/>
    <d v="2024-12-26T00:00:00"/>
    <x v="1"/>
    <s v="Q4"/>
    <n v="12"/>
    <x v="10"/>
    <x v="2"/>
    <s v="India"/>
    <s v="Chennai"/>
    <s v="Simran"/>
    <x v="2"/>
    <x v="9"/>
    <n v="81"/>
    <n v="90"/>
    <n v="7144.2"/>
    <n v="4212"/>
    <n v="2932.2"/>
    <n v="0.02"/>
    <s v="Modern Trade"/>
    <n v="286.02999999999997"/>
  </r>
  <r>
    <n v="100164"/>
    <d v="2023-12-04T00:00:00"/>
    <x v="2"/>
    <s v="Q4"/>
    <n v="12"/>
    <x v="10"/>
    <x v="2"/>
    <s v="India"/>
    <s v="Hyderabad"/>
    <s v="Kavya"/>
    <x v="4"/>
    <x v="17"/>
    <n v="20"/>
    <n v="140"/>
    <n v="2660"/>
    <n v="1640"/>
    <n v="1020"/>
    <n v="0.05"/>
    <s v="Wholesale"/>
    <n v="165.74"/>
  </r>
  <r>
    <n v="100165"/>
    <d v="2025-02-17T00:00:00"/>
    <x v="0"/>
    <s v="Q1"/>
    <n v="2"/>
    <x v="9"/>
    <x v="2"/>
    <s v="India"/>
    <s v="Hyderabad"/>
    <s v="Simran"/>
    <x v="1"/>
    <x v="2"/>
    <n v="85"/>
    <n v="120"/>
    <n v="9180"/>
    <n v="6630"/>
    <n v="2550"/>
    <n v="0.1"/>
    <s v="Modern Trade"/>
    <n v="209.65"/>
  </r>
  <r>
    <n v="100166"/>
    <d v="2023-04-02T00:00:00"/>
    <x v="2"/>
    <s v="Q2"/>
    <n v="4"/>
    <x v="1"/>
    <x v="1"/>
    <s v="India"/>
    <s v="Kolkata"/>
    <s v="Amit"/>
    <x v="4"/>
    <x v="17"/>
    <n v="106"/>
    <n v="140"/>
    <n v="14394.8"/>
    <n v="8692"/>
    <n v="5702.8"/>
    <n v="0.03"/>
    <s v="General Trade"/>
    <n v="285.49"/>
  </r>
  <r>
    <n v="100167"/>
    <d v="2024-08-11T00:00:00"/>
    <x v="1"/>
    <s v="Q3"/>
    <n v="8"/>
    <x v="5"/>
    <x v="1"/>
    <s v="India"/>
    <s v="Bhubaneswar"/>
    <s v="Rohan"/>
    <x v="2"/>
    <x v="11"/>
    <n v="112"/>
    <n v="40"/>
    <n v="4390.3999999999996"/>
    <n v="2576"/>
    <n v="1814.4"/>
    <n v="0.02"/>
    <s v="General Trade"/>
    <n v="233.24"/>
  </r>
  <r>
    <n v="100168"/>
    <d v="2025-06-05T00:00:00"/>
    <x v="0"/>
    <s v="Q2"/>
    <n v="6"/>
    <x v="4"/>
    <x v="1"/>
    <s v="India"/>
    <s v="Kolkata"/>
    <s v="Rohan"/>
    <x v="3"/>
    <x v="19"/>
    <n v="132"/>
    <n v="60"/>
    <n v="7920"/>
    <n v="5544"/>
    <n v="2376"/>
    <n v="0"/>
    <s v="Modern Trade"/>
    <n v="526.61"/>
  </r>
  <r>
    <n v="100169"/>
    <d v="2024-07-06T00:00:00"/>
    <x v="1"/>
    <s v="Q3"/>
    <n v="7"/>
    <x v="7"/>
    <x v="2"/>
    <s v="India"/>
    <s v="Kochi"/>
    <s v="Rahul"/>
    <x v="3"/>
    <x v="14"/>
    <n v="101"/>
    <n v="55"/>
    <n v="5110.6000000000004"/>
    <n v="3737"/>
    <n v="1373.6"/>
    <n v="0.08"/>
    <s v="Modern Trade"/>
    <n v="172.07"/>
  </r>
  <r>
    <n v="100170"/>
    <d v="2024-04-03T00:00:00"/>
    <x v="1"/>
    <s v="Q2"/>
    <n v="4"/>
    <x v="1"/>
    <x v="1"/>
    <s v="India"/>
    <s v="Ranchi"/>
    <s v="Aarav"/>
    <x v="4"/>
    <x v="15"/>
    <n v="31"/>
    <n v="160"/>
    <n v="4811.2"/>
    <n v="2945"/>
    <n v="1866.2"/>
    <n v="0.03"/>
    <s v="General Trade"/>
    <n v="242.47"/>
  </r>
  <r>
    <n v="100171"/>
    <d v="2023-01-14T00:00:00"/>
    <x v="2"/>
    <s v="Q1"/>
    <n v="1"/>
    <x v="8"/>
    <x v="0"/>
    <s v="India"/>
    <s v="Pune"/>
    <s v="Priya"/>
    <x v="1"/>
    <x v="10"/>
    <n v="21"/>
    <n v="25"/>
    <n v="525"/>
    <n v="294"/>
    <n v="231"/>
    <n v="0"/>
    <s v="General Trade"/>
    <n v="33.049999999999997"/>
  </r>
  <r>
    <n v="100172"/>
    <d v="2025-01-19T00:00:00"/>
    <x v="0"/>
    <s v="Q1"/>
    <n v="1"/>
    <x v="8"/>
    <x v="1"/>
    <s v="India"/>
    <s v="Kolkata"/>
    <s v="Priya"/>
    <x v="1"/>
    <x v="10"/>
    <n v="62"/>
    <n v="25"/>
    <n v="1472.5"/>
    <n v="868"/>
    <n v="604.5"/>
    <n v="0.05"/>
    <s v="General Trade"/>
    <n v="62.44"/>
  </r>
  <r>
    <n v="100173"/>
    <d v="2024-10-23T00:00:00"/>
    <x v="1"/>
    <s v="Q4"/>
    <n v="10"/>
    <x v="3"/>
    <x v="3"/>
    <s v="India"/>
    <s v="Lucknow"/>
    <s v="Amit"/>
    <x v="4"/>
    <x v="7"/>
    <n v="140"/>
    <n v="95"/>
    <n v="13300"/>
    <n v="7840"/>
    <n v="5460"/>
    <n v="0"/>
    <s v="General Trade"/>
    <n v="494.49"/>
  </r>
  <r>
    <n v="100174"/>
    <d v="2023-12-19T00:00:00"/>
    <x v="2"/>
    <s v="Q4"/>
    <n v="12"/>
    <x v="10"/>
    <x v="0"/>
    <s v="India"/>
    <s v="Surat"/>
    <s v="Neha"/>
    <x v="1"/>
    <x v="2"/>
    <n v="33"/>
    <n v="120"/>
    <n v="3841.2"/>
    <n v="2574"/>
    <n v="1267.2"/>
    <n v="0.03"/>
    <s v="Online"/>
    <n v="130.69999999999999"/>
  </r>
  <r>
    <n v="100175"/>
    <d v="2025-08-13T00:00:00"/>
    <x v="0"/>
    <s v="Q3"/>
    <n v="8"/>
    <x v="5"/>
    <x v="1"/>
    <s v="India"/>
    <s v="Bhubaneswar"/>
    <s v="Simran"/>
    <x v="3"/>
    <x v="5"/>
    <n v="114"/>
    <n v="320"/>
    <n v="35385.599999999999"/>
    <n v="26790"/>
    <n v="8595.6"/>
    <n v="0.03"/>
    <s v="Modern Trade"/>
    <n v="1942.29"/>
  </r>
  <r>
    <n v="100176"/>
    <d v="2023-12-01T00:00:00"/>
    <x v="2"/>
    <s v="Q4"/>
    <n v="12"/>
    <x v="10"/>
    <x v="2"/>
    <s v="India"/>
    <s v="Kochi"/>
    <s v="Rahul"/>
    <x v="2"/>
    <x v="11"/>
    <n v="124"/>
    <n v="40"/>
    <n v="4860.8"/>
    <n v="2852"/>
    <n v="2008.8"/>
    <n v="0.02"/>
    <s v="Modern Trade"/>
    <n v="168.93"/>
  </r>
  <r>
    <n v="100177"/>
    <d v="2023-01-21T00:00:00"/>
    <x v="2"/>
    <s v="Q1"/>
    <n v="1"/>
    <x v="8"/>
    <x v="0"/>
    <s v="India"/>
    <s v="Mumbai"/>
    <s v="Neha"/>
    <x v="1"/>
    <x v="3"/>
    <n v="109"/>
    <n v="180"/>
    <n v="18050.400000000001"/>
    <n v="12535"/>
    <n v="5515.4"/>
    <n v="0.08"/>
    <s v="General Trade"/>
    <n v="449.14"/>
  </r>
  <r>
    <n v="100178"/>
    <d v="2023-01-02T00:00:00"/>
    <x v="2"/>
    <s v="Q1"/>
    <n v="1"/>
    <x v="8"/>
    <x v="0"/>
    <s v="India"/>
    <s v="Mumbai"/>
    <s v="Rohan"/>
    <x v="3"/>
    <x v="19"/>
    <n v="50"/>
    <n v="60"/>
    <n v="2940"/>
    <n v="2100"/>
    <n v="840"/>
    <n v="0.02"/>
    <s v="Modern Trade"/>
    <n v="184.9"/>
  </r>
  <r>
    <n v="100179"/>
    <d v="2023-08-19T00:00:00"/>
    <x v="2"/>
    <s v="Q3"/>
    <n v="8"/>
    <x v="5"/>
    <x v="3"/>
    <s v="India"/>
    <s v="Lucknow"/>
    <s v="Rahul"/>
    <x v="4"/>
    <x v="15"/>
    <n v="132"/>
    <n v="160"/>
    <n v="20697.599999999999"/>
    <n v="12540"/>
    <n v="8157.6"/>
    <n v="0.02"/>
    <s v="Online"/>
    <n v="764.73"/>
  </r>
  <r>
    <n v="100180"/>
    <d v="2024-04-04T00:00:00"/>
    <x v="1"/>
    <s v="Q2"/>
    <n v="4"/>
    <x v="1"/>
    <x v="1"/>
    <s v="India"/>
    <s v="Ranchi"/>
    <s v="Kavya"/>
    <x v="3"/>
    <x v="16"/>
    <n v="40"/>
    <n v="280"/>
    <n v="10976"/>
    <n v="8200"/>
    <n v="2776"/>
    <n v="0.02"/>
    <s v="General Trade"/>
    <n v="209.01"/>
  </r>
  <r>
    <n v="100181"/>
    <d v="2025-04-23T00:00:00"/>
    <x v="0"/>
    <s v="Q2"/>
    <n v="4"/>
    <x v="1"/>
    <x v="2"/>
    <s v="India"/>
    <s v="Chennai"/>
    <s v="Simran"/>
    <x v="2"/>
    <x v="9"/>
    <n v="17"/>
    <n v="90"/>
    <n v="1453.5"/>
    <n v="884"/>
    <n v="569.5"/>
    <n v="0.05"/>
    <s v="General Trade"/>
    <n v="78.3"/>
  </r>
  <r>
    <n v="100182"/>
    <d v="2024-11-17T00:00:00"/>
    <x v="1"/>
    <s v="Q4"/>
    <n v="11"/>
    <x v="11"/>
    <x v="3"/>
    <s v="India"/>
    <s v="Lucknow"/>
    <s v="Rohan"/>
    <x v="4"/>
    <x v="6"/>
    <n v="129"/>
    <n v="45"/>
    <n v="5340.6"/>
    <n v="3483"/>
    <n v="1857.6"/>
    <n v="0.08"/>
    <s v="Modern Trade"/>
    <n v="252.05"/>
  </r>
  <r>
    <n v="100183"/>
    <d v="2025-08-14T00:00:00"/>
    <x v="0"/>
    <s v="Q3"/>
    <n v="8"/>
    <x v="5"/>
    <x v="1"/>
    <s v="India"/>
    <s v="Bhubaneswar"/>
    <s v="Rohan"/>
    <x v="3"/>
    <x v="19"/>
    <n v="46"/>
    <n v="60"/>
    <n v="2484"/>
    <n v="1932"/>
    <n v="552"/>
    <n v="0.1"/>
    <s v="General Trade"/>
    <n v="42.64"/>
  </r>
  <r>
    <n v="100184"/>
    <d v="2024-04-29T00:00:00"/>
    <x v="1"/>
    <s v="Q2"/>
    <n v="4"/>
    <x v="1"/>
    <x v="3"/>
    <s v="India"/>
    <s v="Jaipur"/>
    <s v="Simran"/>
    <x v="2"/>
    <x v="18"/>
    <n v="21"/>
    <n v="50"/>
    <n v="1050"/>
    <n v="609"/>
    <n v="441"/>
    <n v="0"/>
    <s v="Online"/>
    <n v="72.73"/>
  </r>
  <r>
    <n v="100185"/>
    <d v="2023-05-06T00:00:00"/>
    <x v="2"/>
    <s v="Q2"/>
    <n v="5"/>
    <x v="0"/>
    <x v="2"/>
    <s v="India"/>
    <s v="Chennai"/>
    <s v="Priya"/>
    <x v="4"/>
    <x v="6"/>
    <n v="48"/>
    <n v="45"/>
    <n v="2095.1999999999998"/>
    <n v="1296"/>
    <n v="799.2"/>
    <n v="0.03"/>
    <s v="General Trade"/>
    <n v="90.84"/>
  </r>
  <r>
    <n v="100186"/>
    <d v="2023-05-31T00:00:00"/>
    <x v="2"/>
    <s v="Q2"/>
    <n v="5"/>
    <x v="0"/>
    <x v="1"/>
    <s v="India"/>
    <s v="Bhubaneswar"/>
    <s v="Aarav"/>
    <x v="2"/>
    <x v="9"/>
    <n v="133"/>
    <n v="90"/>
    <n v="11371.5"/>
    <n v="6916"/>
    <n v="4455.5"/>
    <n v="0.05"/>
    <s v="Online"/>
    <n v="777.19"/>
  </r>
  <r>
    <n v="100187"/>
    <d v="2024-10-30T00:00:00"/>
    <x v="1"/>
    <s v="Q4"/>
    <n v="10"/>
    <x v="3"/>
    <x v="1"/>
    <s v="India"/>
    <s v="Bhubaneswar"/>
    <s v="Rahul"/>
    <x v="3"/>
    <x v="14"/>
    <n v="43"/>
    <n v="55"/>
    <n v="2246.75"/>
    <n v="1591"/>
    <n v="655.75"/>
    <n v="0.05"/>
    <s v="Online"/>
    <n v="154.63"/>
  </r>
  <r>
    <n v="100188"/>
    <d v="2023-04-24T00:00:00"/>
    <x v="2"/>
    <s v="Q2"/>
    <n v="4"/>
    <x v="1"/>
    <x v="2"/>
    <s v="India"/>
    <s v="Chennai"/>
    <s v="Kavya"/>
    <x v="0"/>
    <x v="8"/>
    <n v="122"/>
    <n v="130"/>
    <n v="15860"/>
    <n v="9272"/>
    <n v="6588"/>
    <n v="0"/>
    <s v="Wholesale"/>
    <n v="1049.97"/>
  </r>
  <r>
    <n v="100189"/>
    <d v="2025-10-21T00:00:00"/>
    <x v="0"/>
    <s v="Q4"/>
    <n v="10"/>
    <x v="3"/>
    <x v="0"/>
    <s v="India"/>
    <s v="Ahmedabad"/>
    <s v="Neha"/>
    <x v="4"/>
    <x v="6"/>
    <n v="57"/>
    <n v="45"/>
    <n v="2436.75"/>
    <n v="1539"/>
    <n v="897.75"/>
    <n v="0.05"/>
    <s v="General Trade"/>
    <n v="50.84"/>
  </r>
  <r>
    <n v="100190"/>
    <d v="2024-12-04T00:00:00"/>
    <x v="1"/>
    <s v="Q4"/>
    <n v="12"/>
    <x v="10"/>
    <x v="2"/>
    <s v="India"/>
    <s v="Hyderabad"/>
    <s v="Amit"/>
    <x v="3"/>
    <x v="19"/>
    <n v="98"/>
    <n v="60"/>
    <n v="5409.6"/>
    <n v="4116"/>
    <n v="1293.5999999999999"/>
    <n v="0.08"/>
    <s v="General Trade"/>
    <n v="313.93"/>
  </r>
  <r>
    <n v="100191"/>
    <d v="2025-08-28T00:00:00"/>
    <x v="0"/>
    <s v="Q3"/>
    <n v="8"/>
    <x v="5"/>
    <x v="1"/>
    <s v="India"/>
    <s v="Bhubaneswar"/>
    <s v="Priya"/>
    <x v="2"/>
    <x v="11"/>
    <n v="141"/>
    <n v="40"/>
    <n v="5358"/>
    <n v="3243"/>
    <n v="2115"/>
    <n v="0.05"/>
    <s v="Wholesale"/>
    <n v="318.43"/>
  </r>
  <r>
    <n v="100192"/>
    <d v="2025-04-30T00:00:00"/>
    <x v="0"/>
    <s v="Q2"/>
    <n v="4"/>
    <x v="1"/>
    <x v="3"/>
    <s v="India"/>
    <s v="Jaipur"/>
    <s v="Aarav"/>
    <x v="2"/>
    <x v="11"/>
    <n v="63"/>
    <n v="40"/>
    <n v="2394"/>
    <n v="1449"/>
    <n v="945"/>
    <n v="0.05"/>
    <s v="General Trade"/>
    <n v="79.150000000000006"/>
  </r>
  <r>
    <n v="100193"/>
    <d v="2024-12-11T00:00:00"/>
    <x v="1"/>
    <s v="Q4"/>
    <n v="12"/>
    <x v="10"/>
    <x v="0"/>
    <s v="India"/>
    <s v="Mumbai"/>
    <s v="Kavya"/>
    <x v="2"/>
    <x v="18"/>
    <n v="58"/>
    <n v="50"/>
    <n v="2813"/>
    <n v="1682"/>
    <n v="1131"/>
    <n v="0.03"/>
    <s v="General Trade"/>
    <n v="110.95"/>
  </r>
  <r>
    <n v="100194"/>
    <d v="2025-05-16T00:00:00"/>
    <x v="0"/>
    <s v="Q2"/>
    <n v="5"/>
    <x v="0"/>
    <x v="1"/>
    <s v="India"/>
    <s v="Bhubaneswar"/>
    <s v="Simran"/>
    <x v="4"/>
    <x v="15"/>
    <n v="18"/>
    <n v="160"/>
    <n v="2793.6"/>
    <n v="1710"/>
    <n v="1083.5999999999999"/>
    <n v="0.03"/>
    <s v="Online"/>
    <n v="174.55"/>
  </r>
  <r>
    <n v="100195"/>
    <d v="2024-09-20T00:00:00"/>
    <x v="1"/>
    <s v="Q3"/>
    <n v="9"/>
    <x v="2"/>
    <x v="3"/>
    <s v="India"/>
    <s v="Noida"/>
    <s v="Rohan"/>
    <x v="1"/>
    <x v="2"/>
    <n v="57"/>
    <n v="120"/>
    <n v="6498"/>
    <n v="4446"/>
    <n v="2052"/>
    <n v="0.05"/>
    <s v="General Trade"/>
    <n v="288.17"/>
  </r>
  <r>
    <n v="100196"/>
    <d v="2023-12-09T00:00:00"/>
    <x v="2"/>
    <s v="Q4"/>
    <n v="12"/>
    <x v="10"/>
    <x v="2"/>
    <s v="India"/>
    <s v="Bengaluru"/>
    <s v="Rohan"/>
    <x v="0"/>
    <x v="8"/>
    <n v="30"/>
    <n v="130"/>
    <n v="3822"/>
    <n v="2280"/>
    <n v="1542"/>
    <n v="0.02"/>
    <s v="General Trade"/>
    <n v="58.92"/>
  </r>
  <r>
    <n v="100197"/>
    <d v="2024-02-03T00:00:00"/>
    <x v="1"/>
    <s v="Q1"/>
    <n v="2"/>
    <x v="9"/>
    <x v="3"/>
    <s v="India"/>
    <s v="Lucknow"/>
    <s v="Priya"/>
    <x v="3"/>
    <x v="16"/>
    <n v="77"/>
    <n v="280"/>
    <n v="19404"/>
    <n v="15785"/>
    <n v="3619"/>
    <n v="0.1"/>
    <s v="General Trade"/>
    <n v="666.32"/>
  </r>
  <r>
    <n v="100198"/>
    <d v="2025-08-21T00:00:00"/>
    <x v="0"/>
    <s v="Q3"/>
    <n v="8"/>
    <x v="5"/>
    <x v="1"/>
    <s v="India"/>
    <s v="Kolkata"/>
    <s v="Kavya"/>
    <x v="2"/>
    <x v="4"/>
    <n v="44"/>
    <n v="75"/>
    <n v="3135"/>
    <n v="1936"/>
    <n v="1199"/>
    <n v="0.05"/>
    <s v="Online"/>
    <n v="62.48"/>
  </r>
  <r>
    <n v="100199"/>
    <d v="2024-08-11T00:00:00"/>
    <x v="1"/>
    <s v="Q3"/>
    <n v="8"/>
    <x v="5"/>
    <x v="1"/>
    <s v="India"/>
    <s v="Bhubaneswar"/>
    <s v="Amit"/>
    <x v="1"/>
    <x v="10"/>
    <n v="16"/>
    <n v="25"/>
    <n v="380"/>
    <n v="224"/>
    <n v="156"/>
    <n v="0.05"/>
    <s v="General Trade"/>
    <n v="9.49"/>
  </r>
  <r>
    <n v="100200"/>
    <d v="2025-08-16T00:00:00"/>
    <x v="0"/>
    <s v="Q3"/>
    <n v="8"/>
    <x v="5"/>
    <x v="1"/>
    <s v="India"/>
    <s v="Kolkata"/>
    <s v="Kavya"/>
    <x v="4"/>
    <x v="15"/>
    <n v="45"/>
    <n v="160"/>
    <n v="6984"/>
    <n v="4275"/>
    <n v="2709"/>
    <n v="0.03"/>
    <s v="Modern Trade"/>
    <n v="138.19"/>
  </r>
  <r>
    <n v="100201"/>
    <d v="2024-07-12T00:00:00"/>
    <x v="1"/>
    <s v="Q3"/>
    <n v="7"/>
    <x v="7"/>
    <x v="0"/>
    <s v="India"/>
    <s v="Mumbai"/>
    <s v="Aarav"/>
    <x v="4"/>
    <x v="15"/>
    <n v="30"/>
    <n v="160"/>
    <n v="4416"/>
    <n v="2850"/>
    <n v="1566"/>
    <n v="0.08"/>
    <s v="Modern Trade"/>
    <n v="121.64"/>
  </r>
  <r>
    <n v="100202"/>
    <d v="2025-09-10T00:00:00"/>
    <x v="0"/>
    <s v="Q3"/>
    <n v="9"/>
    <x v="2"/>
    <x v="2"/>
    <s v="India"/>
    <s v="Chennai"/>
    <s v="Priya"/>
    <x v="0"/>
    <x v="13"/>
    <n v="58"/>
    <n v="105"/>
    <n v="5968.2"/>
    <n v="3538"/>
    <n v="2430.1999999999998"/>
    <n v="0.02"/>
    <s v="Online"/>
    <n v="345.73"/>
  </r>
  <r>
    <n v="100203"/>
    <d v="2025-12-19T00:00:00"/>
    <x v="0"/>
    <s v="Q4"/>
    <n v="12"/>
    <x v="10"/>
    <x v="0"/>
    <s v="India"/>
    <s v="Pune"/>
    <s v="Priya"/>
    <x v="0"/>
    <x v="8"/>
    <n v="78"/>
    <n v="130"/>
    <n v="10140"/>
    <n v="5928"/>
    <n v="4212"/>
    <n v="0"/>
    <s v="Modern Trade"/>
    <n v="563.04999999999995"/>
  </r>
  <r>
    <n v="100204"/>
    <d v="2024-10-22T00:00:00"/>
    <x v="1"/>
    <s v="Q4"/>
    <n v="10"/>
    <x v="3"/>
    <x v="3"/>
    <s v="India"/>
    <s v="Noida"/>
    <s v="Amit"/>
    <x v="1"/>
    <x v="10"/>
    <n v="20"/>
    <n v="25"/>
    <n v="490"/>
    <n v="280"/>
    <n v="210"/>
    <n v="0.02"/>
    <s v="General Trade"/>
    <n v="17.88"/>
  </r>
  <r>
    <n v="100205"/>
    <d v="2025-07-09T00:00:00"/>
    <x v="0"/>
    <s v="Q3"/>
    <n v="7"/>
    <x v="7"/>
    <x v="2"/>
    <s v="India"/>
    <s v="Kochi"/>
    <s v="Aarav"/>
    <x v="1"/>
    <x v="2"/>
    <n v="76"/>
    <n v="120"/>
    <n v="8846.4"/>
    <n v="5928"/>
    <n v="2918.4"/>
    <n v="0.03"/>
    <s v="Online"/>
    <n v="349.6"/>
  </r>
  <r>
    <n v="100206"/>
    <d v="2025-09-25T00:00:00"/>
    <x v="0"/>
    <s v="Q3"/>
    <n v="9"/>
    <x v="2"/>
    <x v="1"/>
    <s v="India"/>
    <s v="Ranchi"/>
    <s v="Kavya"/>
    <x v="0"/>
    <x v="13"/>
    <n v="111"/>
    <n v="105"/>
    <n v="11072.25"/>
    <n v="6771"/>
    <n v="4301.25"/>
    <n v="0.05"/>
    <s v="General Trade"/>
    <n v="333.04"/>
  </r>
  <r>
    <n v="100207"/>
    <d v="2023-12-19T00:00:00"/>
    <x v="2"/>
    <s v="Q4"/>
    <n v="12"/>
    <x v="10"/>
    <x v="1"/>
    <s v="India"/>
    <s v="Patna"/>
    <s v="Amit"/>
    <x v="2"/>
    <x v="18"/>
    <n v="132"/>
    <n v="50"/>
    <n v="6468"/>
    <n v="3828"/>
    <n v="2640"/>
    <n v="0.02"/>
    <s v="Modern Trade"/>
    <n v="316.57"/>
  </r>
  <r>
    <n v="100208"/>
    <d v="2025-08-13T00:00:00"/>
    <x v="0"/>
    <s v="Q3"/>
    <n v="8"/>
    <x v="5"/>
    <x v="3"/>
    <s v="India"/>
    <s v="Lucknow"/>
    <s v="Kavya"/>
    <x v="2"/>
    <x v="18"/>
    <n v="17"/>
    <n v="50"/>
    <n v="782"/>
    <n v="493"/>
    <n v="289"/>
    <n v="0.08"/>
    <s v="General Trade"/>
    <n v="39.72"/>
  </r>
  <r>
    <n v="100209"/>
    <d v="2023-02-27T00:00:00"/>
    <x v="2"/>
    <s v="Q1"/>
    <n v="2"/>
    <x v="9"/>
    <x v="0"/>
    <s v="India"/>
    <s v="Pune"/>
    <s v="Rohan"/>
    <x v="0"/>
    <x v="8"/>
    <n v="11"/>
    <n v="130"/>
    <n v="1387.1"/>
    <n v="836"/>
    <n v="551.1"/>
    <n v="0.03"/>
    <s v="Modern Trade"/>
    <n v="96.75"/>
  </r>
  <r>
    <n v="100210"/>
    <d v="2024-10-23T00:00:00"/>
    <x v="1"/>
    <s v="Q4"/>
    <n v="10"/>
    <x v="3"/>
    <x v="1"/>
    <s v="India"/>
    <s v="Bhubaneswar"/>
    <s v="Priya"/>
    <x v="3"/>
    <x v="19"/>
    <n v="40"/>
    <n v="60"/>
    <n v="2280"/>
    <n v="1680"/>
    <n v="600"/>
    <n v="0.05"/>
    <s v="General Trade"/>
    <n v="55.58"/>
  </r>
  <r>
    <n v="100211"/>
    <d v="2024-09-24T00:00:00"/>
    <x v="1"/>
    <s v="Q3"/>
    <n v="9"/>
    <x v="2"/>
    <x v="0"/>
    <s v="India"/>
    <s v="Surat"/>
    <s v="Kavya"/>
    <x v="1"/>
    <x v="3"/>
    <n v="149"/>
    <n v="180"/>
    <n v="24138"/>
    <n v="17135"/>
    <n v="7003"/>
    <n v="0.1"/>
    <s v="General Trade"/>
    <n v="992.52"/>
  </r>
  <r>
    <n v="100212"/>
    <d v="2023-12-14T00:00:00"/>
    <x v="2"/>
    <s v="Q4"/>
    <n v="12"/>
    <x v="10"/>
    <x v="0"/>
    <s v="India"/>
    <s v="Surat"/>
    <s v="Kavya"/>
    <x v="1"/>
    <x v="3"/>
    <n v="113"/>
    <n v="180"/>
    <n v="19323"/>
    <n v="12995"/>
    <n v="6328"/>
    <n v="0.05"/>
    <s v="Modern Trade"/>
    <n v="548.79"/>
  </r>
  <r>
    <n v="100213"/>
    <d v="2024-02-10T00:00:00"/>
    <x v="1"/>
    <s v="Q1"/>
    <n v="2"/>
    <x v="9"/>
    <x v="2"/>
    <s v="India"/>
    <s v="Kochi"/>
    <s v="Amit"/>
    <x v="0"/>
    <x v="0"/>
    <n v="25"/>
    <n v="110"/>
    <n v="2667.5"/>
    <n v="1700"/>
    <n v="967.5"/>
    <n v="0.03"/>
    <s v="General Trade"/>
    <n v="63.38"/>
  </r>
  <r>
    <n v="100214"/>
    <d v="2024-04-25T00:00:00"/>
    <x v="1"/>
    <s v="Q2"/>
    <n v="4"/>
    <x v="1"/>
    <x v="0"/>
    <s v="India"/>
    <s v="Pune"/>
    <s v="Aarav"/>
    <x v="2"/>
    <x v="18"/>
    <n v="94"/>
    <n v="50"/>
    <n v="4606"/>
    <n v="2726"/>
    <n v="1880"/>
    <n v="0.02"/>
    <s v="General Trade"/>
    <n v="129.65"/>
  </r>
  <r>
    <n v="100215"/>
    <d v="2023-11-07T00:00:00"/>
    <x v="2"/>
    <s v="Q4"/>
    <n v="11"/>
    <x v="11"/>
    <x v="2"/>
    <s v="India"/>
    <s v="Hyderabad"/>
    <s v="Neha"/>
    <x v="0"/>
    <x v="8"/>
    <n v="95"/>
    <n v="130"/>
    <n v="11732.5"/>
    <n v="7220"/>
    <n v="4512.5"/>
    <n v="0.05"/>
    <s v="Wholesale"/>
    <n v="428.32"/>
  </r>
  <r>
    <n v="100216"/>
    <d v="2023-02-11T00:00:00"/>
    <x v="2"/>
    <s v="Q1"/>
    <n v="2"/>
    <x v="9"/>
    <x v="2"/>
    <s v="India"/>
    <s v="Bengaluru"/>
    <s v="Kavya"/>
    <x v="4"/>
    <x v="15"/>
    <n v="143"/>
    <n v="160"/>
    <n v="22880"/>
    <n v="13585"/>
    <n v="9295"/>
    <n v="0"/>
    <s v="General Trade"/>
    <n v="609.96"/>
  </r>
  <r>
    <n v="100217"/>
    <d v="2024-07-31T00:00:00"/>
    <x v="1"/>
    <s v="Q3"/>
    <n v="7"/>
    <x v="7"/>
    <x v="0"/>
    <s v="India"/>
    <s v="Pune"/>
    <s v="Priya"/>
    <x v="2"/>
    <x v="11"/>
    <n v="29"/>
    <n v="40"/>
    <n v="1102"/>
    <n v="667"/>
    <n v="435"/>
    <n v="0.05"/>
    <s v="General Trade"/>
    <n v="73.06"/>
  </r>
  <r>
    <n v="100218"/>
    <d v="2025-04-01T00:00:00"/>
    <x v="0"/>
    <s v="Q2"/>
    <n v="4"/>
    <x v="1"/>
    <x v="3"/>
    <s v="India"/>
    <s v="Lucknow"/>
    <s v="Neha"/>
    <x v="4"/>
    <x v="6"/>
    <n v="119"/>
    <n v="45"/>
    <n v="4926.6000000000004"/>
    <n v="3213"/>
    <n v="1713.6"/>
    <n v="0.08"/>
    <s v="Modern Trade"/>
    <n v="298.62"/>
  </r>
  <r>
    <n v="100219"/>
    <d v="2025-06-20T00:00:00"/>
    <x v="0"/>
    <s v="Q2"/>
    <n v="6"/>
    <x v="4"/>
    <x v="3"/>
    <s v="India"/>
    <s v="Delhi"/>
    <s v="Neha"/>
    <x v="2"/>
    <x v="9"/>
    <n v="34"/>
    <n v="90"/>
    <n v="2998.8"/>
    <n v="1768"/>
    <n v="1230.8"/>
    <n v="0.02"/>
    <s v="Wholesale"/>
    <n v="58.17"/>
  </r>
  <r>
    <n v="100220"/>
    <d v="2023-04-02T00:00:00"/>
    <x v="2"/>
    <s v="Q2"/>
    <n v="4"/>
    <x v="1"/>
    <x v="3"/>
    <s v="India"/>
    <s v="Jaipur"/>
    <s v="Rahul"/>
    <x v="4"/>
    <x v="15"/>
    <n v="69"/>
    <n v="160"/>
    <n v="10156.799999999999"/>
    <n v="6555"/>
    <n v="3601.8"/>
    <n v="0.08"/>
    <s v="Modern Trade"/>
    <n v="152.54"/>
  </r>
  <r>
    <n v="100221"/>
    <d v="2025-12-19T00:00:00"/>
    <x v="0"/>
    <s v="Q4"/>
    <n v="12"/>
    <x v="10"/>
    <x v="0"/>
    <s v="India"/>
    <s v="Ahmedabad"/>
    <s v="Priya"/>
    <x v="2"/>
    <x v="18"/>
    <n v="19"/>
    <n v="50"/>
    <n v="931"/>
    <n v="551"/>
    <n v="380"/>
    <n v="0.02"/>
    <s v="General Trade"/>
    <n v="38.78"/>
  </r>
  <r>
    <n v="100222"/>
    <d v="2025-12-15T00:00:00"/>
    <x v="0"/>
    <s v="Q4"/>
    <n v="12"/>
    <x v="10"/>
    <x v="0"/>
    <s v="India"/>
    <s v="Mumbai"/>
    <s v="Kavya"/>
    <x v="2"/>
    <x v="18"/>
    <n v="108"/>
    <n v="50"/>
    <n v="5400"/>
    <n v="3132"/>
    <n v="2268"/>
    <n v="0"/>
    <s v="General Trade"/>
    <n v="313.45999999999998"/>
  </r>
  <r>
    <n v="100223"/>
    <d v="2024-02-04T00:00:00"/>
    <x v="1"/>
    <s v="Q1"/>
    <n v="2"/>
    <x v="9"/>
    <x v="1"/>
    <s v="India"/>
    <s v="Kolkata"/>
    <s v="Neha"/>
    <x v="4"/>
    <x v="7"/>
    <n v="49"/>
    <n v="95"/>
    <n v="4282.6000000000004"/>
    <n v="2744"/>
    <n v="1538.6"/>
    <n v="0.08"/>
    <s v="General Trade"/>
    <n v="209.15"/>
  </r>
  <r>
    <n v="100224"/>
    <d v="2024-02-24T00:00:00"/>
    <x v="1"/>
    <s v="Q1"/>
    <n v="2"/>
    <x v="9"/>
    <x v="1"/>
    <s v="India"/>
    <s v="Bhubaneswar"/>
    <s v="Rahul"/>
    <x v="2"/>
    <x v="4"/>
    <n v="125"/>
    <n v="75"/>
    <n v="9093.75"/>
    <n v="5500"/>
    <n v="3593.75"/>
    <n v="0.03"/>
    <s v="General Trade"/>
    <n v="463.55"/>
  </r>
  <r>
    <n v="100225"/>
    <d v="2023-04-02T00:00:00"/>
    <x v="2"/>
    <s v="Q2"/>
    <n v="4"/>
    <x v="1"/>
    <x v="2"/>
    <s v="India"/>
    <s v="Bengaluru"/>
    <s v="Kavya"/>
    <x v="1"/>
    <x v="2"/>
    <n v="95"/>
    <n v="120"/>
    <n v="10260"/>
    <n v="7410"/>
    <n v="2850"/>
    <n v="0.1"/>
    <s v="Modern Trade"/>
    <n v="294.17"/>
  </r>
  <r>
    <n v="100226"/>
    <d v="2023-09-03T00:00:00"/>
    <x v="2"/>
    <s v="Q3"/>
    <n v="9"/>
    <x v="2"/>
    <x v="2"/>
    <s v="India"/>
    <s v="Hyderabad"/>
    <s v="Amit"/>
    <x v="4"/>
    <x v="7"/>
    <n v="67"/>
    <n v="95"/>
    <n v="6237.7"/>
    <n v="3752"/>
    <n v="2485.6999999999998"/>
    <n v="0.02"/>
    <s v="General Trade"/>
    <n v="305.91000000000003"/>
  </r>
  <r>
    <n v="100227"/>
    <d v="2023-08-30T00:00:00"/>
    <x v="2"/>
    <s v="Q3"/>
    <n v="8"/>
    <x v="5"/>
    <x v="3"/>
    <s v="India"/>
    <s v="Delhi"/>
    <s v="Rohan"/>
    <x v="1"/>
    <x v="2"/>
    <n v="148"/>
    <n v="120"/>
    <n v="17227.2"/>
    <n v="11544"/>
    <n v="5683.2"/>
    <n v="0.03"/>
    <s v="General Trade"/>
    <n v="1058.43"/>
  </r>
  <r>
    <n v="100228"/>
    <d v="2024-05-24T00:00:00"/>
    <x v="1"/>
    <s v="Q2"/>
    <n v="5"/>
    <x v="0"/>
    <x v="1"/>
    <s v="India"/>
    <s v="Bhubaneswar"/>
    <s v="Neha"/>
    <x v="2"/>
    <x v="9"/>
    <n v="91"/>
    <n v="90"/>
    <n v="7944.3"/>
    <n v="4732"/>
    <n v="3212.3"/>
    <n v="0.03"/>
    <s v="Wholesale"/>
    <n v="283.39999999999998"/>
  </r>
  <r>
    <n v="100229"/>
    <d v="2024-07-07T00:00:00"/>
    <x v="1"/>
    <s v="Q3"/>
    <n v="7"/>
    <x v="7"/>
    <x v="3"/>
    <s v="India"/>
    <s v="Noida"/>
    <s v="Priya"/>
    <x v="3"/>
    <x v="19"/>
    <n v="26"/>
    <n v="60"/>
    <n v="1482"/>
    <n v="1092"/>
    <n v="390"/>
    <n v="0.05"/>
    <s v="Modern Trade"/>
    <n v="99.08"/>
  </r>
  <r>
    <n v="100230"/>
    <d v="2023-01-29T00:00:00"/>
    <x v="2"/>
    <s v="Q1"/>
    <n v="1"/>
    <x v="8"/>
    <x v="3"/>
    <s v="India"/>
    <s v="Noida"/>
    <s v="Simran"/>
    <x v="3"/>
    <x v="5"/>
    <n v="30"/>
    <n v="320"/>
    <n v="8832"/>
    <n v="7050"/>
    <n v="1782"/>
    <n v="0.08"/>
    <s v="Wholesale"/>
    <n v="373.15"/>
  </r>
  <r>
    <n v="100231"/>
    <d v="2023-07-19T00:00:00"/>
    <x v="2"/>
    <s v="Q3"/>
    <n v="7"/>
    <x v="7"/>
    <x v="3"/>
    <s v="India"/>
    <s v="Jaipur"/>
    <s v="Neha"/>
    <x v="3"/>
    <x v="16"/>
    <n v="97"/>
    <n v="280"/>
    <n v="24987.200000000001"/>
    <n v="19885"/>
    <n v="5102.2"/>
    <n v="0.08"/>
    <s v="Modern Trade"/>
    <n v="520.05999999999995"/>
  </r>
  <r>
    <n v="100232"/>
    <d v="2023-04-11T00:00:00"/>
    <x v="2"/>
    <s v="Q2"/>
    <n v="4"/>
    <x v="1"/>
    <x v="1"/>
    <s v="India"/>
    <s v="Kolkata"/>
    <s v="Rahul"/>
    <x v="1"/>
    <x v="10"/>
    <n v="52"/>
    <n v="25"/>
    <n v="1235"/>
    <n v="728"/>
    <n v="507"/>
    <n v="0.05"/>
    <s v="General Trade"/>
    <n v="73.010000000000005"/>
  </r>
  <r>
    <n v="100233"/>
    <d v="2023-05-28T00:00:00"/>
    <x v="2"/>
    <s v="Q2"/>
    <n v="5"/>
    <x v="0"/>
    <x v="3"/>
    <s v="India"/>
    <s v="Lucknow"/>
    <s v="Rahul"/>
    <x v="2"/>
    <x v="11"/>
    <n v="148"/>
    <n v="40"/>
    <n v="5328"/>
    <n v="3404"/>
    <n v="1924"/>
    <n v="0.1"/>
    <s v="General Trade"/>
    <n v="356.06"/>
  </r>
  <r>
    <n v="100234"/>
    <d v="2024-03-17T00:00:00"/>
    <x v="1"/>
    <s v="Q1"/>
    <n v="3"/>
    <x v="6"/>
    <x v="3"/>
    <s v="India"/>
    <s v="Delhi"/>
    <s v="Simran"/>
    <x v="0"/>
    <x v="13"/>
    <n v="17"/>
    <n v="105"/>
    <n v="1749.3"/>
    <n v="1037"/>
    <n v="712.3"/>
    <n v="0.02"/>
    <s v="Modern Trade"/>
    <n v="28.25"/>
  </r>
  <r>
    <n v="100235"/>
    <d v="2023-12-26T00:00:00"/>
    <x v="2"/>
    <s v="Q4"/>
    <n v="12"/>
    <x v="10"/>
    <x v="3"/>
    <s v="India"/>
    <s v="Delhi"/>
    <s v="Aarav"/>
    <x v="2"/>
    <x v="11"/>
    <n v="58"/>
    <n v="40"/>
    <n v="2273.6"/>
    <n v="1334"/>
    <n v="939.6"/>
    <n v="0.02"/>
    <s v="Modern Trade"/>
    <n v="66.709999999999994"/>
  </r>
  <r>
    <n v="100236"/>
    <d v="2024-01-13T00:00:00"/>
    <x v="1"/>
    <s v="Q1"/>
    <n v="1"/>
    <x v="8"/>
    <x v="0"/>
    <s v="India"/>
    <s v="Pune"/>
    <s v="Amit"/>
    <x v="3"/>
    <x v="14"/>
    <n v="149"/>
    <n v="55"/>
    <n v="7949.15"/>
    <n v="5513"/>
    <n v="2436.15"/>
    <n v="0.03"/>
    <s v="Modern Trade"/>
    <n v="169.06"/>
  </r>
  <r>
    <n v="100237"/>
    <d v="2023-12-17T00:00:00"/>
    <x v="2"/>
    <s v="Q4"/>
    <n v="12"/>
    <x v="10"/>
    <x v="1"/>
    <s v="India"/>
    <s v="Ranchi"/>
    <s v="Priya"/>
    <x v="4"/>
    <x v="15"/>
    <n v="20"/>
    <n v="160"/>
    <n v="3200"/>
    <n v="1900"/>
    <n v="1300"/>
    <n v="0"/>
    <s v="General Trade"/>
    <n v="67.5"/>
  </r>
  <r>
    <n v="100238"/>
    <d v="2024-05-02T00:00:00"/>
    <x v="1"/>
    <s v="Q2"/>
    <n v="5"/>
    <x v="0"/>
    <x v="0"/>
    <s v="India"/>
    <s v="Pune"/>
    <s v="Amit"/>
    <x v="2"/>
    <x v="18"/>
    <n v="123"/>
    <n v="50"/>
    <n v="5535"/>
    <n v="3567"/>
    <n v="1968"/>
    <n v="0.1"/>
    <s v="Online"/>
    <n v="156.30000000000001"/>
  </r>
  <r>
    <n v="100239"/>
    <d v="2024-11-16T00:00:00"/>
    <x v="1"/>
    <s v="Q4"/>
    <n v="11"/>
    <x v="11"/>
    <x v="3"/>
    <s v="India"/>
    <s v="Lucknow"/>
    <s v="Neha"/>
    <x v="3"/>
    <x v="14"/>
    <n v="41"/>
    <n v="55"/>
    <n v="2209.9"/>
    <n v="1517"/>
    <n v="692.9"/>
    <n v="0.02"/>
    <s v="Wholesale"/>
    <n v="140.02000000000001"/>
  </r>
  <r>
    <n v="100240"/>
    <d v="2023-05-29T00:00:00"/>
    <x v="2"/>
    <s v="Q2"/>
    <n v="5"/>
    <x v="0"/>
    <x v="3"/>
    <s v="India"/>
    <s v="Noida"/>
    <s v="Neha"/>
    <x v="4"/>
    <x v="17"/>
    <n v="55"/>
    <n v="140"/>
    <n v="7315"/>
    <n v="4510"/>
    <n v="2805"/>
    <n v="0.05"/>
    <s v="General Trade"/>
    <n v="422.11"/>
  </r>
  <r>
    <n v="100241"/>
    <d v="2023-09-13T00:00:00"/>
    <x v="2"/>
    <s v="Q3"/>
    <n v="9"/>
    <x v="2"/>
    <x v="2"/>
    <s v="India"/>
    <s v="Bengaluru"/>
    <s v="Amit"/>
    <x v="3"/>
    <x v="14"/>
    <n v="101"/>
    <n v="55"/>
    <n v="5555"/>
    <n v="3737"/>
    <n v="1818"/>
    <n v="0"/>
    <s v="Online"/>
    <n v="133.68"/>
  </r>
  <r>
    <n v="100242"/>
    <d v="2024-03-11T00:00:00"/>
    <x v="1"/>
    <s v="Q1"/>
    <n v="3"/>
    <x v="6"/>
    <x v="0"/>
    <s v="India"/>
    <s v="Pune"/>
    <s v="Amit"/>
    <x v="1"/>
    <x v="10"/>
    <n v="97"/>
    <n v="25"/>
    <n v="2376.5"/>
    <n v="1358"/>
    <n v="1018.5"/>
    <n v="0.02"/>
    <s v="Modern Trade"/>
    <n v="89.68"/>
  </r>
  <r>
    <n v="100243"/>
    <d v="2024-11-26T00:00:00"/>
    <x v="1"/>
    <s v="Q4"/>
    <n v="11"/>
    <x v="11"/>
    <x v="0"/>
    <s v="India"/>
    <s v="Ahmedabad"/>
    <s v="Simran"/>
    <x v="1"/>
    <x v="10"/>
    <n v="39"/>
    <n v="25"/>
    <n v="897"/>
    <n v="546"/>
    <n v="351"/>
    <n v="0.08"/>
    <s v="Modern Trade"/>
    <n v="44.85"/>
  </r>
  <r>
    <n v="100244"/>
    <d v="2023-05-16T00:00:00"/>
    <x v="2"/>
    <s v="Q2"/>
    <n v="5"/>
    <x v="0"/>
    <x v="2"/>
    <s v="India"/>
    <s v="Bengaluru"/>
    <s v="Simran"/>
    <x v="1"/>
    <x v="2"/>
    <n v="117"/>
    <n v="120"/>
    <n v="13338"/>
    <n v="9126"/>
    <n v="4212"/>
    <n v="0.05"/>
    <s v="General Trade"/>
    <n v="927.65"/>
  </r>
  <r>
    <n v="100245"/>
    <d v="2025-05-23T00:00:00"/>
    <x v="0"/>
    <s v="Q2"/>
    <n v="5"/>
    <x v="0"/>
    <x v="2"/>
    <s v="India"/>
    <s v="Hyderabad"/>
    <s v="Priya"/>
    <x v="2"/>
    <x v="18"/>
    <n v="137"/>
    <n v="50"/>
    <n v="6302"/>
    <n v="3973"/>
    <n v="2329"/>
    <n v="0.08"/>
    <s v="General Trade"/>
    <n v="307.69"/>
  </r>
  <r>
    <n v="100246"/>
    <d v="2025-11-02T00:00:00"/>
    <x v="0"/>
    <s v="Q4"/>
    <n v="11"/>
    <x v="11"/>
    <x v="3"/>
    <s v="India"/>
    <s v="Lucknow"/>
    <s v="Kavya"/>
    <x v="4"/>
    <x v="15"/>
    <n v="99"/>
    <n v="160"/>
    <n v="14572.8"/>
    <n v="9405"/>
    <n v="5167.8"/>
    <n v="0.08"/>
    <s v="General Trade"/>
    <n v="885.99"/>
  </r>
  <r>
    <n v="100247"/>
    <d v="2025-11-09T00:00:00"/>
    <x v="0"/>
    <s v="Q4"/>
    <n v="11"/>
    <x v="11"/>
    <x v="0"/>
    <s v="India"/>
    <s v="Surat"/>
    <s v="Neha"/>
    <x v="1"/>
    <x v="10"/>
    <n v="79"/>
    <n v="25"/>
    <n v="1817"/>
    <n v="1106"/>
    <n v="711"/>
    <n v="0.08"/>
    <s v="General Trade"/>
    <n v="126.82"/>
  </r>
  <r>
    <n v="100248"/>
    <d v="2025-11-09T00:00:00"/>
    <x v="0"/>
    <s v="Q4"/>
    <n v="11"/>
    <x v="11"/>
    <x v="2"/>
    <s v="India"/>
    <s v="Kochi"/>
    <s v="Rohan"/>
    <x v="1"/>
    <x v="1"/>
    <n v="46"/>
    <n v="60"/>
    <n v="2622"/>
    <n v="1748"/>
    <n v="874"/>
    <n v="0.05"/>
    <s v="General Trade"/>
    <n v="39.6"/>
  </r>
  <r>
    <n v="100249"/>
    <d v="2023-02-07T00:00:00"/>
    <x v="2"/>
    <s v="Q1"/>
    <n v="2"/>
    <x v="9"/>
    <x v="2"/>
    <s v="India"/>
    <s v="Kochi"/>
    <s v="Amit"/>
    <x v="1"/>
    <x v="2"/>
    <n v="29"/>
    <n v="120"/>
    <n v="3375.6"/>
    <n v="2262"/>
    <n v="1113.5999999999999"/>
    <n v="0.03"/>
    <s v="Modern Trade"/>
    <n v="212.95"/>
  </r>
  <r>
    <n v="100250"/>
    <d v="2023-12-02T00:00:00"/>
    <x v="2"/>
    <s v="Q4"/>
    <n v="12"/>
    <x v="10"/>
    <x v="2"/>
    <s v="India"/>
    <s v="Hyderabad"/>
    <s v="Rohan"/>
    <x v="0"/>
    <x v="13"/>
    <n v="33"/>
    <n v="105"/>
    <n v="3291.75"/>
    <n v="2013"/>
    <n v="1278.75"/>
    <n v="0.05"/>
    <s v="General Trade"/>
    <n v="195.12"/>
  </r>
  <r>
    <n v="100251"/>
    <d v="2025-07-03T00:00:00"/>
    <x v="0"/>
    <s v="Q3"/>
    <n v="7"/>
    <x v="7"/>
    <x v="3"/>
    <s v="India"/>
    <s v="Jaipur"/>
    <s v="Amit"/>
    <x v="1"/>
    <x v="1"/>
    <n v="118"/>
    <n v="60"/>
    <n v="6726"/>
    <n v="4484"/>
    <n v="2242"/>
    <n v="0.05"/>
    <s v="Online"/>
    <n v="464.15"/>
  </r>
  <r>
    <n v="100252"/>
    <d v="2023-01-19T00:00:00"/>
    <x v="2"/>
    <s v="Q1"/>
    <n v="1"/>
    <x v="8"/>
    <x v="1"/>
    <s v="India"/>
    <s v="Kolkata"/>
    <s v="Neha"/>
    <x v="1"/>
    <x v="10"/>
    <n v="122"/>
    <n v="25"/>
    <n v="2958.5"/>
    <n v="1708"/>
    <n v="1250.5"/>
    <n v="0.03"/>
    <s v="General Trade"/>
    <n v="58.79"/>
  </r>
  <r>
    <n v="100253"/>
    <d v="2024-04-20T00:00:00"/>
    <x v="1"/>
    <s v="Q2"/>
    <n v="4"/>
    <x v="1"/>
    <x v="0"/>
    <s v="India"/>
    <s v="Ahmedabad"/>
    <s v="Neha"/>
    <x v="3"/>
    <x v="5"/>
    <n v="127"/>
    <n v="320"/>
    <n v="38608"/>
    <n v="29845"/>
    <n v="8763"/>
    <n v="0.05"/>
    <s v="Modern Trade"/>
    <n v="1473.61"/>
  </r>
  <r>
    <n v="100254"/>
    <d v="2025-12-06T00:00:00"/>
    <x v="0"/>
    <s v="Q4"/>
    <n v="12"/>
    <x v="10"/>
    <x v="0"/>
    <s v="India"/>
    <s v="Ahmedabad"/>
    <s v="Simran"/>
    <x v="2"/>
    <x v="11"/>
    <n v="133"/>
    <n v="40"/>
    <n v="5160.3999999999996"/>
    <n v="3059"/>
    <n v="2101.4"/>
    <n v="0.03"/>
    <s v="General Trade"/>
    <n v="239.72"/>
  </r>
  <r>
    <n v="100255"/>
    <d v="2024-05-14T00:00:00"/>
    <x v="1"/>
    <s v="Q2"/>
    <n v="5"/>
    <x v="0"/>
    <x v="3"/>
    <s v="India"/>
    <s v="Noida"/>
    <s v="Amit"/>
    <x v="2"/>
    <x v="18"/>
    <n v="116"/>
    <n v="50"/>
    <n v="5800"/>
    <n v="3364"/>
    <n v="2436"/>
    <n v="0"/>
    <s v="Online"/>
    <n v="352.31"/>
  </r>
  <r>
    <n v="100256"/>
    <d v="2024-07-16T00:00:00"/>
    <x v="1"/>
    <s v="Q3"/>
    <n v="7"/>
    <x v="7"/>
    <x v="3"/>
    <s v="India"/>
    <s v="Jaipur"/>
    <s v="Aarav"/>
    <x v="2"/>
    <x v="11"/>
    <n v="78"/>
    <n v="40"/>
    <n v="2870.4"/>
    <n v="1794"/>
    <n v="1076.4000000000001"/>
    <n v="0.08"/>
    <s v="Modern Trade"/>
    <n v="72.44"/>
  </r>
  <r>
    <n v="100257"/>
    <d v="2024-12-04T00:00:00"/>
    <x v="1"/>
    <s v="Q4"/>
    <n v="12"/>
    <x v="10"/>
    <x v="3"/>
    <s v="India"/>
    <s v="Lucknow"/>
    <s v="Aarav"/>
    <x v="1"/>
    <x v="3"/>
    <n v="135"/>
    <n v="180"/>
    <n v="23085"/>
    <n v="15525"/>
    <n v="7560"/>
    <n v="0.05"/>
    <s v="Online"/>
    <n v="976.62"/>
  </r>
  <r>
    <n v="100258"/>
    <d v="2024-09-03T00:00:00"/>
    <x v="1"/>
    <s v="Q3"/>
    <n v="9"/>
    <x v="2"/>
    <x v="2"/>
    <s v="India"/>
    <s v="Chennai"/>
    <s v="Simran"/>
    <x v="1"/>
    <x v="3"/>
    <n v="117"/>
    <n v="180"/>
    <n v="21060"/>
    <n v="13455"/>
    <n v="7605"/>
    <n v="0"/>
    <s v="Modern Trade"/>
    <n v="1186.22"/>
  </r>
  <r>
    <n v="100259"/>
    <d v="2024-12-25T00:00:00"/>
    <x v="1"/>
    <s v="Q4"/>
    <n v="12"/>
    <x v="10"/>
    <x v="2"/>
    <s v="India"/>
    <s v="Kochi"/>
    <s v="Neha"/>
    <x v="1"/>
    <x v="1"/>
    <n v="95"/>
    <n v="60"/>
    <n v="5586"/>
    <n v="3610"/>
    <n v="1976"/>
    <n v="0.02"/>
    <s v="Online"/>
    <n v="159.66999999999999"/>
  </r>
  <r>
    <n v="100260"/>
    <d v="2025-06-24T00:00:00"/>
    <x v="0"/>
    <s v="Q2"/>
    <n v="6"/>
    <x v="4"/>
    <x v="1"/>
    <s v="India"/>
    <s v="Ranchi"/>
    <s v="Simran"/>
    <x v="0"/>
    <x v="12"/>
    <n v="79"/>
    <n v="95"/>
    <n v="7505"/>
    <n v="4582"/>
    <n v="2923"/>
    <n v="0"/>
    <s v="General Trade"/>
    <n v="313.83"/>
  </r>
  <r>
    <n v="100261"/>
    <d v="2023-09-07T00:00:00"/>
    <x v="2"/>
    <s v="Q3"/>
    <n v="9"/>
    <x v="2"/>
    <x v="0"/>
    <s v="India"/>
    <s v="Mumbai"/>
    <s v="Simran"/>
    <x v="2"/>
    <x v="11"/>
    <n v="16"/>
    <n v="40"/>
    <n v="640"/>
    <n v="368"/>
    <n v="272"/>
    <n v="0"/>
    <s v="Online"/>
    <n v="17.93"/>
  </r>
  <r>
    <n v="100262"/>
    <d v="2025-08-01T00:00:00"/>
    <x v="0"/>
    <s v="Q3"/>
    <n v="8"/>
    <x v="5"/>
    <x v="0"/>
    <s v="India"/>
    <s v="Mumbai"/>
    <s v="Priya"/>
    <x v="1"/>
    <x v="3"/>
    <n v="129"/>
    <n v="180"/>
    <n v="22755.599999999999"/>
    <n v="14835"/>
    <n v="7920.6"/>
    <n v="0.02"/>
    <s v="Wholesale"/>
    <n v="1256"/>
  </r>
  <r>
    <n v="100263"/>
    <d v="2025-09-10T00:00:00"/>
    <x v="0"/>
    <s v="Q3"/>
    <n v="9"/>
    <x v="2"/>
    <x v="3"/>
    <s v="India"/>
    <s v="Jaipur"/>
    <s v="Aarav"/>
    <x v="2"/>
    <x v="18"/>
    <n v="137"/>
    <n v="50"/>
    <n v="6165"/>
    <n v="3973"/>
    <n v="2192"/>
    <n v="0.1"/>
    <s v="General Trade"/>
    <n v="154.53"/>
  </r>
  <r>
    <n v="100264"/>
    <d v="2025-06-13T00:00:00"/>
    <x v="0"/>
    <s v="Q2"/>
    <n v="6"/>
    <x v="4"/>
    <x v="2"/>
    <s v="India"/>
    <s v="Chennai"/>
    <s v="Priya"/>
    <x v="3"/>
    <x v="16"/>
    <n v="42"/>
    <n v="280"/>
    <n v="11407.2"/>
    <n v="8610"/>
    <n v="2797.2"/>
    <n v="0.03"/>
    <s v="Modern Trade"/>
    <n v="243.11"/>
  </r>
  <r>
    <n v="100265"/>
    <d v="2023-02-12T00:00:00"/>
    <x v="2"/>
    <s v="Q1"/>
    <n v="2"/>
    <x v="9"/>
    <x v="3"/>
    <s v="India"/>
    <s v="Jaipur"/>
    <s v="Aarav"/>
    <x v="0"/>
    <x v="0"/>
    <n v="107"/>
    <n v="110"/>
    <n v="11770"/>
    <n v="7276"/>
    <n v="4494"/>
    <n v="0"/>
    <s v="Modern Trade"/>
    <n v="473.23"/>
  </r>
  <r>
    <n v="100266"/>
    <d v="2023-01-22T00:00:00"/>
    <x v="2"/>
    <s v="Q1"/>
    <n v="1"/>
    <x v="8"/>
    <x v="1"/>
    <s v="India"/>
    <s v="Kolkata"/>
    <s v="Neha"/>
    <x v="0"/>
    <x v="12"/>
    <n v="121"/>
    <n v="95"/>
    <n v="11150.15"/>
    <n v="7018"/>
    <n v="4132.1499999999996"/>
    <n v="0.03"/>
    <s v="General Trade"/>
    <n v="626.76"/>
  </r>
  <r>
    <n v="100267"/>
    <d v="2024-07-24T00:00:00"/>
    <x v="1"/>
    <s v="Q3"/>
    <n v="7"/>
    <x v="7"/>
    <x v="2"/>
    <s v="India"/>
    <s v="Hyderabad"/>
    <s v="Neha"/>
    <x v="1"/>
    <x v="10"/>
    <n v="58"/>
    <n v="25"/>
    <n v="1421"/>
    <n v="812"/>
    <n v="609"/>
    <n v="0.02"/>
    <s v="Modern Trade"/>
    <n v="41.53"/>
  </r>
  <r>
    <n v="100268"/>
    <d v="2025-12-27T00:00:00"/>
    <x v="0"/>
    <s v="Q4"/>
    <n v="12"/>
    <x v="10"/>
    <x v="2"/>
    <s v="India"/>
    <s v="Kochi"/>
    <s v="Rahul"/>
    <x v="4"/>
    <x v="17"/>
    <n v="88"/>
    <n v="140"/>
    <n v="11334.4"/>
    <n v="7216"/>
    <n v="4118.3999999999996"/>
    <n v="0.08"/>
    <s v="Wholesale"/>
    <n v="712.73"/>
  </r>
  <r>
    <n v="100269"/>
    <d v="2024-11-10T00:00:00"/>
    <x v="1"/>
    <s v="Q4"/>
    <n v="11"/>
    <x v="11"/>
    <x v="2"/>
    <s v="India"/>
    <s v="Kochi"/>
    <s v="Simran"/>
    <x v="0"/>
    <x v="8"/>
    <n v="75"/>
    <n v="130"/>
    <n v="9750"/>
    <n v="5700"/>
    <n v="4050"/>
    <n v="0"/>
    <s v="General Trade"/>
    <n v="395.03"/>
  </r>
  <r>
    <n v="100270"/>
    <d v="2025-10-08T00:00:00"/>
    <x v="0"/>
    <s v="Q4"/>
    <n v="10"/>
    <x v="3"/>
    <x v="0"/>
    <s v="India"/>
    <s v="Pune"/>
    <s v="Amit"/>
    <x v="2"/>
    <x v="4"/>
    <n v="98"/>
    <n v="75"/>
    <n v="7129.5"/>
    <n v="4312"/>
    <n v="2817.5"/>
    <n v="0.03"/>
    <s v="Wholesale"/>
    <n v="143.57"/>
  </r>
  <r>
    <n v="100271"/>
    <d v="2024-05-18T00:00:00"/>
    <x v="1"/>
    <s v="Q2"/>
    <n v="5"/>
    <x v="0"/>
    <x v="1"/>
    <s v="India"/>
    <s v="Bhubaneswar"/>
    <s v="Rohan"/>
    <x v="1"/>
    <x v="3"/>
    <n v="50"/>
    <n v="180"/>
    <n v="8550"/>
    <n v="5750"/>
    <n v="2800"/>
    <n v="0.05"/>
    <s v="Modern Trade"/>
    <n v="426.66"/>
  </r>
  <r>
    <n v="100272"/>
    <d v="2023-08-26T00:00:00"/>
    <x v="2"/>
    <s v="Q3"/>
    <n v="8"/>
    <x v="5"/>
    <x v="1"/>
    <s v="India"/>
    <s v="Bhubaneswar"/>
    <s v="Amit"/>
    <x v="1"/>
    <x v="3"/>
    <n v="21"/>
    <n v="180"/>
    <n v="3780"/>
    <n v="2415"/>
    <n v="1365"/>
    <n v="0"/>
    <s v="Wholesale"/>
    <n v="184.24"/>
  </r>
  <r>
    <n v="100273"/>
    <d v="2023-02-09T00:00:00"/>
    <x v="2"/>
    <s v="Q1"/>
    <n v="2"/>
    <x v="9"/>
    <x v="2"/>
    <s v="India"/>
    <s v="Chennai"/>
    <s v="Rahul"/>
    <x v="4"/>
    <x v="7"/>
    <n v="17"/>
    <n v="95"/>
    <n v="1485.8"/>
    <n v="952"/>
    <n v="533.79999999999995"/>
    <n v="0.08"/>
    <s v="General Trade"/>
    <n v="75.760000000000005"/>
  </r>
  <r>
    <n v="100274"/>
    <d v="2025-09-16T00:00:00"/>
    <x v="0"/>
    <s v="Q3"/>
    <n v="9"/>
    <x v="2"/>
    <x v="2"/>
    <s v="India"/>
    <s v="Bengaluru"/>
    <s v="Simran"/>
    <x v="1"/>
    <x v="3"/>
    <n v="146"/>
    <n v="180"/>
    <n v="24177.599999999999"/>
    <n v="16790"/>
    <n v="7387.6"/>
    <n v="0.08"/>
    <s v="Wholesale"/>
    <n v="1034.47"/>
  </r>
  <r>
    <n v="100275"/>
    <d v="2025-10-09T00:00:00"/>
    <x v="0"/>
    <s v="Q4"/>
    <n v="10"/>
    <x v="3"/>
    <x v="3"/>
    <s v="India"/>
    <s v="Noida"/>
    <s v="Simran"/>
    <x v="4"/>
    <x v="17"/>
    <n v="111"/>
    <n v="140"/>
    <n v="13986"/>
    <n v="9102"/>
    <n v="4884"/>
    <n v="0.1"/>
    <s v="General Trade"/>
    <n v="714.51"/>
  </r>
  <r>
    <n v="100276"/>
    <d v="2023-05-11T00:00:00"/>
    <x v="2"/>
    <s v="Q2"/>
    <n v="5"/>
    <x v="0"/>
    <x v="3"/>
    <s v="India"/>
    <s v="Lucknow"/>
    <s v="Neha"/>
    <x v="0"/>
    <x v="12"/>
    <n v="135"/>
    <n v="95"/>
    <n v="12440.25"/>
    <n v="7830"/>
    <n v="4610.25"/>
    <n v="0.03"/>
    <s v="Wholesale"/>
    <n v="852.66"/>
  </r>
  <r>
    <n v="100277"/>
    <d v="2024-10-07T00:00:00"/>
    <x v="1"/>
    <s v="Q4"/>
    <n v="10"/>
    <x v="3"/>
    <x v="0"/>
    <s v="India"/>
    <s v="Surat"/>
    <s v="Priya"/>
    <x v="2"/>
    <x v="4"/>
    <n v="117"/>
    <n v="75"/>
    <n v="8511.75"/>
    <n v="5148"/>
    <n v="3363.75"/>
    <n v="0.03"/>
    <s v="Online"/>
    <n v="295.18"/>
  </r>
  <r>
    <n v="100278"/>
    <d v="2024-08-10T00:00:00"/>
    <x v="1"/>
    <s v="Q3"/>
    <n v="8"/>
    <x v="5"/>
    <x v="1"/>
    <s v="India"/>
    <s v="Bhubaneswar"/>
    <s v="Priya"/>
    <x v="1"/>
    <x v="2"/>
    <n v="43"/>
    <n v="120"/>
    <n v="5056.8"/>
    <n v="3354"/>
    <n v="1702.8"/>
    <n v="0.02"/>
    <s v="Modern Trade"/>
    <n v="201.11"/>
  </r>
  <r>
    <n v="100279"/>
    <d v="2023-10-06T00:00:00"/>
    <x v="2"/>
    <s v="Q4"/>
    <n v="10"/>
    <x v="3"/>
    <x v="1"/>
    <s v="India"/>
    <s v="Ranchi"/>
    <s v="Rahul"/>
    <x v="2"/>
    <x v="18"/>
    <n v="117"/>
    <n v="50"/>
    <n v="5674.5"/>
    <n v="3393"/>
    <n v="2281.5"/>
    <n v="0.03"/>
    <s v="General Trade"/>
    <n v="390.69"/>
  </r>
  <r>
    <n v="100280"/>
    <d v="2025-06-11T00:00:00"/>
    <x v="0"/>
    <s v="Q2"/>
    <n v="6"/>
    <x v="4"/>
    <x v="1"/>
    <s v="India"/>
    <s v="Bhubaneswar"/>
    <s v="Neha"/>
    <x v="2"/>
    <x v="9"/>
    <n v="56"/>
    <n v="90"/>
    <n v="5040"/>
    <n v="2912"/>
    <n v="2128"/>
    <n v="0"/>
    <s v="Wholesale"/>
    <n v="312.81"/>
  </r>
  <r>
    <n v="100281"/>
    <d v="2025-05-04T00:00:00"/>
    <x v="0"/>
    <s v="Q2"/>
    <n v="5"/>
    <x v="0"/>
    <x v="1"/>
    <s v="India"/>
    <s v="Patna"/>
    <s v="Rahul"/>
    <x v="2"/>
    <x v="11"/>
    <n v="56"/>
    <n v="40"/>
    <n v="2195.1999999999998"/>
    <n v="1288"/>
    <n v="907.2"/>
    <n v="0.02"/>
    <s v="Online"/>
    <n v="58.6"/>
  </r>
  <r>
    <n v="100282"/>
    <d v="2025-08-06T00:00:00"/>
    <x v="0"/>
    <s v="Q3"/>
    <n v="8"/>
    <x v="5"/>
    <x v="2"/>
    <s v="India"/>
    <s v="Kochi"/>
    <s v="Rohan"/>
    <x v="3"/>
    <x v="5"/>
    <n v="48"/>
    <n v="320"/>
    <n v="14131.2"/>
    <n v="11280"/>
    <n v="2851.2"/>
    <n v="0.08"/>
    <s v="General Trade"/>
    <n v="257.89999999999998"/>
  </r>
  <r>
    <n v="100283"/>
    <d v="2024-10-07T00:00:00"/>
    <x v="1"/>
    <s v="Q4"/>
    <n v="10"/>
    <x v="3"/>
    <x v="0"/>
    <s v="India"/>
    <s v="Ahmedabad"/>
    <s v="Neha"/>
    <x v="4"/>
    <x v="7"/>
    <n v="107"/>
    <n v="95"/>
    <n v="9860.0499999999993"/>
    <n v="5992"/>
    <n v="3868.05"/>
    <n v="0.03"/>
    <s v="General Trade"/>
    <n v="397.55"/>
  </r>
  <r>
    <n v="100284"/>
    <d v="2024-12-02T00:00:00"/>
    <x v="1"/>
    <s v="Q4"/>
    <n v="12"/>
    <x v="10"/>
    <x v="0"/>
    <s v="India"/>
    <s v="Ahmedabad"/>
    <s v="Kavya"/>
    <x v="3"/>
    <x v="14"/>
    <n v="93"/>
    <n v="55"/>
    <n v="5115"/>
    <n v="3441"/>
    <n v="1674"/>
    <n v="0"/>
    <s v="Wholesale"/>
    <n v="195.29"/>
  </r>
  <r>
    <n v="100285"/>
    <d v="2024-10-23T00:00:00"/>
    <x v="1"/>
    <s v="Q4"/>
    <n v="10"/>
    <x v="3"/>
    <x v="1"/>
    <s v="India"/>
    <s v="Kolkata"/>
    <s v="Neha"/>
    <x v="2"/>
    <x v="4"/>
    <n v="140"/>
    <n v="75"/>
    <n v="9975"/>
    <n v="6160"/>
    <n v="3815"/>
    <n v="0.05"/>
    <s v="Wholesale"/>
    <n v="591.22"/>
  </r>
  <r>
    <n v="100286"/>
    <d v="2025-12-22T00:00:00"/>
    <x v="0"/>
    <s v="Q4"/>
    <n v="12"/>
    <x v="10"/>
    <x v="3"/>
    <s v="India"/>
    <s v="Jaipur"/>
    <s v="Kavya"/>
    <x v="4"/>
    <x v="6"/>
    <n v="28"/>
    <n v="45"/>
    <n v="1159.2"/>
    <n v="756"/>
    <n v="403.2"/>
    <n v="0.08"/>
    <s v="General Trade"/>
    <n v="24.57"/>
  </r>
  <r>
    <n v="100287"/>
    <d v="2024-11-06T00:00:00"/>
    <x v="1"/>
    <s v="Q4"/>
    <n v="11"/>
    <x v="11"/>
    <x v="1"/>
    <s v="India"/>
    <s v="Kolkata"/>
    <s v="Amit"/>
    <x v="2"/>
    <x v="9"/>
    <n v="129"/>
    <n v="90"/>
    <n v="11377.8"/>
    <n v="6708"/>
    <n v="4669.8"/>
    <n v="0.02"/>
    <s v="General Trade"/>
    <n v="686.64"/>
  </r>
  <r>
    <n v="100288"/>
    <d v="2023-11-30T00:00:00"/>
    <x v="2"/>
    <s v="Q4"/>
    <n v="11"/>
    <x v="11"/>
    <x v="2"/>
    <s v="India"/>
    <s v="Chennai"/>
    <s v="Kavya"/>
    <x v="1"/>
    <x v="3"/>
    <n v="17"/>
    <n v="180"/>
    <n v="2815.2"/>
    <n v="1955"/>
    <n v="860.2"/>
    <n v="0.08"/>
    <s v="Wholesale"/>
    <n v="93.39"/>
  </r>
  <r>
    <n v="100289"/>
    <d v="2024-11-25T00:00:00"/>
    <x v="1"/>
    <s v="Q4"/>
    <n v="11"/>
    <x v="11"/>
    <x v="1"/>
    <s v="India"/>
    <s v="Kolkata"/>
    <s v="Priya"/>
    <x v="0"/>
    <x v="13"/>
    <n v="21"/>
    <n v="105"/>
    <n v="2094.75"/>
    <n v="1281"/>
    <n v="813.75"/>
    <n v="0.05"/>
    <s v="Modern Trade"/>
    <n v="146.11000000000001"/>
  </r>
  <r>
    <n v="100290"/>
    <d v="2024-10-22T00:00:00"/>
    <x v="1"/>
    <s v="Q4"/>
    <n v="10"/>
    <x v="3"/>
    <x v="3"/>
    <s v="India"/>
    <s v="Lucknow"/>
    <s v="Simran"/>
    <x v="0"/>
    <x v="8"/>
    <n v="146"/>
    <n v="130"/>
    <n v="18031"/>
    <n v="11096"/>
    <n v="6935"/>
    <n v="0.05"/>
    <s v="Wholesale"/>
    <n v="1092.8699999999999"/>
  </r>
  <r>
    <n v="100291"/>
    <d v="2025-10-28T00:00:00"/>
    <x v="0"/>
    <s v="Q4"/>
    <n v="10"/>
    <x v="3"/>
    <x v="3"/>
    <s v="India"/>
    <s v="Jaipur"/>
    <s v="Rahul"/>
    <x v="2"/>
    <x v="9"/>
    <n v="85"/>
    <n v="90"/>
    <n v="7420.5"/>
    <n v="4420"/>
    <n v="3000.5"/>
    <n v="0.03"/>
    <s v="Wholesale"/>
    <n v="167.43"/>
  </r>
  <r>
    <n v="100292"/>
    <d v="2024-08-27T00:00:00"/>
    <x v="1"/>
    <s v="Q3"/>
    <n v="8"/>
    <x v="5"/>
    <x v="2"/>
    <s v="India"/>
    <s v="Kochi"/>
    <s v="Rohan"/>
    <x v="3"/>
    <x v="14"/>
    <n v="29"/>
    <n v="55"/>
    <n v="1515.25"/>
    <n v="1073"/>
    <n v="442.25"/>
    <n v="0.05"/>
    <s v="Modern Trade"/>
    <n v="76.03"/>
  </r>
  <r>
    <n v="100293"/>
    <d v="2024-06-23T00:00:00"/>
    <x v="1"/>
    <s v="Q2"/>
    <n v="6"/>
    <x v="4"/>
    <x v="1"/>
    <s v="India"/>
    <s v="Bhubaneswar"/>
    <s v="Rahul"/>
    <x v="0"/>
    <x v="8"/>
    <n v="95"/>
    <n v="130"/>
    <n v="12103"/>
    <n v="7220"/>
    <n v="4883"/>
    <n v="0.02"/>
    <s v="Online"/>
    <n v="362.32"/>
  </r>
  <r>
    <n v="100294"/>
    <d v="2023-08-02T00:00:00"/>
    <x v="2"/>
    <s v="Q3"/>
    <n v="8"/>
    <x v="5"/>
    <x v="3"/>
    <s v="India"/>
    <s v="Noida"/>
    <s v="Neha"/>
    <x v="2"/>
    <x v="9"/>
    <n v="15"/>
    <n v="90"/>
    <n v="1350"/>
    <n v="780"/>
    <n v="570"/>
    <n v="0"/>
    <s v="Modern Trade"/>
    <n v="30.65"/>
  </r>
  <r>
    <n v="100295"/>
    <d v="2024-03-16T00:00:00"/>
    <x v="1"/>
    <s v="Q1"/>
    <n v="3"/>
    <x v="6"/>
    <x v="3"/>
    <s v="India"/>
    <s v="Delhi"/>
    <s v="Aarav"/>
    <x v="4"/>
    <x v="17"/>
    <n v="44"/>
    <n v="140"/>
    <n v="5975.2"/>
    <n v="3608"/>
    <n v="2367.1999999999998"/>
    <n v="0.03"/>
    <s v="Modern Trade"/>
    <n v="245.5"/>
  </r>
  <r>
    <n v="100296"/>
    <d v="2025-09-24T00:00:00"/>
    <x v="0"/>
    <s v="Q3"/>
    <n v="9"/>
    <x v="2"/>
    <x v="3"/>
    <s v="India"/>
    <s v="Noida"/>
    <s v="Rohan"/>
    <x v="1"/>
    <x v="3"/>
    <n v="52"/>
    <n v="180"/>
    <n v="8611.2000000000007"/>
    <n v="5980"/>
    <n v="2631.2"/>
    <n v="0.08"/>
    <s v="Online"/>
    <n v="264.10000000000002"/>
  </r>
  <r>
    <n v="100297"/>
    <d v="2024-12-04T00:00:00"/>
    <x v="1"/>
    <s v="Q4"/>
    <n v="12"/>
    <x v="10"/>
    <x v="2"/>
    <s v="India"/>
    <s v="Bengaluru"/>
    <s v="Aarav"/>
    <x v="2"/>
    <x v="11"/>
    <n v="18"/>
    <n v="40"/>
    <n v="662.4"/>
    <n v="414"/>
    <n v="248.4"/>
    <n v="0.08"/>
    <s v="General Trade"/>
    <n v="20.3"/>
  </r>
  <r>
    <n v="100298"/>
    <d v="2025-03-29T00:00:00"/>
    <x v="0"/>
    <s v="Q1"/>
    <n v="3"/>
    <x v="6"/>
    <x v="0"/>
    <s v="India"/>
    <s v="Ahmedabad"/>
    <s v="Rahul"/>
    <x v="4"/>
    <x v="7"/>
    <n v="150"/>
    <n v="95"/>
    <n v="13537.5"/>
    <n v="8400"/>
    <n v="5137.5"/>
    <n v="0.05"/>
    <s v="General Trade"/>
    <n v="236.46"/>
  </r>
  <r>
    <n v="100299"/>
    <d v="2023-01-01T00:00:00"/>
    <x v="2"/>
    <s v="Q1"/>
    <n v="1"/>
    <x v="8"/>
    <x v="1"/>
    <s v="India"/>
    <s v="Ranchi"/>
    <s v="Amit"/>
    <x v="0"/>
    <x v="13"/>
    <n v="118"/>
    <n v="105"/>
    <n v="11770.5"/>
    <n v="7198"/>
    <n v="4572.5"/>
    <n v="0.05"/>
    <s v="Online"/>
    <n v="376.84"/>
  </r>
  <r>
    <n v="100300"/>
    <d v="2025-09-14T00:00:00"/>
    <x v="0"/>
    <s v="Q3"/>
    <n v="9"/>
    <x v="2"/>
    <x v="2"/>
    <s v="India"/>
    <s v="Chennai"/>
    <s v="Aarav"/>
    <x v="1"/>
    <x v="10"/>
    <n v="96"/>
    <n v="25"/>
    <n v="2280"/>
    <n v="1344"/>
    <n v="936"/>
    <n v="0.05"/>
    <s v="Modern Trade"/>
    <n v="138.22999999999999"/>
  </r>
  <r>
    <n v="100301"/>
    <d v="2025-04-29T00:00:00"/>
    <x v="0"/>
    <s v="Q2"/>
    <n v="4"/>
    <x v="1"/>
    <x v="2"/>
    <s v="India"/>
    <s v="Bengaluru"/>
    <s v="Rohan"/>
    <x v="0"/>
    <x v="0"/>
    <n v="136"/>
    <n v="110"/>
    <n v="14212"/>
    <n v="9248"/>
    <n v="4964"/>
    <n v="0.05"/>
    <s v="Modern Trade"/>
    <n v="285.32"/>
  </r>
  <r>
    <n v="100302"/>
    <d v="2023-11-28T00:00:00"/>
    <x v="2"/>
    <s v="Q4"/>
    <n v="11"/>
    <x v="11"/>
    <x v="2"/>
    <s v="India"/>
    <s v="Hyderabad"/>
    <s v="Priya"/>
    <x v="2"/>
    <x v="4"/>
    <n v="11"/>
    <n v="75"/>
    <n v="783.75"/>
    <n v="484"/>
    <n v="299.75"/>
    <n v="0.05"/>
    <s v="Wholesale"/>
    <n v="41.01"/>
  </r>
  <r>
    <n v="100303"/>
    <d v="2025-06-28T00:00:00"/>
    <x v="0"/>
    <s v="Q2"/>
    <n v="6"/>
    <x v="4"/>
    <x v="2"/>
    <s v="India"/>
    <s v="Hyderabad"/>
    <s v="Rahul"/>
    <x v="3"/>
    <x v="19"/>
    <n v="48"/>
    <n v="60"/>
    <n v="2649.6"/>
    <n v="2016"/>
    <n v="633.6"/>
    <n v="0.08"/>
    <s v="Online"/>
    <n v="145.25"/>
  </r>
  <r>
    <n v="100304"/>
    <d v="2024-01-22T00:00:00"/>
    <x v="1"/>
    <s v="Q1"/>
    <n v="1"/>
    <x v="8"/>
    <x v="1"/>
    <s v="India"/>
    <s v="Bhubaneswar"/>
    <s v="Amit"/>
    <x v="1"/>
    <x v="2"/>
    <n v="21"/>
    <n v="120"/>
    <n v="2469.6"/>
    <n v="1638"/>
    <n v="831.6"/>
    <n v="0.02"/>
    <s v="General Trade"/>
    <n v="103.06"/>
  </r>
  <r>
    <n v="100305"/>
    <d v="2024-07-27T00:00:00"/>
    <x v="1"/>
    <s v="Q3"/>
    <n v="7"/>
    <x v="7"/>
    <x v="3"/>
    <s v="India"/>
    <s v="Jaipur"/>
    <s v="Priya"/>
    <x v="2"/>
    <x v="4"/>
    <n v="47"/>
    <n v="75"/>
    <n v="3243"/>
    <n v="2068"/>
    <n v="1175"/>
    <n v="0.08"/>
    <s v="Modern Trade"/>
    <n v="172.16"/>
  </r>
  <r>
    <n v="100306"/>
    <d v="2024-01-10T00:00:00"/>
    <x v="1"/>
    <s v="Q1"/>
    <n v="1"/>
    <x v="8"/>
    <x v="3"/>
    <s v="India"/>
    <s v="Delhi"/>
    <s v="Neha"/>
    <x v="3"/>
    <x v="14"/>
    <n v="117"/>
    <n v="55"/>
    <n v="6113.25"/>
    <n v="4329"/>
    <n v="1784.25"/>
    <n v="0.05"/>
    <s v="Modern Trade"/>
    <n v="368.22"/>
  </r>
  <r>
    <n v="100307"/>
    <d v="2025-11-30T00:00:00"/>
    <x v="0"/>
    <s v="Q4"/>
    <n v="11"/>
    <x v="11"/>
    <x v="0"/>
    <s v="India"/>
    <s v="Ahmedabad"/>
    <s v="Simran"/>
    <x v="2"/>
    <x v="9"/>
    <n v="66"/>
    <n v="90"/>
    <n v="5940"/>
    <n v="3432"/>
    <n v="2508"/>
    <n v="0"/>
    <s v="General Trade"/>
    <n v="217.48"/>
  </r>
  <r>
    <n v="100308"/>
    <d v="2024-03-15T00:00:00"/>
    <x v="1"/>
    <s v="Q1"/>
    <n v="3"/>
    <x v="6"/>
    <x v="1"/>
    <s v="India"/>
    <s v="Kolkata"/>
    <s v="Rahul"/>
    <x v="4"/>
    <x v="6"/>
    <n v="65"/>
    <n v="45"/>
    <n v="2778.75"/>
    <n v="1755"/>
    <n v="1023.75"/>
    <n v="0.05"/>
    <s v="General Trade"/>
    <n v="186.36"/>
  </r>
  <r>
    <n v="100309"/>
    <d v="2025-07-02T00:00:00"/>
    <x v="0"/>
    <s v="Q3"/>
    <n v="7"/>
    <x v="7"/>
    <x v="1"/>
    <s v="India"/>
    <s v="Patna"/>
    <s v="Simran"/>
    <x v="2"/>
    <x v="4"/>
    <n v="135"/>
    <n v="75"/>
    <n v="9618.75"/>
    <n v="5940"/>
    <n v="3678.75"/>
    <n v="0.05"/>
    <s v="Modern Trade"/>
    <n v="197.85"/>
  </r>
  <r>
    <n v="100310"/>
    <d v="2025-07-18T00:00:00"/>
    <x v="0"/>
    <s v="Q3"/>
    <n v="7"/>
    <x v="7"/>
    <x v="1"/>
    <s v="India"/>
    <s v="Ranchi"/>
    <s v="Priya"/>
    <x v="4"/>
    <x v="15"/>
    <n v="74"/>
    <n v="160"/>
    <n v="11840"/>
    <n v="7030"/>
    <n v="4810"/>
    <n v="0"/>
    <s v="Modern Trade"/>
    <n v="286.58"/>
  </r>
  <r>
    <n v="100311"/>
    <d v="2024-03-18T00:00:00"/>
    <x v="1"/>
    <s v="Q1"/>
    <n v="3"/>
    <x v="6"/>
    <x v="0"/>
    <s v="India"/>
    <s v="Ahmedabad"/>
    <s v="Priya"/>
    <x v="1"/>
    <x v="1"/>
    <n v="116"/>
    <n v="60"/>
    <n v="6751.2"/>
    <n v="4408"/>
    <n v="2343.1999999999998"/>
    <n v="0.03"/>
    <s v="General Trade"/>
    <n v="160.69"/>
  </r>
  <r>
    <n v="100312"/>
    <d v="2023-05-05T00:00:00"/>
    <x v="2"/>
    <s v="Q2"/>
    <n v="5"/>
    <x v="0"/>
    <x v="0"/>
    <s v="India"/>
    <s v="Mumbai"/>
    <s v="Amit"/>
    <x v="2"/>
    <x v="18"/>
    <n v="131"/>
    <n v="50"/>
    <n v="6550"/>
    <n v="3799"/>
    <n v="2751"/>
    <n v="0"/>
    <s v="Modern Trade"/>
    <n v="442.62"/>
  </r>
  <r>
    <n v="100313"/>
    <d v="2024-10-07T00:00:00"/>
    <x v="1"/>
    <s v="Q4"/>
    <n v="10"/>
    <x v="3"/>
    <x v="1"/>
    <s v="India"/>
    <s v="Bhubaneswar"/>
    <s v="Neha"/>
    <x v="0"/>
    <x v="0"/>
    <n v="38"/>
    <n v="110"/>
    <n v="4096.3999999999996"/>
    <n v="2584"/>
    <n v="1512.4"/>
    <n v="0.02"/>
    <s v="General Trade"/>
    <n v="277.99"/>
  </r>
  <r>
    <n v="100314"/>
    <d v="2025-10-04T00:00:00"/>
    <x v="0"/>
    <s v="Q4"/>
    <n v="10"/>
    <x v="3"/>
    <x v="2"/>
    <s v="India"/>
    <s v="Kochi"/>
    <s v="Amit"/>
    <x v="3"/>
    <x v="19"/>
    <n v="58"/>
    <n v="60"/>
    <n v="3375.6"/>
    <n v="2436"/>
    <n v="939.6"/>
    <n v="0.03"/>
    <s v="Online"/>
    <n v="81.89"/>
  </r>
  <r>
    <n v="100315"/>
    <d v="2025-08-04T00:00:00"/>
    <x v="0"/>
    <s v="Q3"/>
    <n v="8"/>
    <x v="5"/>
    <x v="0"/>
    <s v="India"/>
    <s v="Pune"/>
    <s v="Rohan"/>
    <x v="0"/>
    <x v="0"/>
    <n v="60"/>
    <n v="110"/>
    <n v="6600"/>
    <n v="4080"/>
    <n v="2520"/>
    <n v="0"/>
    <s v="General Trade"/>
    <n v="283.2"/>
  </r>
  <r>
    <n v="100316"/>
    <d v="2023-10-27T00:00:00"/>
    <x v="2"/>
    <s v="Q4"/>
    <n v="10"/>
    <x v="3"/>
    <x v="0"/>
    <s v="India"/>
    <s v="Ahmedabad"/>
    <s v="Amit"/>
    <x v="4"/>
    <x v="6"/>
    <n v="101"/>
    <n v="45"/>
    <n v="4317.75"/>
    <n v="2727"/>
    <n v="1590.75"/>
    <n v="0.05"/>
    <s v="Modern Trade"/>
    <n v="302.17"/>
  </r>
  <r>
    <n v="100317"/>
    <d v="2023-05-19T00:00:00"/>
    <x v="2"/>
    <s v="Q2"/>
    <n v="5"/>
    <x v="0"/>
    <x v="1"/>
    <s v="India"/>
    <s v="Patna"/>
    <s v="Priya"/>
    <x v="0"/>
    <x v="8"/>
    <n v="91"/>
    <n v="130"/>
    <n v="11238.5"/>
    <n v="6916"/>
    <n v="4322.5"/>
    <n v="0.05"/>
    <s v="Modern Trade"/>
    <n v="520.52"/>
  </r>
  <r>
    <n v="100318"/>
    <d v="2025-09-25T00:00:00"/>
    <x v="0"/>
    <s v="Q3"/>
    <n v="9"/>
    <x v="2"/>
    <x v="3"/>
    <s v="India"/>
    <s v="Lucknow"/>
    <s v="Simran"/>
    <x v="1"/>
    <x v="2"/>
    <n v="110"/>
    <n v="120"/>
    <n v="12804"/>
    <n v="8580"/>
    <n v="4224"/>
    <n v="0.03"/>
    <s v="Modern Trade"/>
    <n v="352.45"/>
  </r>
  <r>
    <n v="100319"/>
    <d v="2023-09-24T00:00:00"/>
    <x v="2"/>
    <s v="Q3"/>
    <n v="9"/>
    <x v="2"/>
    <x v="2"/>
    <s v="India"/>
    <s v="Chennai"/>
    <s v="Simran"/>
    <x v="2"/>
    <x v="11"/>
    <n v="148"/>
    <n v="40"/>
    <n v="5742.4"/>
    <n v="3404"/>
    <n v="2338.4"/>
    <n v="0.03"/>
    <s v="General Trade"/>
    <n v="104.37"/>
  </r>
  <r>
    <n v="100320"/>
    <d v="2024-07-11T00:00:00"/>
    <x v="1"/>
    <s v="Q3"/>
    <n v="7"/>
    <x v="7"/>
    <x v="2"/>
    <s v="India"/>
    <s v="Kochi"/>
    <s v="Kavya"/>
    <x v="3"/>
    <x v="16"/>
    <n v="57"/>
    <n v="280"/>
    <n v="15960"/>
    <n v="11685"/>
    <n v="4275"/>
    <n v="0"/>
    <s v="Modern Trade"/>
    <n v="901.81"/>
  </r>
  <r>
    <n v="100321"/>
    <d v="2024-02-11T00:00:00"/>
    <x v="1"/>
    <s v="Q1"/>
    <n v="2"/>
    <x v="9"/>
    <x v="0"/>
    <s v="India"/>
    <s v="Ahmedabad"/>
    <s v="Rohan"/>
    <x v="4"/>
    <x v="6"/>
    <n v="91"/>
    <n v="45"/>
    <n v="3972.15"/>
    <n v="2457"/>
    <n v="1515.15"/>
    <n v="0.03"/>
    <s v="Modern Trade"/>
    <n v="191.13"/>
  </r>
  <r>
    <n v="100322"/>
    <d v="2023-12-31T00:00:00"/>
    <x v="2"/>
    <s v="Q4"/>
    <n v="12"/>
    <x v="10"/>
    <x v="0"/>
    <s v="India"/>
    <s v="Surat"/>
    <s v="Aarav"/>
    <x v="3"/>
    <x v="5"/>
    <n v="125"/>
    <n v="320"/>
    <n v="40000"/>
    <n v="29375"/>
    <n v="10625"/>
    <n v="0"/>
    <s v="Wholesale"/>
    <n v="2008.44"/>
  </r>
  <r>
    <n v="100323"/>
    <d v="2023-05-27T00:00:00"/>
    <x v="2"/>
    <s v="Q2"/>
    <n v="5"/>
    <x v="0"/>
    <x v="0"/>
    <s v="India"/>
    <s v="Pune"/>
    <s v="Rohan"/>
    <x v="2"/>
    <x v="18"/>
    <n v="22"/>
    <n v="50"/>
    <n v="990"/>
    <n v="638"/>
    <n v="352"/>
    <n v="0.1"/>
    <s v="General Trade"/>
    <n v="26.87"/>
  </r>
  <r>
    <n v="100324"/>
    <d v="2024-04-24T00:00:00"/>
    <x v="1"/>
    <s v="Q2"/>
    <n v="4"/>
    <x v="1"/>
    <x v="2"/>
    <s v="India"/>
    <s v="Chennai"/>
    <s v="Amit"/>
    <x v="1"/>
    <x v="10"/>
    <n v="63"/>
    <n v="25"/>
    <n v="1527.75"/>
    <n v="882"/>
    <n v="645.75"/>
    <n v="0.03"/>
    <s v="General Trade"/>
    <n v="76.069999999999993"/>
  </r>
  <r>
    <n v="100325"/>
    <d v="2023-07-13T00:00:00"/>
    <x v="2"/>
    <s v="Q3"/>
    <n v="7"/>
    <x v="7"/>
    <x v="3"/>
    <s v="India"/>
    <s v="Lucknow"/>
    <s v="Priya"/>
    <x v="0"/>
    <x v="12"/>
    <n v="66"/>
    <n v="95"/>
    <n v="5956.5"/>
    <n v="3828"/>
    <n v="2128.5"/>
    <n v="0.05"/>
    <s v="Online"/>
    <n v="413.86"/>
  </r>
  <r>
    <n v="100326"/>
    <d v="2023-04-23T00:00:00"/>
    <x v="2"/>
    <s v="Q2"/>
    <n v="4"/>
    <x v="1"/>
    <x v="1"/>
    <s v="India"/>
    <s v="Patna"/>
    <s v="Rohan"/>
    <x v="1"/>
    <x v="10"/>
    <n v="74"/>
    <n v="25"/>
    <n v="1813"/>
    <n v="1036"/>
    <n v="777"/>
    <n v="0.02"/>
    <s v="General Trade"/>
    <n v="90.31"/>
  </r>
  <r>
    <n v="100327"/>
    <d v="2024-10-09T00:00:00"/>
    <x v="1"/>
    <s v="Q4"/>
    <n v="10"/>
    <x v="3"/>
    <x v="3"/>
    <s v="India"/>
    <s v="Lucknow"/>
    <s v="Simran"/>
    <x v="4"/>
    <x v="7"/>
    <n v="10"/>
    <n v="95"/>
    <n v="874"/>
    <n v="560"/>
    <n v="314"/>
    <n v="0.08"/>
    <s v="General Trade"/>
    <n v="42.61"/>
  </r>
  <r>
    <n v="100328"/>
    <d v="2025-03-12T00:00:00"/>
    <x v="0"/>
    <s v="Q1"/>
    <n v="3"/>
    <x v="6"/>
    <x v="2"/>
    <s v="India"/>
    <s v="Bengaluru"/>
    <s v="Kavya"/>
    <x v="2"/>
    <x v="11"/>
    <n v="111"/>
    <n v="40"/>
    <n v="4351.2"/>
    <n v="2553"/>
    <n v="1798.2"/>
    <n v="0.02"/>
    <s v="Online"/>
    <n v="196.68"/>
  </r>
  <r>
    <n v="100329"/>
    <d v="2023-02-14T00:00:00"/>
    <x v="2"/>
    <s v="Q1"/>
    <n v="2"/>
    <x v="9"/>
    <x v="3"/>
    <s v="India"/>
    <s v="Jaipur"/>
    <s v="Priya"/>
    <x v="4"/>
    <x v="17"/>
    <n v="75"/>
    <n v="140"/>
    <n v="10500"/>
    <n v="6150"/>
    <n v="4350"/>
    <n v="0"/>
    <s v="General Trade"/>
    <n v="446.61"/>
  </r>
  <r>
    <n v="100330"/>
    <d v="2023-11-18T00:00:00"/>
    <x v="2"/>
    <s v="Q4"/>
    <n v="11"/>
    <x v="11"/>
    <x v="2"/>
    <s v="India"/>
    <s v="Bengaluru"/>
    <s v="Kavya"/>
    <x v="2"/>
    <x v="4"/>
    <n v="43"/>
    <n v="75"/>
    <n v="3160.5"/>
    <n v="1892"/>
    <n v="1268.5"/>
    <n v="0.02"/>
    <s v="General Trade"/>
    <n v="187.07"/>
  </r>
  <r>
    <n v="100331"/>
    <d v="2025-11-16T00:00:00"/>
    <x v="0"/>
    <s v="Q4"/>
    <n v="11"/>
    <x v="11"/>
    <x v="2"/>
    <s v="India"/>
    <s v="Chennai"/>
    <s v="Amit"/>
    <x v="4"/>
    <x v="7"/>
    <n v="74"/>
    <n v="95"/>
    <n v="6819.1"/>
    <n v="4144"/>
    <n v="2675.1"/>
    <n v="0.03"/>
    <s v="Modern Trade"/>
    <n v="184.53"/>
  </r>
  <r>
    <n v="100332"/>
    <d v="2025-12-12T00:00:00"/>
    <x v="0"/>
    <s v="Q4"/>
    <n v="12"/>
    <x v="10"/>
    <x v="0"/>
    <s v="India"/>
    <s v="Mumbai"/>
    <s v="Priya"/>
    <x v="0"/>
    <x v="8"/>
    <n v="90"/>
    <n v="130"/>
    <n v="11115"/>
    <n v="6840"/>
    <n v="4275"/>
    <n v="0.05"/>
    <s v="Modern Trade"/>
    <n v="696.7"/>
  </r>
  <r>
    <n v="100333"/>
    <d v="2024-10-21T00:00:00"/>
    <x v="1"/>
    <s v="Q4"/>
    <n v="10"/>
    <x v="3"/>
    <x v="1"/>
    <s v="India"/>
    <s v="Bhubaneswar"/>
    <s v="Kavya"/>
    <x v="2"/>
    <x v="9"/>
    <n v="119"/>
    <n v="90"/>
    <n v="9853.2000000000007"/>
    <n v="6188"/>
    <n v="3665.2"/>
    <n v="0.08"/>
    <s v="Modern Trade"/>
    <n v="583.48"/>
  </r>
  <r>
    <n v="100334"/>
    <d v="2023-09-17T00:00:00"/>
    <x v="2"/>
    <s v="Q3"/>
    <n v="9"/>
    <x v="2"/>
    <x v="3"/>
    <s v="India"/>
    <s v="Jaipur"/>
    <s v="Priya"/>
    <x v="0"/>
    <x v="12"/>
    <n v="21"/>
    <n v="95"/>
    <n v="1935.15"/>
    <n v="1218"/>
    <n v="717.15"/>
    <n v="0.03"/>
    <s v="Online"/>
    <n v="59.28"/>
  </r>
  <r>
    <n v="100335"/>
    <d v="2025-05-22T00:00:00"/>
    <x v="0"/>
    <s v="Q2"/>
    <n v="5"/>
    <x v="0"/>
    <x v="1"/>
    <s v="India"/>
    <s v="Kolkata"/>
    <s v="Kavya"/>
    <x v="2"/>
    <x v="4"/>
    <n v="102"/>
    <n v="75"/>
    <n v="7650"/>
    <n v="4488"/>
    <n v="3162"/>
    <n v="0"/>
    <s v="Wholesale"/>
    <n v="230.95"/>
  </r>
  <r>
    <n v="100336"/>
    <d v="2025-03-28T00:00:00"/>
    <x v="0"/>
    <s v="Q1"/>
    <n v="3"/>
    <x v="6"/>
    <x v="1"/>
    <s v="India"/>
    <s v="Kolkata"/>
    <s v="Aarav"/>
    <x v="2"/>
    <x v="9"/>
    <n v="130"/>
    <n v="90"/>
    <n v="11700"/>
    <n v="6760"/>
    <n v="4940"/>
    <n v="0"/>
    <s v="General Trade"/>
    <n v="774.53"/>
  </r>
  <r>
    <n v="100337"/>
    <d v="2023-05-17T00:00:00"/>
    <x v="2"/>
    <s v="Q2"/>
    <n v="5"/>
    <x v="0"/>
    <x v="0"/>
    <s v="India"/>
    <s v="Pune"/>
    <s v="Aarav"/>
    <x v="2"/>
    <x v="9"/>
    <n v="91"/>
    <n v="90"/>
    <n v="7534.8"/>
    <n v="4732"/>
    <n v="2802.8"/>
    <n v="0.08"/>
    <s v="General Trade"/>
    <n v="292.8"/>
  </r>
  <r>
    <n v="100338"/>
    <d v="2024-11-21T00:00:00"/>
    <x v="1"/>
    <s v="Q4"/>
    <n v="11"/>
    <x v="11"/>
    <x v="3"/>
    <s v="India"/>
    <s v="Delhi"/>
    <s v="Priya"/>
    <x v="0"/>
    <x v="12"/>
    <n v="69"/>
    <n v="95"/>
    <n v="6227.25"/>
    <n v="4002"/>
    <n v="2225.25"/>
    <n v="0.05"/>
    <s v="General Trade"/>
    <n v="334.48"/>
  </r>
  <r>
    <n v="100339"/>
    <d v="2023-08-23T00:00:00"/>
    <x v="2"/>
    <s v="Q3"/>
    <n v="8"/>
    <x v="5"/>
    <x v="3"/>
    <s v="India"/>
    <s v="Delhi"/>
    <s v="Kavya"/>
    <x v="3"/>
    <x v="5"/>
    <n v="20"/>
    <n v="320"/>
    <n v="5760"/>
    <n v="4700"/>
    <n v="1060"/>
    <n v="0.1"/>
    <s v="General Trade"/>
    <n v="308.95999999999998"/>
  </r>
  <r>
    <n v="100340"/>
    <d v="2025-09-05T00:00:00"/>
    <x v="0"/>
    <s v="Q3"/>
    <n v="9"/>
    <x v="2"/>
    <x v="0"/>
    <s v="India"/>
    <s v="Surat"/>
    <s v="Simran"/>
    <x v="3"/>
    <x v="19"/>
    <n v="110"/>
    <n v="60"/>
    <n v="6402"/>
    <n v="4620"/>
    <n v="1782"/>
    <n v="0.03"/>
    <s v="Modern Trade"/>
    <n v="231.63"/>
  </r>
  <r>
    <n v="100341"/>
    <d v="2023-08-15T00:00:00"/>
    <x v="2"/>
    <s v="Q3"/>
    <n v="8"/>
    <x v="5"/>
    <x v="1"/>
    <s v="India"/>
    <s v="Kolkata"/>
    <s v="Rohan"/>
    <x v="1"/>
    <x v="2"/>
    <n v="22"/>
    <n v="120"/>
    <n v="2560.8000000000002"/>
    <n v="1716"/>
    <n v="844.8"/>
    <n v="0.03"/>
    <s v="Online"/>
    <n v="154.21"/>
  </r>
  <r>
    <n v="100342"/>
    <d v="2024-10-10T00:00:00"/>
    <x v="1"/>
    <s v="Q4"/>
    <n v="10"/>
    <x v="3"/>
    <x v="3"/>
    <s v="India"/>
    <s v="Noida"/>
    <s v="Priya"/>
    <x v="4"/>
    <x v="17"/>
    <n v="109"/>
    <n v="140"/>
    <n v="14497"/>
    <n v="8938"/>
    <n v="5559"/>
    <n v="0.05"/>
    <s v="General Trade"/>
    <n v="702.04"/>
  </r>
  <r>
    <n v="100343"/>
    <d v="2025-02-14T00:00:00"/>
    <x v="0"/>
    <s v="Q1"/>
    <n v="2"/>
    <x v="9"/>
    <x v="0"/>
    <s v="India"/>
    <s v="Surat"/>
    <s v="Simran"/>
    <x v="0"/>
    <x v="13"/>
    <n v="79"/>
    <n v="105"/>
    <n v="7880.25"/>
    <n v="4819"/>
    <n v="3061.25"/>
    <n v="0.05"/>
    <s v="Modern Trade"/>
    <n v="289.45999999999998"/>
  </r>
  <r>
    <n v="100344"/>
    <d v="2025-12-24T00:00:00"/>
    <x v="0"/>
    <s v="Q4"/>
    <n v="12"/>
    <x v="10"/>
    <x v="1"/>
    <s v="India"/>
    <s v="Kolkata"/>
    <s v="Priya"/>
    <x v="2"/>
    <x v="4"/>
    <n v="22"/>
    <n v="75"/>
    <n v="1650"/>
    <n v="968"/>
    <n v="682"/>
    <n v="0"/>
    <s v="Modern Trade"/>
    <n v="34.869999999999997"/>
  </r>
  <r>
    <n v="100345"/>
    <d v="2023-02-22T00:00:00"/>
    <x v="2"/>
    <s v="Q1"/>
    <n v="2"/>
    <x v="9"/>
    <x v="2"/>
    <s v="India"/>
    <s v="Bengaluru"/>
    <s v="Kavya"/>
    <x v="2"/>
    <x v="11"/>
    <n v="33"/>
    <n v="40"/>
    <n v="1214.4000000000001"/>
    <n v="759"/>
    <n v="455.4"/>
    <n v="0.08"/>
    <s v="Modern Trade"/>
    <n v="65.599999999999994"/>
  </r>
  <r>
    <n v="100346"/>
    <d v="2024-01-22T00:00:00"/>
    <x v="1"/>
    <s v="Q1"/>
    <n v="1"/>
    <x v="8"/>
    <x v="0"/>
    <s v="India"/>
    <s v="Pune"/>
    <s v="Neha"/>
    <x v="4"/>
    <x v="15"/>
    <n v="125"/>
    <n v="160"/>
    <n v="20000"/>
    <n v="11875"/>
    <n v="8125"/>
    <n v="0"/>
    <s v="General Trade"/>
    <n v="810.5"/>
  </r>
  <r>
    <n v="100347"/>
    <d v="2025-05-07T00:00:00"/>
    <x v="0"/>
    <s v="Q2"/>
    <n v="5"/>
    <x v="0"/>
    <x v="2"/>
    <s v="India"/>
    <s v="Chennai"/>
    <s v="Priya"/>
    <x v="2"/>
    <x v="9"/>
    <n v="25"/>
    <n v="90"/>
    <n v="2137.5"/>
    <n v="1300"/>
    <n v="837.5"/>
    <n v="0.05"/>
    <s v="Wholesale"/>
    <n v="93.35"/>
  </r>
  <r>
    <n v="100348"/>
    <d v="2023-06-24T00:00:00"/>
    <x v="2"/>
    <s v="Q2"/>
    <n v="6"/>
    <x v="4"/>
    <x v="2"/>
    <s v="India"/>
    <s v="Chennai"/>
    <s v="Aarav"/>
    <x v="1"/>
    <x v="1"/>
    <n v="144"/>
    <n v="60"/>
    <n v="8640"/>
    <n v="5472"/>
    <n v="3168"/>
    <n v="0"/>
    <s v="Online"/>
    <n v="268.98"/>
  </r>
  <r>
    <n v="100349"/>
    <d v="2024-06-02T00:00:00"/>
    <x v="1"/>
    <s v="Q2"/>
    <n v="6"/>
    <x v="4"/>
    <x v="1"/>
    <s v="India"/>
    <s v="Kolkata"/>
    <s v="Neha"/>
    <x v="2"/>
    <x v="9"/>
    <n v="52"/>
    <n v="90"/>
    <n v="4446"/>
    <n v="2704"/>
    <n v="1742"/>
    <n v="0.05"/>
    <s v="Online"/>
    <n v="200.79"/>
  </r>
  <r>
    <n v="100350"/>
    <d v="2024-04-01T00:00:00"/>
    <x v="1"/>
    <s v="Q2"/>
    <n v="4"/>
    <x v="1"/>
    <x v="1"/>
    <s v="India"/>
    <s v="Patna"/>
    <s v="Rahul"/>
    <x v="0"/>
    <x v="8"/>
    <n v="54"/>
    <n v="130"/>
    <n v="6809.4"/>
    <n v="4104"/>
    <n v="2705.4"/>
    <n v="0.03"/>
    <s v="Online"/>
    <n v="215.59"/>
  </r>
  <r>
    <n v="100351"/>
    <d v="2023-06-06T00:00:00"/>
    <x v="2"/>
    <s v="Q2"/>
    <n v="6"/>
    <x v="4"/>
    <x v="2"/>
    <s v="India"/>
    <s v="Bengaluru"/>
    <s v="Priya"/>
    <x v="4"/>
    <x v="7"/>
    <n v="133"/>
    <n v="95"/>
    <n v="12255.95"/>
    <n v="7448"/>
    <n v="4807.95"/>
    <n v="0.03"/>
    <s v="Wholesale"/>
    <n v="222.83"/>
  </r>
  <r>
    <n v="100352"/>
    <d v="2024-09-22T00:00:00"/>
    <x v="1"/>
    <s v="Q3"/>
    <n v="9"/>
    <x v="2"/>
    <x v="3"/>
    <s v="India"/>
    <s v="Lucknow"/>
    <s v="Aarav"/>
    <x v="3"/>
    <x v="14"/>
    <n v="84"/>
    <n v="55"/>
    <n v="4158"/>
    <n v="3108"/>
    <n v="1050"/>
    <n v="0.1"/>
    <s v="General Trade"/>
    <n v="79.66"/>
  </r>
  <r>
    <n v="100353"/>
    <d v="2023-12-28T00:00:00"/>
    <x v="2"/>
    <s v="Q4"/>
    <n v="12"/>
    <x v="10"/>
    <x v="3"/>
    <s v="India"/>
    <s v="Noida"/>
    <s v="Simran"/>
    <x v="0"/>
    <x v="8"/>
    <n v="54"/>
    <n v="130"/>
    <n v="6879.6"/>
    <n v="4104"/>
    <n v="2775.6"/>
    <n v="0.02"/>
    <s v="Modern Trade"/>
    <n v="474.63"/>
  </r>
  <r>
    <n v="100354"/>
    <d v="2025-10-03T00:00:00"/>
    <x v="0"/>
    <s v="Q4"/>
    <n v="10"/>
    <x v="3"/>
    <x v="0"/>
    <s v="India"/>
    <s v="Surat"/>
    <s v="Kavya"/>
    <x v="4"/>
    <x v="6"/>
    <n v="58"/>
    <n v="45"/>
    <n v="2349"/>
    <n v="1566"/>
    <n v="783"/>
    <n v="0.1"/>
    <s v="Modern Trade"/>
    <n v="78.819999999999993"/>
  </r>
  <r>
    <n v="100355"/>
    <d v="2024-07-12T00:00:00"/>
    <x v="1"/>
    <s v="Q3"/>
    <n v="7"/>
    <x v="7"/>
    <x v="0"/>
    <s v="India"/>
    <s v="Mumbai"/>
    <s v="Rahul"/>
    <x v="0"/>
    <x v="12"/>
    <n v="123"/>
    <n v="95"/>
    <n v="11685"/>
    <n v="7134"/>
    <n v="4551"/>
    <n v="0"/>
    <s v="General Trade"/>
    <n v="580.75"/>
  </r>
  <r>
    <n v="100356"/>
    <d v="2025-08-03T00:00:00"/>
    <x v="0"/>
    <s v="Q3"/>
    <n v="8"/>
    <x v="5"/>
    <x v="2"/>
    <s v="India"/>
    <s v="Hyderabad"/>
    <s v="Kavya"/>
    <x v="0"/>
    <x v="13"/>
    <n v="70"/>
    <n v="105"/>
    <n v="6615"/>
    <n v="4270"/>
    <n v="2345"/>
    <n v="0.1"/>
    <s v="General Trade"/>
    <n v="449.34"/>
  </r>
  <r>
    <n v="100357"/>
    <d v="2024-08-20T00:00:00"/>
    <x v="1"/>
    <s v="Q3"/>
    <n v="8"/>
    <x v="5"/>
    <x v="2"/>
    <s v="India"/>
    <s v="Bengaluru"/>
    <s v="Kavya"/>
    <x v="4"/>
    <x v="15"/>
    <n v="150"/>
    <n v="160"/>
    <n v="23280"/>
    <n v="14250"/>
    <n v="9030"/>
    <n v="0.03"/>
    <s v="Modern Trade"/>
    <n v="1067.3399999999999"/>
  </r>
  <r>
    <n v="100358"/>
    <d v="2024-05-07T00:00:00"/>
    <x v="1"/>
    <s v="Q2"/>
    <n v="5"/>
    <x v="0"/>
    <x v="0"/>
    <s v="India"/>
    <s v="Surat"/>
    <s v="Neha"/>
    <x v="0"/>
    <x v="13"/>
    <n v="84"/>
    <n v="105"/>
    <n v="8379"/>
    <n v="5124"/>
    <n v="3255"/>
    <n v="0.05"/>
    <s v="Online"/>
    <n v="519.15"/>
  </r>
  <r>
    <n v="100359"/>
    <d v="2023-09-29T00:00:00"/>
    <x v="2"/>
    <s v="Q3"/>
    <n v="9"/>
    <x v="2"/>
    <x v="1"/>
    <s v="India"/>
    <s v="Patna"/>
    <s v="Neha"/>
    <x v="4"/>
    <x v="17"/>
    <n v="73"/>
    <n v="140"/>
    <n v="9198"/>
    <n v="5986"/>
    <n v="3212"/>
    <n v="0.1"/>
    <s v="General Trade"/>
    <n v="402.32"/>
  </r>
  <r>
    <n v="100360"/>
    <d v="2023-10-01T00:00:00"/>
    <x v="2"/>
    <s v="Q4"/>
    <n v="10"/>
    <x v="3"/>
    <x v="0"/>
    <s v="India"/>
    <s v="Ahmedabad"/>
    <s v="Rahul"/>
    <x v="1"/>
    <x v="1"/>
    <n v="143"/>
    <n v="60"/>
    <n v="8408.4"/>
    <n v="5434"/>
    <n v="2974.4"/>
    <n v="0.02"/>
    <s v="General Trade"/>
    <n v="492.67"/>
  </r>
  <r>
    <n v="100361"/>
    <d v="2024-09-10T00:00:00"/>
    <x v="1"/>
    <s v="Q3"/>
    <n v="9"/>
    <x v="2"/>
    <x v="0"/>
    <s v="India"/>
    <s v="Mumbai"/>
    <s v="Simran"/>
    <x v="3"/>
    <x v="14"/>
    <n v="17"/>
    <n v="55"/>
    <n v="935"/>
    <n v="629"/>
    <n v="306"/>
    <n v="0"/>
    <s v="General Trade"/>
    <n v="38.549999999999997"/>
  </r>
  <r>
    <n v="100362"/>
    <d v="2025-04-12T00:00:00"/>
    <x v="0"/>
    <s v="Q2"/>
    <n v="4"/>
    <x v="1"/>
    <x v="0"/>
    <s v="India"/>
    <s v="Ahmedabad"/>
    <s v="Neha"/>
    <x v="0"/>
    <x v="13"/>
    <n v="97"/>
    <n v="105"/>
    <n v="9675.75"/>
    <n v="5917"/>
    <n v="3758.75"/>
    <n v="0.05"/>
    <s v="General Trade"/>
    <n v="600.25"/>
  </r>
  <r>
    <n v="100363"/>
    <d v="2023-03-15T00:00:00"/>
    <x v="2"/>
    <s v="Q1"/>
    <n v="3"/>
    <x v="6"/>
    <x v="1"/>
    <s v="India"/>
    <s v="Kolkata"/>
    <s v="Rahul"/>
    <x v="2"/>
    <x v="9"/>
    <n v="113"/>
    <n v="90"/>
    <n v="9356.4"/>
    <n v="5876"/>
    <n v="3480.4"/>
    <n v="0.08"/>
    <s v="General Trade"/>
    <n v="515.41999999999996"/>
  </r>
  <r>
    <n v="100364"/>
    <d v="2025-06-07T00:00:00"/>
    <x v="0"/>
    <s v="Q2"/>
    <n v="6"/>
    <x v="4"/>
    <x v="3"/>
    <s v="India"/>
    <s v="Jaipur"/>
    <s v="Rohan"/>
    <x v="3"/>
    <x v="19"/>
    <n v="19"/>
    <n v="60"/>
    <n v="1048.8"/>
    <n v="798"/>
    <n v="250.8"/>
    <n v="0.08"/>
    <s v="Wholesale"/>
    <n v="24.6"/>
  </r>
  <r>
    <n v="100365"/>
    <d v="2023-05-09T00:00:00"/>
    <x v="2"/>
    <s v="Q2"/>
    <n v="5"/>
    <x v="0"/>
    <x v="1"/>
    <s v="India"/>
    <s v="Kolkata"/>
    <s v="Rahul"/>
    <x v="0"/>
    <x v="0"/>
    <n v="76"/>
    <n v="110"/>
    <n v="8109.2"/>
    <n v="5168"/>
    <n v="2941.2"/>
    <n v="0.03"/>
    <s v="General Trade"/>
    <n v="458.04"/>
  </r>
  <r>
    <n v="100366"/>
    <d v="2024-12-18T00:00:00"/>
    <x v="1"/>
    <s v="Q4"/>
    <n v="12"/>
    <x v="10"/>
    <x v="3"/>
    <s v="India"/>
    <s v="Noida"/>
    <s v="Aarav"/>
    <x v="3"/>
    <x v="19"/>
    <n v="100"/>
    <n v="60"/>
    <n v="5820"/>
    <n v="4200"/>
    <n v="1620"/>
    <n v="0.03"/>
    <s v="General Trade"/>
    <n v="358.51"/>
  </r>
  <r>
    <n v="100367"/>
    <d v="2023-11-11T00:00:00"/>
    <x v="2"/>
    <s v="Q4"/>
    <n v="11"/>
    <x v="11"/>
    <x v="0"/>
    <s v="India"/>
    <s v="Mumbai"/>
    <s v="Amit"/>
    <x v="1"/>
    <x v="1"/>
    <n v="31"/>
    <n v="60"/>
    <n v="1711.2"/>
    <n v="1178"/>
    <n v="533.20000000000005"/>
    <n v="0.08"/>
    <s v="Modern Trade"/>
    <n v="52.25"/>
  </r>
  <r>
    <n v="100368"/>
    <d v="2024-10-12T00:00:00"/>
    <x v="1"/>
    <s v="Q4"/>
    <n v="10"/>
    <x v="3"/>
    <x v="1"/>
    <s v="India"/>
    <s v="Patna"/>
    <s v="Rohan"/>
    <x v="2"/>
    <x v="9"/>
    <n v="35"/>
    <n v="90"/>
    <n v="2898"/>
    <n v="1820"/>
    <n v="1078"/>
    <n v="0.08"/>
    <s v="Wholesale"/>
    <n v="66.39"/>
  </r>
  <r>
    <n v="100369"/>
    <d v="2023-11-23T00:00:00"/>
    <x v="2"/>
    <s v="Q4"/>
    <n v="11"/>
    <x v="11"/>
    <x v="2"/>
    <s v="India"/>
    <s v="Kochi"/>
    <s v="Priya"/>
    <x v="2"/>
    <x v="11"/>
    <n v="141"/>
    <n v="40"/>
    <n v="5188.8"/>
    <n v="3243"/>
    <n v="1945.8"/>
    <n v="0.08"/>
    <s v="General Trade"/>
    <n v="331.51"/>
  </r>
  <r>
    <n v="100370"/>
    <d v="2023-08-09T00:00:00"/>
    <x v="2"/>
    <s v="Q3"/>
    <n v="8"/>
    <x v="5"/>
    <x v="1"/>
    <s v="India"/>
    <s v="Kolkata"/>
    <s v="Rahul"/>
    <x v="2"/>
    <x v="9"/>
    <n v="112"/>
    <n v="90"/>
    <n v="10080"/>
    <n v="5824"/>
    <n v="4256"/>
    <n v="0"/>
    <s v="General Trade"/>
    <n v="503.82"/>
  </r>
  <r>
    <n v="100371"/>
    <d v="2023-09-28T00:00:00"/>
    <x v="2"/>
    <s v="Q3"/>
    <n v="9"/>
    <x v="2"/>
    <x v="0"/>
    <s v="India"/>
    <s v="Mumbai"/>
    <s v="Neha"/>
    <x v="4"/>
    <x v="7"/>
    <n v="33"/>
    <n v="95"/>
    <n v="2884.2"/>
    <n v="1848"/>
    <n v="1036.2"/>
    <n v="0.08"/>
    <s v="Online"/>
    <n v="50.82"/>
  </r>
  <r>
    <n v="100372"/>
    <d v="2024-06-19T00:00:00"/>
    <x v="1"/>
    <s v="Q2"/>
    <n v="6"/>
    <x v="4"/>
    <x v="2"/>
    <s v="India"/>
    <s v="Kochi"/>
    <s v="Kavya"/>
    <x v="1"/>
    <x v="2"/>
    <n v="125"/>
    <n v="120"/>
    <n v="14550"/>
    <n v="9750"/>
    <n v="4800"/>
    <n v="0.03"/>
    <s v="Modern Trade"/>
    <n v="248.32"/>
  </r>
  <r>
    <n v="100373"/>
    <d v="2024-11-11T00:00:00"/>
    <x v="1"/>
    <s v="Q4"/>
    <n v="11"/>
    <x v="11"/>
    <x v="3"/>
    <s v="India"/>
    <s v="Delhi"/>
    <s v="Rohan"/>
    <x v="2"/>
    <x v="11"/>
    <n v="79"/>
    <n v="40"/>
    <n v="3160"/>
    <n v="1817"/>
    <n v="1343"/>
    <n v="0"/>
    <s v="General Trade"/>
    <n v="216.52"/>
  </r>
  <r>
    <n v="100374"/>
    <d v="2023-07-31T00:00:00"/>
    <x v="2"/>
    <s v="Q3"/>
    <n v="7"/>
    <x v="7"/>
    <x v="0"/>
    <s v="India"/>
    <s v="Surat"/>
    <s v="Rohan"/>
    <x v="1"/>
    <x v="10"/>
    <n v="85"/>
    <n v="25"/>
    <n v="2082.5"/>
    <n v="1190"/>
    <n v="892.5"/>
    <n v="0.02"/>
    <s v="Modern Trade"/>
    <n v="107.18"/>
  </r>
  <r>
    <n v="100375"/>
    <d v="2023-11-02T00:00:00"/>
    <x v="2"/>
    <s v="Q4"/>
    <n v="11"/>
    <x v="11"/>
    <x v="2"/>
    <s v="India"/>
    <s v="Bengaluru"/>
    <s v="Neha"/>
    <x v="0"/>
    <x v="13"/>
    <n v="135"/>
    <n v="105"/>
    <n v="13891.5"/>
    <n v="8235"/>
    <n v="5656.5"/>
    <n v="0.02"/>
    <s v="Wholesale"/>
    <n v="972.06"/>
  </r>
  <r>
    <n v="100376"/>
    <d v="2024-05-18T00:00:00"/>
    <x v="1"/>
    <s v="Q2"/>
    <n v="5"/>
    <x v="0"/>
    <x v="2"/>
    <s v="India"/>
    <s v="Chennai"/>
    <s v="Priya"/>
    <x v="4"/>
    <x v="17"/>
    <n v="25"/>
    <n v="140"/>
    <n v="3500"/>
    <n v="2050"/>
    <n v="1450"/>
    <n v="0"/>
    <s v="General Trade"/>
    <n v="157.32"/>
  </r>
  <r>
    <n v="100377"/>
    <d v="2023-06-11T00:00:00"/>
    <x v="2"/>
    <s v="Q2"/>
    <n v="6"/>
    <x v="4"/>
    <x v="0"/>
    <s v="India"/>
    <s v="Pune"/>
    <s v="Simran"/>
    <x v="4"/>
    <x v="7"/>
    <n v="19"/>
    <n v="95"/>
    <n v="1750.85"/>
    <n v="1064"/>
    <n v="686.85"/>
    <n v="0.03"/>
    <s v="General Trade"/>
    <n v="61.09"/>
  </r>
  <r>
    <n v="100378"/>
    <d v="2023-06-02T00:00:00"/>
    <x v="2"/>
    <s v="Q2"/>
    <n v="6"/>
    <x v="4"/>
    <x v="0"/>
    <s v="India"/>
    <s v="Mumbai"/>
    <s v="Aarav"/>
    <x v="4"/>
    <x v="6"/>
    <n v="74"/>
    <n v="45"/>
    <n v="3163.5"/>
    <n v="1998"/>
    <n v="1165.5"/>
    <n v="0.05"/>
    <s v="Wholesale"/>
    <n v="77.39"/>
  </r>
  <r>
    <n v="100379"/>
    <d v="2023-04-14T00:00:00"/>
    <x v="2"/>
    <s v="Q2"/>
    <n v="4"/>
    <x v="1"/>
    <x v="0"/>
    <s v="India"/>
    <s v="Surat"/>
    <s v="Amit"/>
    <x v="1"/>
    <x v="1"/>
    <n v="10"/>
    <n v="60"/>
    <n v="600"/>
    <n v="380"/>
    <n v="220"/>
    <n v="0"/>
    <s v="Wholesale"/>
    <n v="13.13"/>
  </r>
  <r>
    <n v="100380"/>
    <d v="2025-02-01T00:00:00"/>
    <x v="0"/>
    <s v="Q1"/>
    <n v="2"/>
    <x v="9"/>
    <x v="3"/>
    <s v="India"/>
    <s v="Delhi"/>
    <s v="Aarav"/>
    <x v="1"/>
    <x v="1"/>
    <n v="15"/>
    <n v="60"/>
    <n v="855"/>
    <n v="570"/>
    <n v="285"/>
    <n v="0.05"/>
    <s v="Online"/>
    <n v="20.22"/>
  </r>
  <r>
    <n v="100381"/>
    <d v="2023-06-24T00:00:00"/>
    <x v="2"/>
    <s v="Q2"/>
    <n v="6"/>
    <x v="4"/>
    <x v="3"/>
    <s v="India"/>
    <s v="Jaipur"/>
    <s v="Neha"/>
    <x v="4"/>
    <x v="6"/>
    <n v="24"/>
    <n v="45"/>
    <n v="1047.5999999999999"/>
    <n v="648"/>
    <n v="399.6"/>
    <n v="0.03"/>
    <s v="General Trade"/>
    <n v="38.03"/>
  </r>
  <r>
    <n v="100382"/>
    <d v="2025-04-30T00:00:00"/>
    <x v="0"/>
    <s v="Q2"/>
    <n v="4"/>
    <x v="1"/>
    <x v="0"/>
    <s v="India"/>
    <s v="Surat"/>
    <s v="Rohan"/>
    <x v="1"/>
    <x v="1"/>
    <n v="67"/>
    <n v="60"/>
    <n v="3819"/>
    <n v="2546"/>
    <n v="1273"/>
    <n v="0.05"/>
    <s v="General Trade"/>
    <n v="234.41"/>
  </r>
  <r>
    <n v="100383"/>
    <d v="2025-07-13T00:00:00"/>
    <x v="0"/>
    <s v="Q3"/>
    <n v="7"/>
    <x v="7"/>
    <x v="0"/>
    <s v="India"/>
    <s v="Pune"/>
    <s v="Simran"/>
    <x v="4"/>
    <x v="6"/>
    <n v="92"/>
    <n v="45"/>
    <n v="4015.8"/>
    <n v="2484"/>
    <n v="1531.8"/>
    <n v="0.03"/>
    <s v="Wholesale"/>
    <n v="128.44999999999999"/>
  </r>
  <r>
    <n v="100384"/>
    <d v="2024-06-08T00:00:00"/>
    <x v="1"/>
    <s v="Q2"/>
    <n v="6"/>
    <x v="4"/>
    <x v="1"/>
    <s v="India"/>
    <s v="Ranchi"/>
    <s v="Neha"/>
    <x v="0"/>
    <x v="8"/>
    <n v="89"/>
    <n v="130"/>
    <n v="11570"/>
    <n v="6764"/>
    <n v="4806"/>
    <n v="0"/>
    <s v="Online"/>
    <n v="724.18"/>
  </r>
  <r>
    <n v="100385"/>
    <d v="2024-03-03T00:00:00"/>
    <x v="1"/>
    <s v="Q1"/>
    <n v="3"/>
    <x v="6"/>
    <x v="0"/>
    <s v="India"/>
    <s v="Pune"/>
    <s v="Simran"/>
    <x v="3"/>
    <x v="16"/>
    <n v="66"/>
    <n v="280"/>
    <n v="17556"/>
    <n v="13530"/>
    <n v="4026"/>
    <n v="0.05"/>
    <s v="Wholesale"/>
    <n v="505.19"/>
  </r>
  <r>
    <n v="100386"/>
    <d v="2025-10-11T00:00:00"/>
    <x v="0"/>
    <s v="Q4"/>
    <n v="10"/>
    <x v="3"/>
    <x v="0"/>
    <s v="India"/>
    <s v="Ahmedabad"/>
    <s v="Kavya"/>
    <x v="1"/>
    <x v="3"/>
    <n v="81"/>
    <n v="180"/>
    <n v="14580"/>
    <n v="9315"/>
    <n v="5265"/>
    <n v="0"/>
    <s v="General Trade"/>
    <n v="658.83"/>
  </r>
  <r>
    <n v="100387"/>
    <d v="2023-05-20T00:00:00"/>
    <x v="2"/>
    <s v="Q2"/>
    <n v="5"/>
    <x v="0"/>
    <x v="3"/>
    <s v="India"/>
    <s v="Noida"/>
    <s v="Aarav"/>
    <x v="2"/>
    <x v="18"/>
    <n v="87"/>
    <n v="50"/>
    <n v="4132.5"/>
    <n v="2523"/>
    <n v="1609.5"/>
    <n v="0.05"/>
    <s v="General Trade"/>
    <n v="118.16"/>
  </r>
  <r>
    <n v="100388"/>
    <d v="2023-01-19T00:00:00"/>
    <x v="2"/>
    <s v="Q1"/>
    <n v="1"/>
    <x v="8"/>
    <x v="2"/>
    <s v="India"/>
    <s v="Chennai"/>
    <s v="Neha"/>
    <x v="1"/>
    <x v="1"/>
    <n v="56"/>
    <n v="60"/>
    <n v="3259.2"/>
    <n v="2128"/>
    <n v="1131.2"/>
    <n v="0.03"/>
    <s v="Online"/>
    <n v="224.93"/>
  </r>
  <r>
    <n v="100389"/>
    <d v="2023-08-03T00:00:00"/>
    <x v="2"/>
    <s v="Q3"/>
    <n v="8"/>
    <x v="5"/>
    <x v="2"/>
    <s v="India"/>
    <s v="Hyderabad"/>
    <s v="Aarav"/>
    <x v="2"/>
    <x v="11"/>
    <n v="38"/>
    <n v="40"/>
    <n v="1489.6"/>
    <n v="874"/>
    <n v="615.6"/>
    <n v="0.02"/>
    <s v="Wholesale"/>
    <n v="99.46"/>
  </r>
  <r>
    <n v="100390"/>
    <d v="2023-08-06T00:00:00"/>
    <x v="2"/>
    <s v="Q3"/>
    <n v="8"/>
    <x v="5"/>
    <x v="2"/>
    <s v="India"/>
    <s v="Chennai"/>
    <s v="Aarav"/>
    <x v="3"/>
    <x v="14"/>
    <n v="15"/>
    <n v="55"/>
    <n v="800.25"/>
    <n v="555"/>
    <n v="245.25"/>
    <n v="0.03"/>
    <s v="Online"/>
    <n v="55.09"/>
  </r>
  <r>
    <n v="100391"/>
    <d v="2024-02-29T00:00:00"/>
    <x v="1"/>
    <s v="Q1"/>
    <n v="2"/>
    <x v="9"/>
    <x v="3"/>
    <s v="India"/>
    <s v="Jaipur"/>
    <s v="Simran"/>
    <x v="4"/>
    <x v="7"/>
    <n v="140"/>
    <n v="95"/>
    <n v="13034"/>
    <n v="7840"/>
    <n v="5194"/>
    <n v="0.02"/>
    <s v="Modern Trade"/>
    <n v="541.79"/>
  </r>
  <r>
    <n v="100392"/>
    <d v="2024-08-08T00:00:00"/>
    <x v="1"/>
    <s v="Q3"/>
    <n v="8"/>
    <x v="5"/>
    <x v="2"/>
    <s v="India"/>
    <s v="Bengaluru"/>
    <s v="Neha"/>
    <x v="1"/>
    <x v="10"/>
    <n v="48"/>
    <n v="25"/>
    <n v="1200"/>
    <n v="672"/>
    <n v="528"/>
    <n v="0"/>
    <s v="General Trade"/>
    <n v="79.08"/>
  </r>
  <r>
    <n v="100393"/>
    <d v="2025-08-07T00:00:00"/>
    <x v="0"/>
    <s v="Q3"/>
    <n v="8"/>
    <x v="5"/>
    <x v="1"/>
    <s v="India"/>
    <s v="Ranchi"/>
    <s v="Kavya"/>
    <x v="2"/>
    <x v="4"/>
    <n v="120"/>
    <n v="75"/>
    <n v="8730"/>
    <n v="5280"/>
    <n v="3450"/>
    <n v="0.03"/>
    <s v="Wholesale"/>
    <n v="439.03"/>
  </r>
  <r>
    <n v="100394"/>
    <d v="2023-03-14T00:00:00"/>
    <x v="2"/>
    <s v="Q1"/>
    <n v="3"/>
    <x v="6"/>
    <x v="3"/>
    <s v="India"/>
    <s v="Lucknow"/>
    <s v="Neha"/>
    <x v="4"/>
    <x v="6"/>
    <n v="109"/>
    <n v="45"/>
    <n v="4806.8999999999996"/>
    <n v="2943"/>
    <n v="1863.9"/>
    <n v="0.02"/>
    <s v="Wholesale"/>
    <n v="72.64"/>
  </r>
  <r>
    <n v="100395"/>
    <d v="2023-09-23T00:00:00"/>
    <x v="2"/>
    <s v="Q3"/>
    <n v="9"/>
    <x v="2"/>
    <x v="3"/>
    <s v="India"/>
    <s v="Jaipur"/>
    <s v="Neha"/>
    <x v="1"/>
    <x v="10"/>
    <n v="57"/>
    <n v="25"/>
    <n v="1425"/>
    <n v="798"/>
    <n v="627"/>
    <n v="0"/>
    <s v="Online"/>
    <n v="81.900000000000006"/>
  </r>
  <r>
    <n v="100396"/>
    <d v="2023-01-25T00:00:00"/>
    <x v="2"/>
    <s v="Q1"/>
    <n v="1"/>
    <x v="8"/>
    <x v="3"/>
    <s v="India"/>
    <s v="Lucknow"/>
    <s v="Rahul"/>
    <x v="4"/>
    <x v="6"/>
    <n v="77"/>
    <n v="45"/>
    <n v="3118.5"/>
    <n v="2079"/>
    <n v="1039.5"/>
    <n v="0.1"/>
    <s v="Wholesale"/>
    <n v="139.74"/>
  </r>
  <r>
    <n v="100397"/>
    <d v="2023-02-15T00:00:00"/>
    <x v="2"/>
    <s v="Q1"/>
    <n v="2"/>
    <x v="9"/>
    <x v="2"/>
    <s v="India"/>
    <s v="Kochi"/>
    <s v="Rahul"/>
    <x v="0"/>
    <x v="13"/>
    <n v="83"/>
    <n v="105"/>
    <n v="8715"/>
    <n v="5063"/>
    <n v="3652"/>
    <n v="0"/>
    <s v="Wholesale"/>
    <n v="338.55"/>
  </r>
  <r>
    <n v="100398"/>
    <d v="2024-01-02T00:00:00"/>
    <x v="1"/>
    <s v="Q1"/>
    <n v="1"/>
    <x v="8"/>
    <x v="0"/>
    <s v="India"/>
    <s v="Surat"/>
    <s v="Priya"/>
    <x v="2"/>
    <x v="18"/>
    <n v="101"/>
    <n v="50"/>
    <n v="4797.5"/>
    <n v="2929"/>
    <n v="1868.5"/>
    <n v="0.05"/>
    <s v="Online"/>
    <n v="240.22"/>
  </r>
  <r>
    <n v="100399"/>
    <d v="2023-02-08T00:00:00"/>
    <x v="2"/>
    <s v="Q1"/>
    <n v="2"/>
    <x v="9"/>
    <x v="3"/>
    <s v="India"/>
    <s v="Delhi"/>
    <s v="Kavya"/>
    <x v="3"/>
    <x v="5"/>
    <n v="56"/>
    <n v="320"/>
    <n v="17920"/>
    <n v="13160"/>
    <n v="4760"/>
    <n v="0"/>
    <s v="General Trade"/>
    <n v="619.65"/>
  </r>
  <r>
    <n v="100400"/>
    <d v="2025-08-01T00:00:00"/>
    <x v="0"/>
    <s v="Q3"/>
    <n v="8"/>
    <x v="5"/>
    <x v="2"/>
    <s v="India"/>
    <s v="Kochi"/>
    <s v="Priya"/>
    <x v="2"/>
    <x v="11"/>
    <n v="71"/>
    <n v="40"/>
    <n v="2698"/>
    <n v="1633"/>
    <n v="1065"/>
    <n v="0.05"/>
    <s v="General Trade"/>
    <n v="140.32"/>
  </r>
  <r>
    <n v="100401"/>
    <d v="2024-09-30T00:00:00"/>
    <x v="1"/>
    <s v="Q3"/>
    <n v="9"/>
    <x v="2"/>
    <x v="0"/>
    <s v="India"/>
    <s v="Surat"/>
    <s v="Simran"/>
    <x v="3"/>
    <x v="19"/>
    <n v="140"/>
    <n v="60"/>
    <n v="7980"/>
    <n v="5880"/>
    <n v="2100"/>
    <n v="0.05"/>
    <s v="Wholesale"/>
    <n v="445.75"/>
  </r>
  <r>
    <n v="100402"/>
    <d v="2024-11-21T00:00:00"/>
    <x v="1"/>
    <s v="Q4"/>
    <n v="11"/>
    <x v="11"/>
    <x v="2"/>
    <s v="India"/>
    <s v="Bengaluru"/>
    <s v="Neha"/>
    <x v="2"/>
    <x v="18"/>
    <n v="143"/>
    <n v="50"/>
    <n v="6792.5"/>
    <n v="4147"/>
    <n v="2645.5"/>
    <n v="0.05"/>
    <s v="General Trade"/>
    <n v="226.52"/>
  </r>
  <r>
    <n v="100403"/>
    <d v="2024-07-02T00:00:00"/>
    <x v="1"/>
    <s v="Q3"/>
    <n v="7"/>
    <x v="7"/>
    <x v="3"/>
    <s v="India"/>
    <s v="Noida"/>
    <s v="Neha"/>
    <x v="0"/>
    <x v="0"/>
    <n v="11"/>
    <n v="110"/>
    <n v="1149.5"/>
    <n v="748"/>
    <n v="401.5"/>
    <n v="0.05"/>
    <s v="Online"/>
    <n v="32.950000000000003"/>
  </r>
  <r>
    <n v="100404"/>
    <d v="2024-11-10T00:00:00"/>
    <x v="1"/>
    <s v="Q4"/>
    <n v="11"/>
    <x v="11"/>
    <x v="1"/>
    <s v="India"/>
    <s v="Bhubaneswar"/>
    <s v="Kavya"/>
    <x v="4"/>
    <x v="6"/>
    <n v="88"/>
    <n v="45"/>
    <n v="3960"/>
    <n v="2376"/>
    <n v="1584"/>
    <n v="0"/>
    <s v="Online"/>
    <n v="239.03"/>
  </r>
  <r>
    <n v="100405"/>
    <d v="2025-02-10T00:00:00"/>
    <x v="0"/>
    <s v="Q1"/>
    <n v="2"/>
    <x v="9"/>
    <x v="2"/>
    <s v="India"/>
    <s v="Kochi"/>
    <s v="Aarav"/>
    <x v="2"/>
    <x v="4"/>
    <n v="63"/>
    <n v="75"/>
    <n v="4725"/>
    <n v="2772"/>
    <n v="1953"/>
    <n v="0"/>
    <s v="Online"/>
    <n v="125.46"/>
  </r>
  <r>
    <n v="100406"/>
    <d v="2025-08-31T00:00:00"/>
    <x v="0"/>
    <s v="Q3"/>
    <n v="8"/>
    <x v="5"/>
    <x v="2"/>
    <s v="India"/>
    <s v="Bengaluru"/>
    <s v="Aarav"/>
    <x v="2"/>
    <x v="11"/>
    <n v="47"/>
    <n v="40"/>
    <n v="1880"/>
    <n v="1081"/>
    <n v="799"/>
    <n v="0"/>
    <s v="General Trade"/>
    <n v="81.599999999999994"/>
  </r>
  <r>
    <n v="100407"/>
    <d v="2023-01-21T00:00:00"/>
    <x v="2"/>
    <s v="Q1"/>
    <n v="1"/>
    <x v="8"/>
    <x v="2"/>
    <s v="India"/>
    <s v="Hyderabad"/>
    <s v="Aarav"/>
    <x v="0"/>
    <x v="8"/>
    <n v="93"/>
    <n v="130"/>
    <n v="11727.3"/>
    <n v="7068"/>
    <n v="4659.3"/>
    <n v="0.03"/>
    <s v="General Trade"/>
    <n v="695.68"/>
  </r>
  <r>
    <n v="100408"/>
    <d v="2023-10-10T00:00:00"/>
    <x v="2"/>
    <s v="Q4"/>
    <n v="10"/>
    <x v="3"/>
    <x v="1"/>
    <s v="India"/>
    <s v="Bhubaneswar"/>
    <s v="Aarav"/>
    <x v="4"/>
    <x v="6"/>
    <n v="70"/>
    <n v="45"/>
    <n v="3087"/>
    <n v="1890"/>
    <n v="1197"/>
    <n v="0.02"/>
    <s v="Online"/>
    <n v="186.98"/>
  </r>
  <r>
    <n v="100409"/>
    <d v="2024-06-27T00:00:00"/>
    <x v="1"/>
    <s v="Q2"/>
    <n v="6"/>
    <x v="4"/>
    <x v="0"/>
    <s v="India"/>
    <s v="Surat"/>
    <s v="Aarav"/>
    <x v="0"/>
    <x v="12"/>
    <n v="115"/>
    <n v="95"/>
    <n v="10706.5"/>
    <n v="6670"/>
    <n v="4036.5"/>
    <n v="0.02"/>
    <s v="General Trade"/>
    <n v="297.08999999999997"/>
  </r>
  <r>
    <n v="100410"/>
    <d v="2023-05-17T00:00:00"/>
    <x v="2"/>
    <s v="Q2"/>
    <n v="5"/>
    <x v="0"/>
    <x v="2"/>
    <s v="India"/>
    <s v="Hyderabad"/>
    <s v="Neha"/>
    <x v="0"/>
    <x v="8"/>
    <n v="127"/>
    <n v="130"/>
    <n v="15684.5"/>
    <n v="9652"/>
    <n v="6032.5"/>
    <n v="0.05"/>
    <s v="Wholesale"/>
    <n v="998.17"/>
  </r>
  <r>
    <n v="100411"/>
    <d v="2024-02-18T00:00:00"/>
    <x v="1"/>
    <s v="Q1"/>
    <n v="2"/>
    <x v="9"/>
    <x v="3"/>
    <s v="India"/>
    <s v="Jaipur"/>
    <s v="Rohan"/>
    <x v="4"/>
    <x v="6"/>
    <n v="96"/>
    <n v="45"/>
    <n v="4320"/>
    <n v="2592"/>
    <n v="1728"/>
    <n v="0"/>
    <s v="Modern Trade"/>
    <n v="229.68"/>
  </r>
  <r>
    <n v="100412"/>
    <d v="2025-12-04T00:00:00"/>
    <x v="0"/>
    <s v="Q4"/>
    <n v="12"/>
    <x v="10"/>
    <x v="3"/>
    <s v="India"/>
    <s v="Jaipur"/>
    <s v="Kavya"/>
    <x v="1"/>
    <x v="1"/>
    <n v="143"/>
    <n v="60"/>
    <n v="8151"/>
    <n v="5434"/>
    <n v="2717"/>
    <n v="0.05"/>
    <s v="General Trade"/>
    <n v="255.32"/>
  </r>
  <r>
    <n v="100413"/>
    <d v="2024-12-21T00:00:00"/>
    <x v="1"/>
    <s v="Q4"/>
    <n v="12"/>
    <x v="10"/>
    <x v="2"/>
    <s v="India"/>
    <s v="Hyderabad"/>
    <s v="Neha"/>
    <x v="0"/>
    <x v="8"/>
    <n v="131"/>
    <n v="130"/>
    <n v="16689.400000000001"/>
    <n v="9956"/>
    <n v="6733.4"/>
    <n v="0.02"/>
    <s v="General Trade"/>
    <n v="347.04"/>
  </r>
  <r>
    <n v="100414"/>
    <d v="2025-10-31T00:00:00"/>
    <x v="0"/>
    <s v="Q4"/>
    <n v="10"/>
    <x v="3"/>
    <x v="2"/>
    <s v="India"/>
    <s v="Hyderabad"/>
    <s v="Neha"/>
    <x v="1"/>
    <x v="1"/>
    <n v="136"/>
    <n v="60"/>
    <n v="7996.8"/>
    <n v="5168"/>
    <n v="2828.8"/>
    <n v="0.02"/>
    <s v="Modern Trade"/>
    <n v="216.52"/>
  </r>
  <r>
    <n v="100415"/>
    <d v="2023-12-29T00:00:00"/>
    <x v="2"/>
    <s v="Q4"/>
    <n v="12"/>
    <x v="10"/>
    <x v="3"/>
    <s v="India"/>
    <s v="Delhi"/>
    <s v="Priya"/>
    <x v="2"/>
    <x v="11"/>
    <n v="28"/>
    <n v="40"/>
    <n v="1064"/>
    <n v="644"/>
    <n v="420"/>
    <n v="0.05"/>
    <s v="General Trade"/>
    <n v="40.06"/>
  </r>
  <r>
    <n v="100416"/>
    <d v="2025-08-03T00:00:00"/>
    <x v="0"/>
    <s v="Q3"/>
    <n v="8"/>
    <x v="5"/>
    <x v="2"/>
    <s v="India"/>
    <s v="Hyderabad"/>
    <s v="Aarav"/>
    <x v="4"/>
    <x v="6"/>
    <n v="102"/>
    <n v="45"/>
    <n v="4452.3"/>
    <n v="2754"/>
    <n v="1698.3"/>
    <n v="0.03"/>
    <s v="Modern Trade"/>
    <n v="95.04"/>
  </r>
  <r>
    <n v="100417"/>
    <d v="2025-07-13T00:00:00"/>
    <x v="0"/>
    <s v="Q3"/>
    <n v="7"/>
    <x v="7"/>
    <x v="0"/>
    <s v="India"/>
    <s v="Surat"/>
    <s v="Rahul"/>
    <x v="3"/>
    <x v="19"/>
    <n v="80"/>
    <n v="60"/>
    <n v="4800"/>
    <n v="3360"/>
    <n v="1440"/>
    <n v="0"/>
    <s v="General Trade"/>
    <n v="273.91000000000003"/>
  </r>
  <r>
    <n v="100418"/>
    <d v="2025-03-27T00:00:00"/>
    <x v="0"/>
    <s v="Q1"/>
    <n v="3"/>
    <x v="6"/>
    <x v="0"/>
    <s v="India"/>
    <s v="Mumbai"/>
    <s v="Rahul"/>
    <x v="0"/>
    <x v="12"/>
    <n v="26"/>
    <n v="95"/>
    <n v="2272.4"/>
    <n v="1508"/>
    <n v="764.4"/>
    <n v="0.08"/>
    <s v="Modern Trade"/>
    <n v="118.23"/>
  </r>
  <r>
    <n v="100419"/>
    <d v="2024-02-20T00:00:00"/>
    <x v="1"/>
    <s v="Q1"/>
    <n v="2"/>
    <x v="9"/>
    <x v="2"/>
    <s v="India"/>
    <s v="Kochi"/>
    <s v="Aarav"/>
    <x v="3"/>
    <x v="14"/>
    <n v="82"/>
    <n v="55"/>
    <n v="4374.7"/>
    <n v="3034"/>
    <n v="1340.7"/>
    <n v="0.03"/>
    <s v="Wholesale"/>
    <n v="266.8"/>
  </r>
  <r>
    <n v="100420"/>
    <d v="2024-02-29T00:00:00"/>
    <x v="1"/>
    <s v="Q1"/>
    <n v="2"/>
    <x v="9"/>
    <x v="0"/>
    <s v="India"/>
    <s v="Surat"/>
    <s v="Rohan"/>
    <x v="2"/>
    <x v="18"/>
    <n v="92"/>
    <n v="50"/>
    <n v="4232"/>
    <n v="2668"/>
    <n v="1564"/>
    <n v="0.08"/>
    <s v="Modern Trade"/>
    <n v="157.65"/>
  </r>
  <r>
    <n v="100421"/>
    <d v="2025-07-30T00:00:00"/>
    <x v="0"/>
    <s v="Q3"/>
    <n v="7"/>
    <x v="7"/>
    <x v="2"/>
    <s v="India"/>
    <s v="Chennai"/>
    <s v="Kavya"/>
    <x v="0"/>
    <x v="8"/>
    <n v="137"/>
    <n v="130"/>
    <n v="17453.8"/>
    <n v="10412"/>
    <n v="7041.8"/>
    <n v="0.02"/>
    <s v="Modern Trade"/>
    <n v="326.10000000000002"/>
  </r>
  <r>
    <n v="100422"/>
    <d v="2025-01-20T00:00:00"/>
    <x v="0"/>
    <s v="Q1"/>
    <n v="1"/>
    <x v="8"/>
    <x v="3"/>
    <s v="India"/>
    <s v="Lucknow"/>
    <s v="Priya"/>
    <x v="3"/>
    <x v="5"/>
    <n v="125"/>
    <n v="320"/>
    <n v="38000"/>
    <n v="29375"/>
    <n v="8625"/>
    <n v="0.05"/>
    <s v="Modern Trade"/>
    <n v="724.88"/>
  </r>
  <r>
    <n v="100423"/>
    <d v="2023-12-01T00:00:00"/>
    <x v="2"/>
    <s v="Q4"/>
    <n v="12"/>
    <x v="10"/>
    <x v="1"/>
    <s v="India"/>
    <s v="Ranchi"/>
    <s v="Simran"/>
    <x v="3"/>
    <x v="14"/>
    <n v="76"/>
    <n v="55"/>
    <n v="4096.3999999999996"/>
    <n v="2812"/>
    <n v="1284.4000000000001"/>
    <n v="0.02"/>
    <s v="Modern Trade"/>
    <n v="140.41999999999999"/>
  </r>
  <r>
    <n v="100424"/>
    <d v="2025-08-08T00:00:00"/>
    <x v="0"/>
    <s v="Q3"/>
    <n v="8"/>
    <x v="5"/>
    <x v="2"/>
    <s v="India"/>
    <s v="Kochi"/>
    <s v="Rahul"/>
    <x v="4"/>
    <x v="17"/>
    <n v="84"/>
    <n v="140"/>
    <n v="11172"/>
    <n v="6888"/>
    <n v="4284"/>
    <n v="0.05"/>
    <s v="General Trade"/>
    <n v="603.09"/>
  </r>
  <r>
    <n v="100425"/>
    <d v="2025-06-16T00:00:00"/>
    <x v="0"/>
    <s v="Q2"/>
    <n v="6"/>
    <x v="4"/>
    <x v="2"/>
    <s v="India"/>
    <s v="Kochi"/>
    <s v="Simran"/>
    <x v="4"/>
    <x v="17"/>
    <n v="133"/>
    <n v="140"/>
    <n v="18620"/>
    <n v="10906"/>
    <n v="7714"/>
    <n v="0"/>
    <s v="General Trade"/>
    <n v="385.48"/>
  </r>
  <r>
    <n v="100426"/>
    <d v="2023-09-07T00:00:00"/>
    <x v="2"/>
    <s v="Q3"/>
    <n v="9"/>
    <x v="2"/>
    <x v="2"/>
    <s v="India"/>
    <s v="Chennai"/>
    <s v="Rahul"/>
    <x v="4"/>
    <x v="15"/>
    <n v="48"/>
    <n v="160"/>
    <n v="7296"/>
    <n v="4560"/>
    <n v="2736"/>
    <n v="0.05"/>
    <s v="Online"/>
    <n v="413.81"/>
  </r>
  <r>
    <n v="100427"/>
    <d v="2023-02-13T00:00:00"/>
    <x v="2"/>
    <s v="Q1"/>
    <n v="2"/>
    <x v="9"/>
    <x v="3"/>
    <s v="India"/>
    <s v="Jaipur"/>
    <s v="Aarav"/>
    <x v="1"/>
    <x v="2"/>
    <n v="136"/>
    <n v="120"/>
    <n v="15014.4"/>
    <n v="10608"/>
    <n v="4406.3999999999996"/>
    <n v="0.08"/>
    <s v="General Trade"/>
    <n v="844.54"/>
  </r>
  <r>
    <n v="100428"/>
    <d v="2025-09-17T00:00:00"/>
    <x v="0"/>
    <s v="Q3"/>
    <n v="9"/>
    <x v="2"/>
    <x v="0"/>
    <s v="India"/>
    <s v="Mumbai"/>
    <s v="Amit"/>
    <x v="4"/>
    <x v="17"/>
    <n v="71"/>
    <n v="140"/>
    <n v="9940"/>
    <n v="5822"/>
    <n v="4118"/>
    <n v="0"/>
    <s v="Online"/>
    <n v="408.19"/>
  </r>
  <r>
    <n v="100429"/>
    <d v="2024-06-11T00:00:00"/>
    <x v="1"/>
    <s v="Q2"/>
    <n v="6"/>
    <x v="4"/>
    <x v="1"/>
    <s v="India"/>
    <s v="Ranchi"/>
    <s v="Neha"/>
    <x v="2"/>
    <x v="9"/>
    <n v="139"/>
    <n v="90"/>
    <n v="12134.7"/>
    <n v="7228"/>
    <n v="4906.7"/>
    <n v="0.03"/>
    <s v="Online"/>
    <n v="787.92"/>
  </r>
  <r>
    <n v="100430"/>
    <d v="2024-08-15T00:00:00"/>
    <x v="1"/>
    <s v="Q3"/>
    <n v="8"/>
    <x v="5"/>
    <x v="2"/>
    <s v="India"/>
    <s v="Bengaluru"/>
    <s v="Aarav"/>
    <x v="1"/>
    <x v="10"/>
    <n v="99"/>
    <n v="25"/>
    <n v="2400.75"/>
    <n v="1386"/>
    <n v="1014.75"/>
    <n v="0.03"/>
    <s v="General Trade"/>
    <n v="162.57"/>
  </r>
  <r>
    <n v="100431"/>
    <d v="2024-05-19T00:00:00"/>
    <x v="1"/>
    <s v="Q2"/>
    <n v="5"/>
    <x v="0"/>
    <x v="0"/>
    <s v="India"/>
    <s v="Ahmedabad"/>
    <s v="Neha"/>
    <x v="3"/>
    <x v="14"/>
    <n v="70"/>
    <n v="55"/>
    <n v="3773"/>
    <n v="2590"/>
    <n v="1183"/>
    <n v="0.02"/>
    <s v="Modern Trade"/>
    <n v="112.52"/>
  </r>
  <r>
    <n v="100432"/>
    <d v="2025-07-11T00:00:00"/>
    <x v="0"/>
    <s v="Q3"/>
    <n v="7"/>
    <x v="7"/>
    <x v="1"/>
    <s v="India"/>
    <s v="Patna"/>
    <s v="Simran"/>
    <x v="2"/>
    <x v="4"/>
    <n v="141"/>
    <n v="75"/>
    <n v="10257.75"/>
    <n v="6204"/>
    <n v="4053.75"/>
    <n v="0.03"/>
    <s v="General Trade"/>
    <n v="708.62"/>
  </r>
  <r>
    <n v="100433"/>
    <d v="2023-12-06T00:00:00"/>
    <x v="2"/>
    <s v="Q4"/>
    <n v="12"/>
    <x v="10"/>
    <x v="1"/>
    <s v="India"/>
    <s v="Kolkata"/>
    <s v="Simran"/>
    <x v="2"/>
    <x v="18"/>
    <n v="72"/>
    <n v="50"/>
    <n v="3528"/>
    <n v="2088"/>
    <n v="1440"/>
    <n v="0.02"/>
    <s v="General Trade"/>
    <n v="133.49"/>
  </r>
  <r>
    <n v="100434"/>
    <d v="2025-04-07T00:00:00"/>
    <x v="0"/>
    <s v="Q2"/>
    <n v="4"/>
    <x v="1"/>
    <x v="1"/>
    <s v="India"/>
    <s v="Bhubaneswar"/>
    <s v="Rohan"/>
    <x v="0"/>
    <x v="12"/>
    <n v="65"/>
    <n v="95"/>
    <n v="6051.5"/>
    <n v="3770"/>
    <n v="2281.5"/>
    <n v="0.02"/>
    <s v="Wholesale"/>
    <n v="261.92"/>
  </r>
  <r>
    <n v="100435"/>
    <d v="2023-04-14T00:00:00"/>
    <x v="2"/>
    <s v="Q2"/>
    <n v="4"/>
    <x v="1"/>
    <x v="3"/>
    <s v="India"/>
    <s v="Noida"/>
    <s v="Kavya"/>
    <x v="1"/>
    <x v="3"/>
    <n v="84"/>
    <n v="180"/>
    <n v="13910.4"/>
    <n v="9660"/>
    <n v="4250.3999999999996"/>
    <n v="0.08"/>
    <s v="General Trade"/>
    <n v="749.44"/>
  </r>
  <r>
    <n v="100436"/>
    <d v="2023-10-26T00:00:00"/>
    <x v="2"/>
    <s v="Q4"/>
    <n v="10"/>
    <x v="3"/>
    <x v="3"/>
    <s v="India"/>
    <s v="Jaipur"/>
    <s v="Simran"/>
    <x v="0"/>
    <x v="0"/>
    <n v="118"/>
    <n v="110"/>
    <n v="12590.6"/>
    <n v="8024"/>
    <n v="4566.6000000000004"/>
    <n v="0.03"/>
    <s v="Modern Trade"/>
    <n v="584.38"/>
  </r>
  <r>
    <n v="100437"/>
    <d v="2025-03-13T00:00:00"/>
    <x v="0"/>
    <s v="Q1"/>
    <n v="3"/>
    <x v="6"/>
    <x v="1"/>
    <s v="India"/>
    <s v="Patna"/>
    <s v="Rohan"/>
    <x v="2"/>
    <x v="4"/>
    <n v="57"/>
    <n v="75"/>
    <n v="4189.5"/>
    <n v="2508"/>
    <n v="1681.5"/>
    <n v="0.02"/>
    <s v="Online"/>
    <n v="66.47"/>
  </r>
  <r>
    <n v="100438"/>
    <d v="2023-04-24T00:00:00"/>
    <x v="2"/>
    <s v="Q2"/>
    <n v="4"/>
    <x v="1"/>
    <x v="3"/>
    <s v="India"/>
    <s v="Lucknow"/>
    <s v="Amit"/>
    <x v="2"/>
    <x v="4"/>
    <n v="108"/>
    <n v="75"/>
    <n v="7290"/>
    <n v="4752"/>
    <n v="2538"/>
    <n v="0.1"/>
    <s v="Modern Trade"/>
    <n v="275.67"/>
  </r>
  <r>
    <n v="100439"/>
    <d v="2024-06-20T00:00:00"/>
    <x v="1"/>
    <s v="Q2"/>
    <n v="6"/>
    <x v="4"/>
    <x v="1"/>
    <s v="India"/>
    <s v="Kolkata"/>
    <s v="Simran"/>
    <x v="4"/>
    <x v="7"/>
    <n v="83"/>
    <n v="95"/>
    <n v="7885"/>
    <n v="4648"/>
    <n v="3237"/>
    <n v="0"/>
    <s v="Modern Trade"/>
    <n v="369.3"/>
  </r>
  <r>
    <n v="100440"/>
    <d v="2024-10-12T00:00:00"/>
    <x v="1"/>
    <s v="Q4"/>
    <n v="10"/>
    <x v="3"/>
    <x v="2"/>
    <s v="India"/>
    <s v="Bengaluru"/>
    <s v="Priya"/>
    <x v="2"/>
    <x v="18"/>
    <n v="68"/>
    <n v="50"/>
    <n v="3298"/>
    <n v="1972"/>
    <n v="1326"/>
    <n v="0.03"/>
    <s v="Modern Trade"/>
    <n v="129.84"/>
  </r>
  <r>
    <n v="100441"/>
    <d v="2023-06-19T00:00:00"/>
    <x v="2"/>
    <s v="Q2"/>
    <n v="6"/>
    <x v="4"/>
    <x v="1"/>
    <s v="India"/>
    <s v="Bhubaneswar"/>
    <s v="Rohan"/>
    <x v="4"/>
    <x v="7"/>
    <n v="41"/>
    <n v="95"/>
    <n v="3778.15"/>
    <n v="2296"/>
    <n v="1482.15"/>
    <n v="0.03"/>
    <s v="Wholesale"/>
    <n v="196.89"/>
  </r>
  <r>
    <n v="100442"/>
    <d v="2025-06-06T00:00:00"/>
    <x v="0"/>
    <s v="Q2"/>
    <n v="6"/>
    <x v="4"/>
    <x v="0"/>
    <s v="India"/>
    <s v="Ahmedabad"/>
    <s v="Aarav"/>
    <x v="1"/>
    <x v="2"/>
    <n v="96"/>
    <n v="120"/>
    <n v="10944"/>
    <n v="7488"/>
    <n v="3456"/>
    <n v="0.05"/>
    <s v="General Trade"/>
    <n v="583.78"/>
  </r>
  <r>
    <n v="100443"/>
    <d v="2025-07-06T00:00:00"/>
    <x v="0"/>
    <s v="Q3"/>
    <n v="7"/>
    <x v="7"/>
    <x v="0"/>
    <s v="India"/>
    <s v="Mumbai"/>
    <s v="Rohan"/>
    <x v="4"/>
    <x v="17"/>
    <n v="113"/>
    <n v="140"/>
    <n v="15029"/>
    <n v="9266"/>
    <n v="5763"/>
    <n v="0.05"/>
    <s v="Modern Trade"/>
    <n v="601.67999999999995"/>
  </r>
  <r>
    <n v="100444"/>
    <d v="2024-03-05T00:00:00"/>
    <x v="1"/>
    <s v="Q1"/>
    <n v="3"/>
    <x v="6"/>
    <x v="2"/>
    <s v="India"/>
    <s v="Bengaluru"/>
    <s v="Simran"/>
    <x v="1"/>
    <x v="3"/>
    <n v="128"/>
    <n v="180"/>
    <n v="23040"/>
    <n v="14720"/>
    <n v="8320"/>
    <n v="0"/>
    <s v="Online"/>
    <n v="920.38"/>
  </r>
  <r>
    <n v="100445"/>
    <d v="2023-06-15T00:00:00"/>
    <x v="2"/>
    <s v="Q2"/>
    <n v="6"/>
    <x v="4"/>
    <x v="0"/>
    <s v="India"/>
    <s v="Surat"/>
    <s v="Kavya"/>
    <x v="4"/>
    <x v="15"/>
    <n v="22"/>
    <n v="160"/>
    <n v="3520"/>
    <n v="2090"/>
    <n v="1430"/>
    <n v="0"/>
    <s v="Modern Trade"/>
    <n v="163.66"/>
  </r>
  <r>
    <n v="100446"/>
    <d v="2025-05-25T00:00:00"/>
    <x v="0"/>
    <s v="Q2"/>
    <n v="5"/>
    <x v="0"/>
    <x v="1"/>
    <s v="India"/>
    <s v="Patna"/>
    <s v="Simran"/>
    <x v="1"/>
    <x v="3"/>
    <n v="38"/>
    <n v="180"/>
    <n v="6634.8"/>
    <n v="4370"/>
    <n v="2264.8000000000002"/>
    <n v="0.03"/>
    <s v="Modern Trade"/>
    <n v="130.38"/>
  </r>
  <r>
    <n v="100447"/>
    <d v="2024-03-14T00:00:00"/>
    <x v="1"/>
    <s v="Q1"/>
    <n v="3"/>
    <x v="6"/>
    <x v="1"/>
    <s v="India"/>
    <s v="Bhubaneswar"/>
    <s v="Rahul"/>
    <x v="4"/>
    <x v="7"/>
    <n v="54"/>
    <n v="95"/>
    <n v="4617"/>
    <n v="3024"/>
    <n v="1593"/>
    <n v="0.1"/>
    <s v="Online"/>
    <n v="242.81"/>
  </r>
  <r>
    <n v="100448"/>
    <d v="2023-03-29T00:00:00"/>
    <x v="2"/>
    <s v="Q1"/>
    <n v="3"/>
    <x v="6"/>
    <x v="1"/>
    <s v="India"/>
    <s v="Patna"/>
    <s v="Rohan"/>
    <x v="1"/>
    <x v="10"/>
    <n v="46"/>
    <n v="25"/>
    <n v="1058"/>
    <n v="644"/>
    <n v="414"/>
    <n v="0.08"/>
    <s v="Modern Trade"/>
    <n v="52.1"/>
  </r>
  <r>
    <n v="100449"/>
    <d v="2024-08-29T00:00:00"/>
    <x v="1"/>
    <s v="Q3"/>
    <n v="8"/>
    <x v="5"/>
    <x v="3"/>
    <s v="India"/>
    <s v="Noida"/>
    <s v="Simran"/>
    <x v="1"/>
    <x v="3"/>
    <n v="62"/>
    <n v="180"/>
    <n v="10044"/>
    <n v="7130"/>
    <n v="2914"/>
    <n v="0.1"/>
    <s v="Wholesale"/>
    <n v="601.97"/>
  </r>
  <r>
    <n v="100450"/>
    <d v="2025-07-13T00:00:00"/>
    <x v="0"/>
    <s v="Q3"/>
    <n v="7"/>
    <x v="7"/>
    <x v="0"/>
    <s v="India"/>
    <s v="Pune"/>
    <s v="Neha"/>
    <x v="2"/>
    <x v="11"/>
    <n v="80"/>
    <n v="40"/>
    <n v="3136"/>
    <n v="1840"/>
    <n v="1296"/>
    <n v="0.02"/>
    <s v="General Trade"/>
    <n v="86.6"/>
  </r>
  <r>
    <n v="100451"/>
    <d v="2024-12-28T00:00:00"/>
    <x v="1"/>
    <s v="Q4"/>
    <n v="12"/>
    <x v="10"/>
    <x v="2"/>
    <s v="India"/>
    <s v="Kochi"/>
    <s v="Simran"/>
    <x v="1"/>
    <x v="2"/>
    <n v="93"/>
    <n v="120"/>
    <n v="10044"/>
    <n v="7254"/>
    <n v="2790"/>
    <n v="0.1"/>
    <s v="General Trade"/>
    <n v="570.11"/>
  </r>
  <r>
    <n v="100452"/>
    <d v="2023-08-24T00:00:00"/>
    <x v="2"/>
    <s v="Q3"/>
    <n v="8"/>
    <x v="5"/>
    <x v="1"/>
    <s v="India"/>
    <s v="Patna"/>
    <s v="Priya"/>
    <x v="0"/>
    <x v="12"/>
    <n v="145"/>
    <n v="95"/>
    <n v="13499.5"/>
    <n v="8410"/>
    <n v="5089.5"/>
    <n v="0.02"/>
    <s v="General Trade"/>
    <n v="217.73"/>
  </r>
  <r>
    <n v="100453"/>
    <d v="2025-12-08T00:00:00"/>
    <x v="0"/>
    <s v="Q4"/>
    <n v="12"/>
    <x v="10"/>
    <x v="1"/>
    <s v="India"/>
    <s v="Kolkata"/>
    <s v="Priya"/>
    <x v="2"/>
    <x v="9"/>
    <n v="110"/>
    <n v="90"/>
    <n v="9900"/>
    <n v="5720"/>
    <n v="4180"/>
    <n v="0"/>
    <s v="General Trade"/>
    <n v="637.59"/>
  </r>
  <r>
    <n v="100454"/>
    <d v="2024-01-18T00:00:00"/>
    <x v="1"/>
    <s v="Q1"/>
    <n v="1"/>
    <x v="8"/>
    <x v="1"/>
    <s v="India"/>
    <s v="Patna"/>
    <s v="Kavya"/>
    <x v="2"/>
    <x v="11"/>
    <n v="139"/>
    <n v="40"/>
    <n v="5115.2"/>
    <n v="3197"/>
    <n v="1918.2"/>
    <n v="0.08"/>
    <s v="Online"/>
    <n v="275.54000000000002"/>
  </r>
  <r>
    <n v="100455"/>
    <d v="2024-03-28T00:00:00"/>
    <x v="1"/>
    <s v="Q1"/>
    <n v="3"/>
    <x v="6"/>
    <x v="1"/>
    <s v="India"/>
    <s v="Bhubaneswar"/>
    <s v="Rohan"/>
    <x v="0"/>
    <x v="13"/>
    <n v="108"/>
    <n v="105"/>
    <n v="11340"/>
    <n v="6588"/>
    <n v="4752"/>
    <n v="0"/>
    <s v="General Trade"/>
    <n v="278.77999999999997"/>
  </r>
  <r>
    <n v="100456"/>
    <d v="2025-01-04T00:00:00"/>
    <x v="0"/>
    <s v="Q1"/>
    <n v="1"/>
    <x v="8"/>
    <x v="0"/>
    <s v="India"/>
    <s v="Pune"/>
    <s v="Priya"/>
    <x v="0"/>
    <x v="12"/>
    <n v="18"/>
    <n v="95"/>
    <n v="1675.8"/>
    <n v="1044"/>
    <n v="631.79999999999995"/>
    <n v="0.02"/>
    <s v="Online"/>
    <n v="57.13"/>
  </r>
  <r>
    <n v="100457"/>
    <d v="2025-07-24T00:00:00"/>
    <x v="0"/>
    <s v="Q3"/>
    <n v="7"/>
    <x v="7"/>
    <x v="3"/>
    <s v="India"/>
    <s v="Jaipur"/>
    <s v="Simran"/>
    <x v="1"/>
    <x v="10"/>
    <n v="72"/>
    <n v="25"/>
    <n v="1800"/>
    <n v="1008"/>
    <n v="792"/>
    <n v="0"/>
    <s v="Wholesale"/>
    <n v="82.69"/>
  </r>
  <r>
    <n v="100458"/>
    <d v="2024-10-21T00:00:00"/>
    <x v="1"/>
    <s v="Q4"/>
    <n v="10"/>
    <x v="3"/>
    <x v="2"/>
    <s v="India"/>
    <s v="Hyderabad"/>
    <s v="Rohan"/>
    <x v="4"/>
    <x v="6"/>
    <n v="85"/>
    <n v="45"/>
    <n v="3710.25"/>
    <n v="2295"/>
    <n v="1415.25"/>
    <n v="0.03"/>
    <s v="General Trade"/>
    <n v="226.71"/>
  </r>
  <r>
    <n v="100459"/>
    <d v="2023-02-17T00:00:00"/>
    <x v="2"/>
    <s v="Q1"/>
    <n v="2"/>
    <x v="9"/>
    <x v="2"/>
    <s v="India"/>
    <s v="Kochi"/>
    <s v="Amit"/>
    <x v="2"/>
    <x v="9"/>
    <n v="98"/>
    <n v="90"/>
    <n v="8555.4"/>
    <n v="5096"/>
    <n v="3459.4"/>
    <n v="0.03"/>
    <s v="Wholesale"/>
    <n v="553.38"/>
  </r>
  <r>
    <n v="100460"/>
    <d v="2025-09-05T00:00:00"/>
    <x v="0"/>
    <s v="Q3"/>
    <n v="9"/>
    <x v="2"/>
    <x v="3"/>
    <s v="India"/>
    <s v="Delhi"/>
    <s v="Simran"/>
    <x v="4"/>
    <x v="15"/>
    <n v="104"/>
    <n v="160"/>
    <n v="16140.8"/>
    <n v="9880"/>
    <n v="6260.8"/>
    <n v="0.03"/>
    <s v="General Trade"/>
    <n v="1103.43"/>
  </r>
  <r>
    <n v="100461"/>
    <d v="2024-04-30T00:00:00"/>
    <x v="1"/>
    <s v="Q2"/>
    <n v="4"/>
    <x v="1"/>
    <x v="0"/>
    <s v="India"/>
    <s v="Pune"/>
    <s v="Kavya"/>
    <x v="3"/>
    <x v="19"/>
    <n v="140"/>
    <n v="60"/>
    <n v="8232"/>
    <n v="5880"/>
    <n v="2352"/>
    <n v="0.02"/>
    <s v="Modern Trade"/>
    <n v="497.33"/>
  </r>
  <r>
    <n v="100462"/>
    <d v="2024-02-26T00:00:00"/>
    <x v="1"/>
    <s v="Q1"/>
    <n v="2"/>
    <x v="9"/>
    <x v="1"/>
    <s v="India"/>
    <s v="Patna"/>
    <s v="Rahul"/>
    <x v="4"/>
    <x v="6"/>
    <n v="15"/>
    <n v="45"/>
    <n v="654.75"/>
    <n v="405"/>
    <n v="249.75"/>
    <n v="0.03"/>
    <s v="Wholesale"/>
    <n v="38.549999999999997"/>
  </r>
  <r>
    <n v="100463"/>
    <d v="2025-04-06T00:00:00"/>
    <x v="0"/>
    <s v="Q2"/>
    <n v="4"/>
    <x v="1"/>
    <x v="0"/>
    <s v="India"/>
    <s v="Mumbai"/>
    <s v="Kavya"/>
    <x v="0"/>
    <x v="12"/>
    <n v="61"/>
    <n v="95"/>
    <n v="5505.25"/>
    <n v="3538"/>
    <n v="1967.25"/>
    <n v="0.05"/>
    <s v="Modern Trade"/>
    <n v="149.34"/>
  </r>
  <r>
    <n v="100464"/>
    <d v="2024-01-18T00:00:00"/>
    <x v="1"/>
    <s v="Q1"/>
    <n v="1"/>
    <x v="8"/>
    <x v="2"/>
    <s v="India"/>
    <s v="Kochi"/>
    <s v="Aarav"/>
    <x v="1"/>
    <x v="10"/>
    <n v="123"/>
    <n v="25"/>
    <n v="3075"/>
    <n v="1722"/>
    <n v="1353"/>
    <n v="0"/>
    <s v="General Trade"/>
    <n v="109.81"/>
  </r>
  <r>
    <n v="100465"/>
    <d v="2024-04-25T00:00:00"/>
    <x v="1"/>
    <s v="Q2"/>
    <n v="4"/>
    <x v="1"/>
    <x v="3"/>
    <s v="India"/>
    <s v="Jaipur"/>
    <s v="Rohan"/>
    <x v="1"/>
    <x v="3"/>
    <n v="67"/>
    <n v="180"/>
    <n v="11818.8"/>
    <n v="7705"/>
    <n v="4113.8"/>
    <n v="0.02"/>
    <s v="General Trade"/>
    <n v="793.84"/>
  </r>
  <r>
    <n v="100466"/>
    <d v="2023-11-11T00:00:00"/>
    <x v="2"/>
    <s v="Q4"/>
    <n v="11"/>
    <x v="11"/>
    <x v="2"/>
    <s v="India"/>
    <s v="Hyderabad"/>
    <s v="Rohan"/>
    <x v="3"/>
    <x v="16"/>
    <n v="25"/>
    <n v="280"/>
    <n v="6650"/>
    <n v="5125"/>
    <n v="1525"/>
    <n v="0.05"/>
    <s v="Modern Trade"/>
    <n v="377.88"/>
  </r>
  <r>
    <n v="100467"/>
    <d v="2025-05-20T00:00:00"/>
    <x v="0"/>
    <s v="Q2"/>
    <n v="5"/>
    <x v="0"/>
    <x v="3"/>
    <s v="India"/>
    <s v="Lucknow"/>
    <s v="Kavya"/>
    <x v="2"/>
    <x v="11"/>
    <n v="103"/>
    <n v="40"/>
    <n v="3996.4"/>
    <n v="2369"/>
    <n v="1627.4"/>
    <n v="0.03"/>
    <s v="General Trade"/>
    <n v="208.18"/>
  </r>
  <r>
    <n v="100468"/>
    <d v="2025-04-28T00:00:00"/>
    <x v="0"/>
    <s v="Q2"/>
    <n v="4"/>
    <x v="1"/>
    <x v="1"/>
    <s v="India"/>
    <s v="Patna"/>
    <s v="Neha"/>
    <x v="4"/>
    <x v="6"/>
    <n v="117"/>
    <n v="45"/>
    <n v="5107.05"/>
    <n v="3159"/>
    <n v="1948.05"/>
    <n v="0.03"/>
    <s v="General Trade"/>
    <n v="90.72"/>
  </r>
  <r>
    <n v="100469"/>
    <d v="2023-11-04T00:00:00"/>
    <x v="2"/>
    <s v="Q4"/>
    <n v="11"/>
    <x v="11"/>
    <x v="3"/>
    <s v="India"/>
    <s v="Noida"/>
    <s v="Rohan"/>
    <x v="3"/>
    <x v="5"/>
    <n v="84"/>
    <n v="320"/>
    <n v="26073.599999999999"/>
    <n v="19740"/>
    <n v="6333.6"/>
    <n v="0.03"/>
    <s v="Modern Trade"/>
    <n v="731.66"/>
  </r>
  <r>
    <n v="100470"/>
    <d v="2025-08-31T00:00:00"/>
    <x v="0"/>
    <s v="Q3"/>
    <n v="8"/>
    <x v="5"/>
    <x v="3"/>
    <s v="India"/>
    <s v="Delhi"/>
    <s v="Kavya"/>
    <x v="1"/>
    <x v="10"/>
    <n v="21"/>
    <n v="25"/>
    <n v="509.25"/>
    <n v="294"/>
    <n v="215.25"/>
    <n v="0.03"/>
    <s v="General Trade"/>
    <n v="30.09"/>
  </r>
  <r>
    <n v="100471"/>
    <d v="2024-09-06T00:00:00"/>
    <x v="1"/>
    <s v="Q3"/>
    <n v="9"/>
    <x v="2"/>
    <x v="0"/>
    <s v="India"/>
    <s v="Ahmedabad"/>
    <s v="Kavya"/>
    <x v="0"/>
    <x v="13"/>
    <n v="94"/>
    <n v="105"/>
    <n v="9080.4"/>
    <n v="5734"/>
    <n v="3346.4"/>
    <n v="0.08"/>
    <s v="General Trade"/>
    <n v="599.35"/>
  </r>
  <r>
    <n v="100472"/>
    <d v="2024-05-07T00:00:00"/>
    <x v="1"/>
    <s v="Q2"/>
    <n v="5"/>
    <x v="0"/>
    <x v="1"/>
    <s v="India"/>
    <s v="Patna"/>
    <s v="Rahul"/>
    <x v="4"/>
    <x v="6"/>
    <n v="124"/>
    <n v="45"/>
    <n v="5468.4"/>
    <n v="3348"/>
    <n v="2120.4"/>
    <n v="0.02"/>
    <s v="General Trade"/>
    <n v="91.08"/>
  </r>
  <r>
    <n v="100473"/>
    <d v="2023-04-14T00:00:00"/>
    <x v="2"/>
    <s v="Q2"/>
    <n v="4"/>
    <x v="1"/>
    <x v="0"/>
    <s v="India"/>
    <s v="Ahmedabad"/>
    <s v="Priya"/>
    <x v="2"/>
    <x v="18"/>
    <n v="15"/>
    <n v="50"/>
    <n v="712.5"/>
    <n v="435"/>
    <n v="277.5"/>
    <n v="0.05"/>
    <s v="Modern Trade"/>
    <n v="23.13"/>
  </r>
  <r>
    <n v="100474"/>
    <d v="2023-10-20T00:00:00"/>
    <x v="2"/>
    <s v="Q4"/>
    <n v="10"/>
    <x v="3"/>
    <x v="0"/>
    <s v="India"/>
    <s v="Surat"/>
    <s v="Priya"/>
    <x v="0"/>
    <x v="12"/>
    <n v="52"/>
    <n v="95"/>
    <n v="4841.2"/>
    <n v="3016"/>
    <n v="1825.2"/>
    <n v="0.02"/>
    <s v="Online"/>
    <n v="193.93"/>
  </r>
  <r>
    <n v="100475"/>
    <d v="2024-11-30T00:00:00"/>
    <x v="1"/>
    <s v="Q4"/>
    <n v="11"/>
    <x v="11"/>
    <x v="2"/>
    <s v="India"/>
    <s v="Hyderabad"/>
    <s v="Priya"/>
    <x v="2"/>
    <x v="4"/>
    <n v="113"/>
    <n v="75"/>
    <n v="8305.5"/>
    <n v="4972"/>
    <n v="3333.5"/>
    <n v="0.02"/>
    <s v="General Trade"/>
    <n v="512.65"/>
  </r>
  <r>
    <n v="100476"/>
    <d v="2024-08-31T00:00:00"/>
    <x v="1"/>
    <s v="Q3"/>
    <n v="8"/>
    <x v="5"/>
    <x v="0"/>
    <s v="India"/>
    <s v="Surat"/>
    <s v="Aarav"/>
    <x v="1"/>
    <x v="3"/>
    <n v="123"/>
    <n v="180"/>
    <n v="19926"/>
    <n v="14145"/>
    <n v="5781"/>
    <n v="0.1"/>
    <s v="General Trade"/>
    <n v="366.63"/>
  </r>
  <r>
    <n v="100477"/>
    <d v="2023-07-03T00:00:00"/>
    <x v="2"/>
    <s v="Q3"/>
    <n v="7"/>
    <x v="7"/>
    <x v="1"/>
    <s v="India"/>
    <s v="Patna"/>
    <s v="Simran"/>
    <x v="1"/>
    <x v="1"/>
    <n v="34"/>
    <n v="60"/>
    <n v="1876.8"/>
    <n v="1292"/>
    <n v="584.79999999999995"/>
    <n v="0.08"/>
    <s v="Modern Trade"/>
    <n v="47.7"/>
  </r>
  <r>
    <n v="100478"/>
    <d v="2025-09-28T00:00:00"/>
    <x v="0"/>
    <s v="Q3"/>
    <n v="9"/>
    <x v="2"/>
    <x v="3"/>
    <s v="India"/>
    <s v="Noida"/>
    <s v="Rahul"/>
    <x v="4"/>
    <x v="17"/>
    <n v="19"/>
    <n v="140"/>
    <n v="2660"/>
    <n v="1558"/>
    <n v="1102"/>
    <n v="0"/>
    <s v="Online"/>
    <n v="82.95"/>
  </r>
  <r>
    <n v="100479"/>
    <d v="2024-04-08T00:00:00"/>
    <x v="1"/>
    <s v="Q2"/>
    <n v="4"/>
    <x v="1"/>
    <x v="3"/>
    <s v="India"/>
    <s v="Jaipur"/>
    <s v="Rohan"/>
    <x v="4"/>
    <x v="6"/>
    <n v="53"/>
    <n v="45"/>
    <n v="2313.4499999999998"/>
    <n v="1431"/>
    <n v="882.45"/>
    <n v="0.03"/>
    <s v="General Trade"/>
    <n v="85.9"/>
  </r>
  <r>
    <n v="100480"/>
    <d v="2023-05-20T00:00:00"/>
    <x v="2"/>
    <s v="Q2"/>
    <n v="5"/>
    <x v="0"/>
    <x v="0"/>
    <s v="India"/>
    <s v="Surat"/>
    <s v="Kavya"/>
    <x v="2"/>
    <x v="4"/>
    <n v="121"/>
    <n v="75"/>
    <n v="8893.5"/>
    <n v="5324"/>
    <n v="3569.5"/>
    <n v="0.02"/>
    <s v="Wholesale"/>
    <n v="226.64"/>
  </r>
  <r>
    <n v="100481"/>
    <d v="2023-05-29T00:00:00"/>
    <x v="2"/>
    <s v="Q2"/>
    <n v="5"/>
    <x v="0"/>
    <x v="3"/>
    <s v="India"/>
    <s v="Lucknow"/>
    <s v="Priya"/>
    <x v="0"/>
    <x v="12"/>
    <n v="125"/>
    <n v="95"/>
    <n v="11637.5"/>
    <n v="7250"/>
    <n v="4387.5"/>
    <n v="0.02"/>
    <s v="General Trade"/>
    <n v="490"/>
  </r>
  <r>
    <n v="100482"/>
    <d v="2025-09-01T00:00:00"/>
    <x v="0"/>
    <s v="Q3"/>
    <n v="9"/>
    <x v="2"/>
    <x v="2"/>
    <s v="India"/>
    <s v="Chennai"/>
    <s v="Simran"/>
    <x v="1"/>
    <x v="2"/>
    <n v="131"/>
    <n v="120"/>
    <n v="15248.4"/>
    <n v="10218"/>
    <n v="5030.3999999999996"/>
    <n v="0.03"/>
    <s v="General Trade"/>
    <n v="985.55"/>
  </r>
  <r>
    <n v="100483"/>
    <d v="2024-04-15T00:00:00"/>
    <x v="1"/>
    <s v="Q2"/>
    <n v="4"/>
    <x v="1"/>
    <x v="1"/>
    <s v="India"/>
    <s v="Patna"/>
    <s v="Priya"/>
    <x v="3"/>
    <x v="5"/>
    <n v="113"/>
    <n v="320"/>
    <n v="34352"/>
    <n v="26555"/>
    <n v="7797"/>
    <n v="0.05"/>
    <s v="Modern Trade"/>
    <n v="2212.66"/>
  </r>
  <r>
    <n v="100484"/>
    <d v="2025-10-05T00:00:00"/>
    <x v="0"/>
    <s v="Q4"/>
    <n v="10"/>
    <x v="3"/>
    <x v="1"/>
    <s v="India"/>
    <s v="Patna"/>
    <s v="Amit"/>
    <x v="2"/>
    <x v="9"/>
    <n v="14"/>
    <n v="90"/>
    <n v="1260"/>
    <n v="728"/>
    <n v="532"/>
    <n v="0"/>
    <s v="General Trade"/>
    <n v="24.14"/>
  </r>
  <r>
    <n v="100485"/>
    <d v="2025-05-19T00:00:00"/>
    <x v="0"/>
    <s v="Q2"/>
    <n v="5"/>
    <x v="0"/>
    <x v="3"/>
    <s v="India"/>
    <s v="Delhi"/>
    <s v="Kavya"/>
    <x v="1"/>
    <x v="3"/>
    <n v="11"/>
    <n v="180"/>
    <n v="1881"/>
    <n v="1265"/>
    <n v="616"/>
    <n v="0.05"/>
    <s v="Wholesale"/>
    <n v="31.57"/>
  </r>
  <r>
    <n v="100486"/>
    <d v="2023-04-18T00:00:00"/>
    <x v="2"/>
    <s v="Q2"/>
    <n v="4"/>
    <x v="1"/>
    <x v="1"/>
    <s v="India"/>
    <s v="Patna"/>
    <s v="Aarav"/>
    <x v="1"/>
    <x v="10"/>
    <n v="134"/>
    <n v="25"/>
    <n v="3082"/>
    <n v="1876"/>
    <n v="1206"/>
    <n v="0.08"/>
    <s v="General Trade"/>
    <n v="212.95"/>
  </r>
  <r>
    <n v="100487"/>
    <d v="2024-11-28T00:00:00"/>
    <x v="1"/>
    <s v="Q4"/>
    <n v="11"/>
    <x v="11"/>
    <x v="3"/>
    <s v="India"/>
    <s v="Lucknow"/>
    <s v="Rohan"/>
    <x v="2"/>
    <x v="4"/>
    <n v="40"/>
    <n v="75"/>
    <n v="3000"/>
    <n v="1760"/>
    <n v="1240"/>
    <n v="0"/>
    <s v="General Trade"/>
    <n v="159.18"/>
  </r>
  <r>
    <n v="100488"/>
    <d v="2023-04-21T00:00:00"/>
    <x v="2"/>
    <s v="Q2"/>
    <n v="4"/>
    <x v="1"/>
    <x v="3"/>
    <s v="India"/>
    <s v="Delhi"/>
    <s v="Amit"/>
    <x v="1"/>
    <x v="1"/>
    <n v="88"/>
    <n v="60"/>
    <n v="4857.6000000000004"/>
    <n v="3344"/>
    <n v="1513.6"/>
    <n v="0.08"/>
    <s v="Online"/>
    <n v="200.4"/>
  </r>
  <r>
    <n v="100489"/>
    <d v="2024-12-02T00:00:00"/>
    <x v="1"/>
    <s v="Q4"/>
    <n v="12"/>
    <x v="10"/>
    <x v="0"/>
    <s v="India"/>
    <s v="Mumbai"/>
    <s v="Kavya"/>
    <x v="2"/>
    <x v="11"/>
    <n v="150"/>
    <n v="40"/>
    <n v="6000"/>
    <n v="3450"/>
    <n v="2550"/>
    <n v="0"/>
    <s v="Wholesale"/>
    <n v="244.01"/>
  </r>
  <r>
    <n v="100490"/>
    <d v="2023-06-12T00:00:00"/>
    <x v="2"/>
    <s v="Q2"/>
    <n v="6"/>
    <x v="4"/>
    <x v="2"/>
    <s v="India"/>
    <s v="Bengaluru"/>
    <s v="Rohan"/>
    <x v="2"/>
    <x v="18"/>
    <n v="63"/>
    <n v="50"/>
    <n v="2992.5"/>
    <n v="1827"/>
    <n v="1165.5"/>
    <n v="0.05"/>
    <s v="General Trade"/>
    <n v="173.51"/>
  </r>
  <r>
    <n v="100491"/>
    <d v="2024-11-05T00:00:00"/>
    <x v="1"/>
    <s v="Q4"/>
    <n v="11"/>
    <x v="11"/>
    <x v="1"/>
    <s v="India"/>
    <s v="Bhubaneswar"/>
    <s v="Rohan"/>
    <x v="0"/>
    <x v="12"/>
    <n v="58"/>
    <n v="95"/>
    <n v="5344.7"/>
    <n v="3364"/>
    <n v="1980.7"/>
    <n v="0.03"/>
    <s v="Modern Trade"/>
    <n v="257.04000000000002"/>
  </r>
  <r>
    <n v="100492"/>
    <d v="2024-01-25T00:00:00"/>
    <x v="1"/>
    <s v="Q1"/>
    <n v="1"/>
    <x v="8"/>
    <x v="2"/>
    <s v="India"/>
    <s v="Hyderabad"/>
    <s v="Amit"/>
    <x v="4"/>
    <x v="15"/>
    <n v="141"/>
    <n v="160"/>
    <n v="21432"/>
    <n v="13395"/>
    <n v="8037"/>
    <n v="0.05"/>
    <s v="General Trade"/>
    <n v="1164"/>
  </r>
  <r>
    <n v="100493"/>
    <d v="2024-07-09T00:00:00"/>
    <x v="1"/>
    <s v="Q3"/>
    <n v="7"/>
    <x v="7"/>
    <x v="0"/>
    <s v="India"/>
    <s v="Ahmedabad"/>
    <s v="Rahul"/>
    <x v="4"/>
    <x v="7"/>
    <n v="90"/>
    <n v="95"/>
    <n v="8122.5"/>
    <n v="5040"/>
    <n v="3082.5"/>
    <n v="0.05"/>
    <s v="Modern Trade"/>
    <n v="225.25"/>
  </r>
  <r>
    <n v="100494"/>
    <d v="2024-03-07T00:00:00"/>
    <x v="1"/>
    <s v="Q1"/>
    <n v="3"/>
    <x v="6"/>
    <x v="1"/>
    <s v="India"/>
    <s v="Ranchi"/>
    <s v="Simran"/>
    <x v="2"/>
    <x v="18"/>
    <n v="80"/>
    <n v="50"/>
    <n v="3920"/>
    <n v="2320"/>
    <n v="1600"/>
    <n v="0.02"/>
    <s v="Online"/>
    <n v="81.63"/>
  </r>
  <r>
    <n v="100495"/>
    <d v="2025-04-05T00:00:00"/>
    <x v="0"/>
    <s v="Q2"/>
    <n v="4"/>
    <x v="1"/>
    <x v="1"/>
    <s v="India"/>
    <s v="Bhubaneswar"/>
    <s v="Simran"/>
    <x v="2"/>
    <x v="4"/>
    <n v="77"/>
    <n v="75"/>
    <n v="5601.75"/>
    <n v="3388"/>
    <n v="2213.75"/>
    <n v="0.03"/>
    <s v="General Trade"/>
    <n v="93.01"/>
  </r>
  <r>
    <n v="100496"/>
    <d v="2024-03-04T00:00:00"/>
    <x v="1"/>
    <s v="Q1"/>
    <n v="3"/>
    <x v="6"/>
    <x v="2"/>
    <s v="India"/>
    <s v="Kochi"/>
    <s v="Rohan"/>
    <x v="4"/>
    <x v="15"/>
    <n v="40"/>
    <n v="160"/>
    <n v="6400"/>
    <n v="3800"/>
    <n v="2600"/>
    <n v="0"/>
    <s v="Online"/>
    <n v="207.83"/>
  </r>
  <r>
    <n v="100497"/>
    <d v="2023-07-20T00:00:00"/>
    <x v="2"/>
    <s v="Q3"/>
    <n v="7"/>
    <x v="7"/>
    <x v="0"/>
    <s v="India"/>
    <s v="Mumbai"/>
    <s v="Aarav"/>
    <x v="0"/>
    <x v="8"/>
    <n v="117"/>
    <n v="130"/>
    <n v="13993.2"/>
    <n v="8892"/>
    <n v="5101.2"/>
    <n v="0.08"/>
    <s v="General Trade"/>
    <n v="698.93"/>
  </r>
  <r>
    <n v="100498"/>
    <d v="2025-03-08T00:00:00"/>
    <x v="0"/>
    <s v="Q1"/>
    <n v="3"/>
    <x v="6"/>
    <x v="2"/>
    <s v="India"/>
    <s v="Bengaluru"/>
    <s v="Rahul"/>
    <x v="4"/>
    <x v="6"/>
    <n v="126"/>
    <n v="45"/>
    <n v="5499.9"/>
    <n v="3402"/>
    <n v="2097.9"/>
    <n v="0.03"/>
    <s v="Wholesale"/>
    <n v="303.77"/>
  </r>
  <r>
    <n v="100499"/>
    <d v="2024-10-24T00:00:00"/>
    <x v="1"/>
    <s v="Q4"/>
    <n v="10"/>
    <x v="3"/>
    <x v="3"/>
    <s v="India"/>
    <s v="Noida"/>
    <s v="Simran"/>
    <x v="4"/>
    <x v="15"/>
    <n v="117"/>
    <n v="160"/>
    <n v="18158.400000000001"/>
    <n v="11115"/>
    <n v="7043.4"/>
    <n v="0.03"/>
    <s v="Modern Trade"/>
    <n v="1186.26"/>
  </r>
  <r>
    <n v="100500"/>
    <d v="2024-08-30T00:00:00"/>
    <x v="1"/>
    <s v="Q3"/>
    <n v="8"/>
    <x v="5"/>
    <x v="3"/>
    <s v="India"/>
    <s v="Delhi"/>
    <s v="Priya"/>
    <x v="3"/>
    <x v="14"/>
    <n v="121"/>
    <n v="55"/>
    <n v="6122.6"/>
    <n v="4477"/>
    <n v="1645.6"/>
    <n v="0.08"/>
    <s v="General Trade"/>
    <n v="280.20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3:B8" firstHeaderRow="1" firstDataRow="1" firstDataCol="1"/>
  <pivotFields count="20">
    <pivotField showAll="0"/>
    <pivotField numFmtId="14" showAll="0"/>
    <pivotField showAll="0">
      <items count="4">
        <item x="2"/>
        <item x="1"/>
        <item x="0"/>
        <item t="default"/>
      </items>
    </pivotField>
    <pivotField showAll="0"/>
    <pivotField showAll="0"/>
    <pivotField showAll="0"/>
    <pivotField axis="axisRow" showAll="0">
      <items count="5">
        <item x="1"/>
        <item x="3"/>
        <item x="2"/>
        <item x="0"/>
        <item t="default"/>
      </items>
    </pivotField>
    <pivotField showAll="0"/>
    <pivotField showAll="0"/>
    <pivotField showAll="0"/>
    <pivotField showAll="0">
      <items count="6">
        <item x="1"/>
        <item x="3"/>
        <item x="0"/>
        <item x="4"/>
        <item x="2"/>
        <item t="default"/>
      </items>
    </pivotField>
    <pivotField showAll="0"/>
    <pivotField showAll="0"/>
    <pivotField numFmtId="165" showAll="0"/>
    <pivotField dataField="1" numFmtId="165" showAll="0"/>
    <pivotField numFmtId="165" showAll="0"/>
    <pivotField numFmtId="164" showAll="0"/>
    <pivotField numFmtId="9" showAll="0"/>
    <pivotField showAll="0"/>
    <pivotField numFmtId="164" showAll="0"/>
  </pivotFields>
  <rowFields count="1">
    <field x="6"/>
  </rowFields>
  <rowItems count="5">
    <i>
      <x/>
    </i>
    <i>
      <x v="1"/>
    </i>
    <i>
      <x v="2"/>
    </i>
    <i>
      <x v="3"/>
    </i>
    <i t="grand">
      <x/>
    </i>
  </rowItems>
  <colItems count="1">
    <i/>
  </colItems>
  <dataFields count="1">
    <dataField name="Sum of Sales" fld="14" baseField="0" baseItem="0" numFmtId="165"/>
  </dataFields>
  <formats count="2">
    <format dxfId="26">
      <pivotArea outline="0" collapsedLevelsAreSubtotals="1" fieldPosition="0"/>
    </format>
    <format dxfId="2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B9" firstHeaderRow="1" firstDataRow="1" firstDataCol="1"/>
  <pivotFields count="20">
    <pivotField showAll="0"/>
    <pivotField numFmtId="14" showAll="0"/>
    <pivotField showAll="0">
      <items count="4">
        <item x="2"/>
        <item x="1"/>
        <item x="0"/>
        <item t="default"/>
      </items>
    </pivotField>
    <pivotField showAll="0"/>
    <pivotField showAll="0"/>
    <pivotField showAll="0"/>
    <pivotField showAll="0">
      <items count="5">
        <item x="1"/>
        <item x="3"/>
        <item x="2"/>
        <item x="0"/>
        <item t="default"/>
      </items>
    </pivotField>
    <pivotField showAll="0"/>
    <pivotField showAll="0"/>
    <pivotField showAll="0"/>
    <pivotField axis="axisRow" showAll="0">
      <items count="6">
        <item x="1"/>
        <item x="3"/>
        <item x="0"/>
        <item x="4"/>
        <item x="2"/>
        <item t="default"/>
      </items>
    </pivotField>
    <pivotField showAll="0"/>
    <pivotField showAll="0"/>
    <pivotField numFmtId="165" showAll="0"/>
    <pivotField dataField="1" numFmtId="165" showAll="0"/>
    <pivotField numFmtId="165" showAll="0"/>
    <pivotField numFmtId="164" showAll="0"/>
    <pivotField numFmtId="9" showAll="0"/>
    <pivotField showAll="0"/>
    <pivotField numFmtId="164" showAll="0"/>
  </pivotFields>
  <rowFields count="1">
    <field x="10"/>
  </rowFields>
  <rowItems count="6">
    <i>
      <x/>
    </i>
    <i>
      <x v="1"/>
    </i>
    <i>
      <x v="2"/>
    </i>
    <i>
      <x v="3"/>
    </i>
    <i>
      <x v="4"/>
    </i>
    <i t="grand">
      <x/>
    </i>
  </rowItems>
  <colItems count="1">
    <i/>
  </colItems>
  <dataFields count="1">
    <dataField name="Sum of Sales" fld="14" baseField="0" baseItem="0"/>
  </dataFields>
  <formats count="2">
    <format dxfId="24">
      <pivotArea outline="0" collapsedLevelsAreSubtotals="1" fieldPosition="0"/>
    </format>
    <format dxfId="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C9" firstHeaderRow="0" firstDataRow="1" firstDataCol="1"/>
  <pivotFields count="20">
    <pivotField showAll="0"/>
    <pivotField numFmtId="14" showAll="0"/>
    <pivotField showAll="0">
      <items count="4">
        <item x="2"/>
        <item x="1"/>
        <item x="0"/>
        <item t="default"/>
      </items>
    </pivotField>
    <pivotField showAll="0"/>
    <pivotField showAll="0"/>
    <pivotField showAll="0"/>
    <pivotField showAll="0">
      <items count="5">
        <item x="1"/>
        <item x="3"/>
        <item x="2"/>
        <item x="0"/>
        <item t="default"/>
      </items>
    </pivotField>
    <pivotField showAll="0"/>
    <pivotField showAll="0"/>
    <pivotField showAll="0"/>
    <pivotField axis="axisRow" showAll="0">
      <items count="6">
        <item x="1"/>
        <item x="3"/>
        <item x="0"/>
        <item x="4"/>
        <item x="2"/>
        <item t="default"/>
      </items>
    </pivotField>
    <pivotField showAll="0"/>
    <pivotField showAll="0"/>
    <pivotField numFmtId="165" showAll="0"/>
    <pivotField dataField="1" numFmtId="165" showAll="0"/>
    <pivotField numFmtId="165" showAll="0"/>
    <pivotField dataField="1" numFmtId="164" showAll="0"/>
    <pivotField numFmtId="9" showAll="0"/>
    <pivotField showAll="0"/>
    <pivotField numFmtId="164" showAll="0"/>
  </pivotFields>
  <rowFields count="1">
    <field x="10"/>
  </rowFields>
  <rowItems count="6">
    <i>
      <x/>
    </i>
    <i>
      <x v="1"/>
    </i>
    <i>
      <x v="2"/>
    </i>
    <i>
      <x v="3"/>
    </i>
    <i>
      <x v="4"/>
    </i>
    <i t="grand">
      <x/>
    </i>
  </rowItems>
  <colFields count="1">
    <field x="-2"/>
  </colFields>
  <colItems count="2">
    <i>
      <x/>
    </i>
    <i i="1">
      <x v="1"/>
    </i>
  </colItems>
  <dataFields count="2">
    <dataField name="Sum of Sales" fld="14" baseField="0" baseItem="0" numFmtId="165"/>
    <dataField name="Sum of Profit" fld="16" baseField="0" baseItem="0" numFmtId="165"/>
  </dataFields>
  <formats count="4">
    <format dxfId="22">
      <pivotArea outline="0" collapsedLevelsAreSubtotals="1" fieldPosition="0">
        <references count="1">
          <reference field="4294967294" count="1" selected="0">
            <x v="0"/>
          </reference>
        </references>
      </pivotArea>
    </format>
    <format dxfId="21">
      <pivotArea dataOnly="0" labelOnly="1" outline="0" fieldPosition="0">
        <references count="1">
          <reference field="4294967294" count="1">
            <x v="0"/>
          </reference>
        </references>
      </pivotArea>
    </format>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3:C9" firstHeaderRow="0" firstDataRow="1" firstDataCol="1"/>
  <pivotFields count="20">
    <pivotField showAll="0"/>
    <pivotField numFmtId="14" showAll="0"/>
    <pivotField showAll="0">
      <items count="4">
        <item x="2"/>
        <item x="1"/>
        <item x="0"/>
        <item t="default"/>
      </items>
    </pivotField>
    <pivotField showAll="0"/>
    <pivotField showAll="0"/>
    <pivotField showAll="0"/>
    <pivotField showAll="0">
      <items count="5">
        <item x="1"/>
        <item x="3"/>
        <item x="2"/>
        <item x="0"/>
        <item t="default"/>
      </items>
    </pivotField>
    <pivotField showAll="0"/>
    <pivotField showAll="0"/>
    <pivotField showAll="0"/>
    <pivotField showAll="0">
      <items count="6">
        <item x="1"/>
        <item x="3"/>
        <item x="0"/>
        <item x="4"/>
        <item x="2"/>
        <item t="default"/>
      </items>
    </pivotField>
    <pivotField axis="axisRow" showAll="0" measureFilter="1">
      <items count="21">
        <item x="6"/>
        <item x="11"/>
        <item x="16"/>
        <item x="5"/>
        <item x="9"/>
        <item x="14"/>
        <item x="0"/>
        <item x="12"/>
        <item x="17"/>
        <item x="8"/>
        <item x="2"/>
        <item x="19"/>
        <item x="10"/>
        <item x="4"/>
        <item x="18"/>
        <item x="15"/>
        <item x="1"/>
        <item x="3"/>
        <item x="13"/>
        <item x="7"/>
        <item t="default"/>
      </items>
    </pivotField>
    <pivotField showAll="0"/>
    <pivotField numFmtId="165" showAll="0"/>
    <pivotField dataField="1" numFmtId="165" showAll="0"/>
    <pivotField numFmtId="165" showAll="0"/>
    <pivotField dataField="1" numFmtId="164" showAll="0"/>
    <pivotField numFmtId="9" showAll="0"/>
    <pivotField showAll="0"/>
    <pivotField numFmtId="164" showAll="0"/>
  </pivotFields>
  <rowFields count="1">
    <field x="11"/>
  </rowFields>
  <rowItems count="6">
    <i>
      <x v="3"/>
    </i>
    <i>
      <x v="9"/>
    </i>
    <i>
      <x v="10"/>
    </i>
    <i>
      <x v="15"/>
    </i>
    <i>
      <x v="17"/>
    </i>
    <i t="grand">
      <x/>
    </i>
  </rowItems>
  <colFields count="1">
    <field x="-2"/>
  </colFields>
  <colItems count="2">
    <i>
      <x/>
    </i>
    <i i="1">
      <x v="1"/>
    </i>
  </colItems>
  <dataFields count="2">
    <dataField name="Sum of Sales" fld="14" baseField="0" baseItem="0" numFmtId="165"/>
    <dataField name="Sum of Profit" fld="16" baseField="0" baseItem="0"/>
  </dataFields>
  <formats count="2">
    <format dxfId="18">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10" format="17"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B43" firstHeaderRow="1" firstDataRow="1" firstDataCol="1"/>
  <pivotFields count="20">
    <pivotField showAll="0"/>
    <pivotField numFmtId="14" showAll="0"/>
    <pivotField axis="axisRow" showAll="0">
      <items count="4">
        <item x="2"/>
        <item x="1"/>
        <item x="0"/>
        <item t="default"/>
      </items>
    </pivotField>
    <pivotField showAll="0"/>
    <pivotField showAll="0"/>
    <pivotField axis="axisRow" showAll="0">
      <items count="13">
        <item x="8"/>
        <item x="9"/>
        <item x="6"/>
        <item x="1"/>
        <item x="0"/>
        <item x="4"/>
        <item x="7"/>
        <item x="5"/>
        <item x="2"/>
        <item x="3"/>
        <item x="11"/>
        <item x="10"/>
        <item t="default"/>
      </items>
    </pivotField>
    <pivotField showAll="0">
      <items count="5">
        <item x="1"/>
        <item x="3"/>
        <item x="2"/>
        <item x="0"/>
        <item t="default"/>
      </items>
    </pivotField>
    <pivotField showAll="0"/>
    <pivotField showAll="0"/>
    <pivotField showAll="0"/>
    <pivotField showAll="0">
      <items count="6">
        <item x="1"/>
        <item x="3"/>
        <item x="0"/>
        <item x="4"/>
        <item x="2"/>
        <item t="default"/>
      </items>
    </pivotField>
    <pivotField showAll="0"/>
    <pivotField showAll="0"/>
    <pivotField numFmtId="165" showAll="0"/>
    <pivotField dataField="1" numFmtId="165" showAll="0"/>
    <pivotField numFmtId="165" showAll="0"/>
    <pivotField numFmtId="164" showAll="0"/>
    <pivotField numFmtId="9" showAll="0"/>
    <pivotField showAll="0"/>
    <pivotField numFmtId="164" showAll="0"/>
  </pivotFields>
  <rowFields count="2">
    <field x="2"/>
    <field x="5"/>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Sales" fld="14" baseField="0" baseItem="0" numFmtId="165"/>
  </dataFields>
  <formats count="2">
    <format dxfId="16">
      <pivotArea outline="0" collapsedLevelsAreSubtotals="1"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2:D13" firstHeaderRow="0" firstDataRow="1" firstDataCol="0"/>
  <pivotFields count="20">
    <pivotField dataField="1" showAll="0"/>
    <pivotField numFmtId="14" showAll="0"/>
    <pivotField showAll="0">
      <items count="4">
        <item x="2"/>
        <item x="1"/>
        <item x="0"/>
        <item t="default"/>
      </items>
    </pivotField>
    <pivotField showAll="0"/>
    <pivotField showAll="0"/>
    <pivotField showAll="0"/>
    <pivotField showAll="0">
      <items count="5">
        <item x="1"/>
        <item x="3"/>
        <item x="2"/>
        <item x="0"/>
        <item t="default"/>
      </items>
    </pivotField>
    <pivotField showAll="0"/>
    <pivotField showAll="0"/>
    <pivotField showAll="0"/>
    <pivotField showAll="0">
      <items count="6">
        <item x="1"/>
        <item x="3"/>
        <item x="0"/>
        <item x="4"/>
        <item x="2"/>
        <item t="default"/>
      </items>
    </pivotField>
    <pivotField showAll="0">
      <items count="21">
        <item x="6"/>
        <item x="11"/>
        <item x="16"/>
        <item x="5"/>
        <item x="9"/>
        <item x="14"/>
        <item x="0"/>
        <item x="12"/>
        <item x="17"/>
        <item x="8"/>
        <item x="2"/>
        <item x="19"/>
        <item x="10"/>
        <item x="4"/>
        <item x="18"/>
        <item x="15"/>
        <item x="1"/>
        <item x="3"/>
        <item x="13"/>
        <item x="7"/>
        <item t="default"/>
      </items>
    </pivotField>
    <pivotField dataField="1" showAll="0"/>
    <pivotField numFmtId="165" showAll="0"/>
    <pivotField dataField="1" numFmtId="165" showAll="0"/>
    <pivotField numFmtId="165" showAll="0"/>
    <pivotField dataField="1" numFmtId="164" showAll="0"/>
    <pivotField numFmtId="9" showAll="0"/>
    <pivotField showAll="0"/>
    <pivotField numFmtId="164" showAll="0"/>
  </pivotFields>
  <rowItems count="1">
    <i/>
  </rowItems>
  <colFields count="1">
    <field x="-2"/>
  </colFields>
  <colItems count="4">
    <i>
      <x/>
    </i>
    <i i="1">
      <x v="1"/>
    </i>
    <i i="2">
      <x v="2"/>
    </i>
    <i i="3">
      <x v="3"/>
    </i>
  </colItems>
  <dataFields count="4">
    <dataField name="Sum of Sales" fld="14" baseField="0" baseItem="0"/>
    <dataField name="Sum of Quantity" fld="12" baseField="0" baseItem="0"/>
    <dataField name="Count of Order_ID" fld="0" subtotal="count" baseField="0" baseItem="2"/>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2" name="PivotTable1"/>
    <pivotTable tabId="5" name="PivotTable3"/>
    <pivotTable tabId="4" name="PivotTable2"/>
    <pivotTable tabId="7" name="PivotTable5"/>
    <pivotTable tabId="6" name="PivotTable4"/>
    <pivotTable tabId="3" name="PivotTable1"/>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2" name="PivotTable1"/>
    <pivotTable tabId="5" name="PivotTable3"/>
    <pivotTable tabId="4" name="PivotTable2"/>
    <pivotTable tabId="7" name="PivotTable5"/>
    <pivotTable tabId="6" name="PivotTable4"/>
    <pivotTable tabId="3" name="PivotTable1"/>
  </pivotTables>
  <data>
    <tabular pivotCacheId="1">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2" name="PivotTable1"/>
    <pivotTable tabId="5" name="PivotTable3"/>
    <pivotTable tabId="4" name="PivotTable2"/>
    <pivotTable tabId="7" name="PivotTable5"/>
    <pivotTable tabId="6" name="PivotTable4"/>
    <pivotTable tabId="3" name="PivotTable1"/>
  </pivotTables>
  <data>
    <tabular pivotCacheId="1">
      <items count="5">
        <i x="1" s="1"/>
        <i x="3"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1" caption="Year" rowHeight="241300"/>
  <slicer name="Region" cache="Slicer_Region1" caption="Region" rowHeight="241300"/>
  <slicer name="Category"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1" caption="Year" rowHeight="288000"/>
  <slicer name="Region 2" cache="Slicer_Region1" caption="Region" rowHeight="216000"/>
  <slicer name="Category 2" cache="Slicer_Category1" caption="Category" rowHeight="180000"/>
</slicers>
</file>

<file path=xl/tables/table1.xml><?xml version="1.0" encoding="utf-8"?>
<table xmlns="http://schemas.openxmlformats.org/spreadsheetml/2006/main" id="1" name="Table1" displayName="Table1" ref="A1:T501" totalsRowShown="0">
  <autoFilter ref="A1:T501"/>
  <tableColumns count="20">
    <tableColumn id="1" name="Order_ID"/>
    <tableColumn id="2" name="Order_Date" dataDxfId="14"/>
    <tableColumn id="3" name="Year"/>
    <tableColumn id="4" name="Quarter"/>
    <tableColumn id="5" name="Month"/>
    <tableColumn id="6" name="Month_Name"/>
    <tableColumn id="7" name="Region"/>
    <tableColumn id="8" name="Country"/>
    <tableColumn id="9" name="City"/>
    <tableColumn id="10" name="Sales_Person"/>
    <tableColumn id="11" name="Category"/>
    <tableColumn id="12" name="Product"/>
    <tableColumn id="13" name="Quantity"/>
    <tableColumn id="14" name="Unit_Price"/>
    <tableColumn id="15" name="Sales"/>
    <tableColumn id="16" name="Cost"/>
    <tableColumn id="17" name="Profit"/>
    <tableColumn id="18" name="Discount"/>
    <tableColumn id="19" name="Customer_Segment"/>
    <tableColumn id="20" name="Marketing_Spend"/>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T501" totalsRowShown="0">
  <autoFilter ref="A1:T501"/>
  <tableColumns count="20">
    <tableColumn id="1" name="Order_ID"/>
    <tableColumn id="2" name="Order_Date" dataDxfId="13"/>
    <tableColumn id="3" name="Year"/>
    <tableColumn id="4" name="Quarter"/>
    <tableColumn id="5" name="Month"/>
    <tableColumn id="6" name="Month_Name"/>
    <tableColumn id="7" name="Region"/>
    <tableColumn id="8" name="Country"/>
    <tableColumn id="9" name="City"/>
    <tableColumn id="10" name="Sales_Person"/>
    <tableColumn id="11" name="Category"/>
    <tableColumn id="12" name="Product"/>
    <tableColumn id="13" name="Quantity"/>
    <tableColumn id="14" name="Unit_Price"/>
    <tableColumn id="15" name="Sales"/>
    <tableColumn id="16" name="Cost"/>
    <tableColumn id="17" name="Profit"/>
    <tableColumn id="18" name="Discount"/>
    <tableColumn id="19" name="Customer_Segment"/>
    <tableColumn id="20" name="Marketing_Spend"/>
  </tableColumns>
  <tableStyleInfo name="TableStyleMedium9" showFirstColumn="0" showLastColumn="0" showRowStripes="1" showColumnStripes="0"/>
</table>
</file>

<file path=xl/tables/table3.xml><?xml version="1.0" encoding="utf-8"?>
<table xmlns="http://schemas.openxmlformats.org/spreadsheetml/2006/main" id="4" name="Table4" displayName="Table4" ref="A1:T501" totalsRowShown="0">
  <autoFilter ref="A1:T501"/>
  <tableColumns count="20">
    <tableColumn id="1" name="Order_ID"/>
    <tableColumn id="2" name="Order_Date" dataDxfId="12"/>
    <tableColumn id="3" name="Year"/>
    <tableColumn id="4" name="Quarter"/>
    <tableColumn id="5" name="Month"/>
    <tableColumn id="6" name="Month_Name"/>
    <tableColumn id="7" name="Region"/>
    <tableColumn id="8" name="Country"/>
    <tableColumn id="9" name="City"/>
    <tableColumn id="10" name="Sales_Person"/>
    <tableColumn id="11" name="Category"/>
    <tableColumn id="12" name="Product"/>
    <tableColumn id="13" name="Quantity"/>
    <tableColumn id="14" name="Unit_Price"/>
    <tableColumn id="15" name="Sales"/>
    <tableColumn id="16" name="Cost"/>
    <tableColumn id="17" name="Profit"/>
    <tableColumn id="18" name="Discount"/>
    <tableColumn id="19" name="Customer_Segment"/>
    <tableColumn id="20" name="Marketing_Spend"/>
  </tableColumns>
  <tableStyleInfo name="TableStyleMedium9" showFirstColumn="0" showLastColumn="0" showRowStripes="1" showColumnStripes="0"/>
</table>
</file>

<file path=xl/tables/table4.xml><?xml version="1.0" encoding="utf-8"?>
<table xmlns="http://schemas.openxmlformats.org/spreadsheetml/2006/main" id="2" name="Table2" displayName="Table2" ref="A1:G7" totalsRowShown="0" headerRowDxfId="11" dataDxfId="9" headerRowBorderDxfId="10" tableBorderDxfId="8" totalsRowBorderDxfId="7">
  <autoFilter ref="A1:G7"/>
  <tableColumns count="7">
    <tableColumn id="1" name="Area" dataDxfId="6"/>
    <tableColumn id="2" name="Data Finding" dataDxfId="5"/>
    <tableColumn id="3" name="Insight" dataDxfId="4"/>
    <tableColumn id="4" name="Growth Strategy" dataDxfId="3"/>
    <tableColumn id="5" name="Priority" dataDxfId="2"/>
    <tableColumn id="6" name="Strategy" dataDxfId="1"/>
    <tableColumn id="7" name="Expected Impact"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4" sqref="B4"/>
    </sheetView>
  </sheetViews>
  <sheetFormatPr defaultRowHeight="15" x14ac:dyDescent="0.25"/>
  <cols>
    <col min="1" max="1" width="13.140625" bestFit="1" customWidth="1"/>
    <col min="2" max="2" width="13.42578125" style="10" bestFit="1" customWidth="1"/>
  </cols>
  <sheetData>
    <row r="3" spans="1:2" x14ac:dyDescent="0.25">
      <c r="A3" s="15" t="s">
        <v>103</v>
      </c>
      <c r="B3" s="10" t="s">
        <v>105</v>
      </c>
    </row>
    <row r="4" spans="1:2" x14ac:dyDescent="0.25">
      <c r="A4" s="16" t="s">
        <v>29</v>
      </c>
      <c r="B4" s="10">
        <v>845173.3</v>
      </c>
    </row>
    <row r="5" spans="1:2" x14ac:dyDescent="0.25">
      <c r="A5" s="16" t="s">
        <v>45</v>
      </c>
      <c r="B5" s="10">
        <v>959781.8</v>
      </c>
    </row>
    <row r="6" spans="1:2" x14ac:dyDescent="0.25">
      <c r="A6" s="16" t="s">
        <v>35</v>
      </c>
      <c r="B6" s="10">
        <v>1069345.6499999999</v>
      </c>
    </row>
    <row r="7" spans="1:2" x14ac:dyDescent="0.25">
      <c r="A7" s="16" t="s">
        <v>22</v>
      </c>
      <c r="B7" s="10">
        <v>903900.70000000007</v>
      </c>
    </row>
    <row r="8" spans="1:2" x14ac:dyDescent="0.25">
      <c r="A8" s="16" t="s">
        <v>104</v>
      </c>
      <c r="B8" s="10">
        <v>3778201.45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L12" sqref="L12"/>
    </sheetView>
  </sheetViews>
  <sheetFormatPr defaultRowHeight="15" x14ac:dyDescent="0.25"/>
  <cols>
    <col min="1" max="1" width="13.28515625" customWidth="1"/>
    <col min="2" max="2" width="13.42578125" style="10" bestFit="1" customWidth="1"/>
    <col min="3" max="3" width="13.42578125" bestFit="1" customWidth="1"/>
  </cols>
  <sheetData>
    <row r="3" spans="1:2" x14ac:dyDescent="0.25">
      <c r="A3" s="15" t="s">
        <v>103</v>
      </c>
      <c r="B3" s="10" t="s">
        <v>105</v>
      </c>
    </row>
    <row r="4" spans="1:2" x14ac:dyDescent="0.25">
      <c r="A4" s="16" t="s">
        <v>32</v>
      </c>
      <c r="B4" s="10">
        <v>822183.25000000012</v>
      </c>
    </row>
    <row r="5" spans="1:2" x14ac:dyDescent="0.25">
      <c r="A5" s="16" t="s">
        <v>55</v>
      </c>
      <c r="B5" s="10">
        <v>712103.99999999988</v>
      </c>
    </row>
    <row r="6" spans="1:2" x14ac:dyDescent="0.25">
      <c r="A6" s="16" t="s">
        <v>26</v>
      </c>
      <c r="B6" s="10">
        <v>729375.40000000014</v>
      </c>
    </row>
    <row r="7" spans="1:2" x14ac:dyDescent="0.25">
      <c r="A7" s="16" t="s">
        <v>59</v>
      </c>
      <c r="B7" s="10">
        <v>861891.15</v>
      </c>
    </row>
    <row r="8" spans="1:2" x14ac:dyDescent="0.25">
      <c r="A8" s="16" t="s">
        <v>51</v>
      </c>
      <c r="B8" s="10">
        <v>652647.65</v>
      </c>
    </row>
    <row r="9" spans="1:2" x14ac:dyDescent="0.25">
      <c r="A9" s="16" t="s">
        <v>104</v>
      </c>
      <c r="B9" s="10">
        <v>3778201.45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C5" sqref="C5"/>
    </sheetView>
  </sheetViews>
  <sheetFormatPr defaultRowHeight="15" x14ac:dyDescent="0.25"/>
  <cols>
    <col min="1" max="1" width="13.28515625" customWidth="1"/>
    <col min="2" max="3" width="13.42578125" style="10" bestFit="1" customWidth="1"/>
  </cols>
  <sheetData>
    <row r="3" spans="1:3" x14ac:dyDescent="0.25">
      <c r="A3" s="15" t="s">
        <v>103</v>
      </c>
      <c r="B3" s="10" t="s">
        <v>105</v>
      </c>
      <c r="C3" s="10" t="s">
        <v>106</v>
      </c>
    </row>
    <row r="4" spans="1:3" x14ac:dyDescent="0.25">
      <c r="A4" s="16" t="s">
        <v>32</v>
      </c>
      <c r="B4" s="10">
        <v>822183.25000000012</v>
      </c>
      <c r="C4" s="10">
        <v>272782.24999999994</v>
      </c>
    </row>
    <row r="5" spans="1:3" x14ac:dyDescent="0.25">
      <c r="A5" s="16" t="s">
        <v>55</v>
      </c>
      <c r="B5" s="10">
        <v>712103.99999999988</v>
      </c>
      <c r="C5" s="10">
        <v>175516.00000000003</v>
      </c>
    </row>
    <row r="6" spans="1:3" x14ac:dyDescent="0.25">
      <c r="A6" s="16" t="s">
        <v>26</v>
      </c>
      <c r="B6" s="10">
        <v>729375.40000000014</v>
      </c>
      <c r="C6" s="10">
        <v>278086.40000000002</v>
      </c>
    </row>
    <row r="7" spans="1:3" x14ac:dyDescent="0.25">
      <c r="A7" s="16" t="s">
        <v>59</v>
      </c>
      <c r="B7" s="10">
        <v>861891.15</v>
      </c>
      <c r="C7" s="10">
        <v>332485.15000000008</v>
      </c>
    </row>
    <row r="8" spans="1:3" x14ac:dyDescent="0.25">
      <c r="A8" s="16" t="s">
        <v>51</v>
      </c>
      <c r="B8" s="10">
        <v>652647.65</v>
      </c>
      <c r="C8" s="10">
        <v>259175.65</v>
      </c>
    </row>
    <row r="9" spans="1:3" x14ac:dyDescent="0.25">
      <c r="A9" s="16" t="s">
        <v>104</v>
      </c>
      <c r="B9" s="10">
        <v>3778201.45</v>
      </c>
      <c r="C9" s="10">
        <v>1318045.45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4"/>
  <sheetViews>
    <sheetView workbookViewId="0">
      <selection activeCell="B6" sqref="B6"/>
    </sheetView>
  </sheetViews>
  <sheetFormatPr defaultRowHeight="15" x14ac:dyDescent="0.25"/>
  <cols>
    <col min="1" max="1" width="13.140625" customWidth="1"/>
    <col min="2" max="2" width="13.42578125" style="10" customWidth="1"/>
    <col min="3" max="3" width="12.5703125" style="10" customWidth="1"/>
  </cols>
  <sheetData>
    <row r="3" spans="1:3" x14ac:dyDescent="0.25">
      <c r="A3" s="15" t="s">
        <v>103</v>
      </c>
      <c r="B3" s="10" t="s">
        <v>105</v>
      </c>
      <c r="C3" t="s">
        <v>106</v>
      </c>
    </row>
    <row r="4" spans="1:3" x14ac:dyDescent="0.25">
      <c r="A4" s="16" t="s">
        <v>56</v>
      </c>
      <c r="B4" s="10">
        <v>360627.19999999995</v>
      </c>
      <c r="C4" s="8">
        <v>85677.200000000012</v>
      </c>
    </row>
    <row r="5" spans="1:3" x14ac:dyDescent="0.25">
      <c r="A5" s="16" t="s">
        <v>69</v>
      </c>
      <c r="B5" s="10">
        <v>286885.3</v>
      </c>
      <c r="C5" s="8">
        <v>112085.3</v>
      </c>
    </row>
    <row r="6" spans="1:3" x14ac:dyDescent="0.25">
      <c r="A6" s="16" t="s">
        <v>37</v>
      </c>
      <c r="B6" s="10">
        <v>253147.19999999998</v>
      </c>
      <c r="C6" s="8">
        <v>81079.199999999997</v>
      </c>
    </row>
    <row r="7" spans="1:3" x14ac:dyDescent="0.25">
      <c r="A7" s="16" t="s">
        <v>86</v>
      </c>
      <c r="B7" s="10">
        <v>311720</v>
      </c>
      <c r="C7" s="8">
        <v>120580</v>
      </c>
    </row>
    <row r="8" spans="1:3" x14ac:dyDescent="0.25">
      <c r="A8" s="16" t="s">
        <v>47</v>
      </c>
      <c r="B8" s="10">
        <v>399247.2</v>
      </c>
      <c r="C8" s="8">
        <v>130492.20000000001</v>
      </c>
    </row>
    <row r="9" spans="1:3" x14ac:dyDescent="0.25">
      <c r="A9" s="16" t="s">
        <v>104</v>
      </c>
      <c r="B9" s="10">
        <v>1611626.9</v>
      </c>
      <c r="C9" s="8">
        <v>529913.9</v>
      </c>
    </row>
    <row r="10" spans="1:3" x14ac:dyDescent="0.25">
      <c r="B10"/>
      <c r="C10"/>
    </row>
    <row r="11" spans="1:3" x14ac:dyDescent="0.25">
      <c r="B11"/>
      <c r="C11"/>
    </row>
    <row r="12" spans="1:3" x14ac:dyDescent="0.25">
      <c r="B12"/>
      <c r="C12"/>
    </row>
    <row r="13" spans="1:3" x14ac:dyDescent="0.25">
      <c r="B13"/>
      <c r="C13"/>
    </row>
    <row r="14" spans="1:3" x14ac:dyDescent="0.25">
      <c r="B14"/>
      <c r="C14"/>
    </row>
    <row r="15" spans="1:3" x14ac:dyDescent="0.25">
      <c r="B15"/>
      <c r="C15"/>
    </row>
    <row r="16" spans="1:3"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3"/>
  <sheetViews>
    <sheetView workbookViewId="0">
      <selection activeCell="L24" sqref="L24"/>
    </sheetView>
  </sheetViews>
  <sheetFormatPr defaultRowHeight="15" x14ac:dyDescent="0.25"/>
  <cols>
    <col min="1" max="1" width="14.5703125" customWidth="1"/>
    <col min="2" max="2" width="13.42578125" style="10" bestFit="1" customWidth="1"/>
  </cols>
  <sheetData>
    <row r="3" spans="1:2" x14ac:dyDescent="0.25">
      <c r="A3" s="15" t="s">
        <v>103</v>
      </c>
      <c r="B3" s="10" t="s">
        <v>105</v>
      </c>
    </row>
    <row r="4" spans="1:2" x14ac:dyDescent="0.25">
      <c r="A4" s="16">
        <v>2023</v>
      </c>
      <c r="B4" s="10">
        <v>1137538.8</v>
      </c>
    </row>
    <row r="5" spans="1:2" x14ac:dyDescent="0.25">
      <c r="A5" s="17" t="s">
        <v>79</v>
      </c>
      <c r="B5" s="10">
        <v>142474.25</v>
      </c>
    </row>
    <row r="6" spans="1:2" x14ac:dyDescent="0.25">
      <c r="A6" s="17" t="s">
        <v>81</v>
      </c>
      <c r="B6" s="10">
        <v>110721.69999999998</v>
      </c>
    </row>
    <row r="7" spans="1:2" x14ac:dyDescent="0.25">
      <c r="A7" s="17" t="s">
        <v>64</v>
      </c>
      <c r="B7" s="10">
        <v>44210.3</v>
      </c>
    </row>
    <row r="8" spans="1:2" x14ac:dyDescent="0.25">
      <c r="A8" s="17" t="s">
        <v>34</v>
      </c>
      <c r="B8" s="10">
        <v>107928.7</v>
      </c>
    </row>
    <row r="9" spans="1:2" x14ac:dyDescent="0.25">
      <c r="A9" s="17" t="s">
        <v>21</v>
      </c>
      <c r="B9" s="10">
        <v>147447.70000000001</v>
      </c>
    </row>
    <row r="10" spans="1:2" x14ac:dyDescent="0.25">
      <c r="A10" s="17" t="s">
        <v>48</v>
      </c>
      <c r="B10" s="10">
        <v>52648.4</v>
      </c>
    </row>
    <row r="11" spans="1:2" x14ac:dyDescent="0.25">
      <c r="A11" s="17" t="s">
        <v>75</v>
      </c>
      <c r="B11" s="10">
        <v>85791</v>
      </c>
    </row>
    <row r="12" spans="1:2" x14ac:dyDescent="0.25">
      <c r="A12" s="17" t="s">
        <v>58</v>
      </c>
      <c r="B12" s="10">
        <v>129993.75</v>
      </c>
    </row>
    <row r="13" spans="1:2" x14ac:dyDescent="0.25">
      <c r="A13" s="17" t="s">
        <v>40</v>
      </c>
      <c r="B13" s="10">
        <v>63220.15</v>
      </c>
    </row>
    <row r="14" spans="1:2" x14ac:dyDescent="0.25">
      <c r="A14" s="17" t="s">
        <v>44</v>
      </c>
      <c r="B14" s="10">
        <v>48004.049999999996</v>
      </c>
    </row>
    <row r="15" spans="1:2" x14ac:dyDescent="0.25">
      <c r="A15" s="17" t="s">
        <v>87</v>
      </c>
      <c r="B15" s="10">
        <v>78389.649999999994</v>
      </c>
    </row>
    <row r="16" spans="1:2" x14ac:dyDescent="0.25">
      <c r="A16" s="17" t="s">
        <v>83</v>
      </c>
      <c r="B16" s="10">
        <v>126709.15</v>
      </c>
    </row>
    <row r="17" spans="1:2" x14ac:dyDescent="0.25">
      <c r="A17" s="16">
        <v>2024</v>
      </c>
      <c r="B17" s="10">
        <v>1327574</v>
      </c>
    </row>
    <row r="18" spans="1:2" x14ac:dyDescent="0.25">
      <c r="A18" s="17" t="s">
        <v>79</v>
      </c>
      <c r="B18" s="10">
        <v>88030.7</v>
      </c>
    </row>
    <row r="19" spans="1:2" x14ac:dyDescent="0.25">
      <c r="A19" s="17" t="s">
        <v>81</v>
      </c>
      <c r="B19" s="10">
        <v>94188.349999999991</v>
      </c>
    </row>
    <row r="20" spans="1:2" x14ac:dyDescent="0.25">
      <c r="A20" s="17" t="s">
        <v>64</v>
      </c>
      <c r="B20" s="10">
        <v>107308.15</v>
      </c>
    </row>
    <row r="21" spans="1:2" x14ac:dyDescent="0.25">
      <c r="A21" s="17" t="s">
        <v>34</v>
      </c>
      <c r="B21" s="10">
        <v>150195.79999999999</v>
      </c>
    </row>
    <row r="22" spans="1:2" x14ac:dyDescent="0.25">
      <c r="A22" s="17" t="s">
        <v>21</v>
      </c>
      <c r="B22" s="10">
        <v>60806.700000000004</v>
      </c>
    </row>
    <row r="23" spans="1:2" x14ac:dyDescent="0.25">
      <c r="A23" s="17" t="s">
        <v>48</v>
      </c>
      <c r="B23" s="10">
        <v>107932.59999999999</v>
      </c>
    </row>
    <row r="24" spans="1:2" x14ac:dyDescent="0.25">
      <c r="A24" s="17" t="s">
        <v>75</v>
      </c>
      <c r="B24" s="10">
        <v>91855.6</v>
      </c>
    </row>
    <row r="25" spans="1:2" x14ac:dyDescent="0.25">
      <c r="A25" s="17" t="s">
        <v>58</v>
      </c>
      <c r="B25" s="10">
        <v>81560.800000000003</v>
      </c>
    </row>
    <row r="26" spans="1:2" x14ac:dyDescent="0.25">
      <c r="A26" s="17" t="s">
        <v>40</v>
      </c>
      <c r="B26" s="10">
        <v>111354.2</v>
      </c>
    </row>
    <row r="27" spans="1:2" x14ac:dyDescent="0.25">
      <c r="A27" s="17" t="s">
        <v>44</v>
      </c>
      <c r="B27" s="10">
        <v>194234.7</v>
      </c>
    </row>
    <row r="28" spans="1:2" x14ac:dyDescent="0.25">
      <c r="A28" s="17" t="s">
        <v>87</v>
      </c>
      <c r="B28" s="10">
        <v>131324.6</v>
      </c>
    </row>
    <row r="29" spans="1:2" x14ac:dyDescent="0.25">
      <c r="A29" s="17" t="s">
        <v>83</v>
      </c>
      <c r="B29" s="10">
        <v>108781.79999999999</v>
      </c>
    </row>
    <row r="30" spans="1:2" x14ac:dyDescent="0.25">
      <c r="A30" s="16">
        <v>2025</v>
      </c>
      <c r="B30" s="10">
        <v>1313088.6499999999</v>
      </c>
    </row>
    <row r="31" spans="1:2" x14ac:dyDescent="0.25">
      <c r="A31" s="17" t="s">
        <v>79</v>
      </c>
      <c r="B31" s="10">
        <v>65751.95</v>
      </c>
    </row>
    <row r="32" spans="1:2" x14ac:dyDescent="0.25">
      <c r="A32" s="17" t="s">
        <v>81</v>
      </c>
      <c r="B32" s="10">
        <v>48939.649999999994</v>
      </c>
    </row>
    <row r="33" spans="1:2" x14ac:dyDescent="0.25">
      <c r="A33" s="17" t="s">
        <v>64</v>
      </c>
      <c r="B33" s="10">
        <v>91923.9</v>
      </c>
    </row>
    <row r="34" spans="1:2" x14ac:dyDescent="0.25">
      <c r="A34" s="17" t="s">
        <v>34</v>
      </c>
      <c r="B34" s="10">
        <v>106446.59999999999</v>
      </c>
    </row>
    <row r="35" spans="1:2" x14ac:dyDescent="0.25">
      <c r="A35" s="17" t="s">
        <v>21</v>
      </c>
      <c r="B35" s="10">
        <v>100268</v>
      </c>
    </row>
    <row r="36" spans="1:2" x14ac:dyDescent="0.25">
      <c r="A36" s="17" t="s">
        <v>48</v>
      </c>
      <c r="B36" s="10">
        <v>94480.4</v>
      </c>
    </row>
    <row r="37" spans="1:2" x14ac:dyDescent="0.25">
      <c r="A37" s="17" t="s">
        <v>75</v>
      </c>
      <c r="B37" s="10">
        <v>144770.6</v>
      </c>
    </row>
    <row r="38" spans="1:2" x14ac:dyDescent="0.25">
      <c r="A38" s="17" t="s">
        <v>58</v>
      </c>
      <c r="B38" s="10">
        <v>224791.75</v>
      </c>
    </row>
    <row r="39" spans="1:2" x14ac:dyDescent="0.25">
      <c r="A39" s="17" t="s">
        <v>40</v>
      </c>
      <c r="B39" s="10">
        <v>178966.04999999996</v>
      </c>
    </row>
    <row r="40" spans="1:2" x14ac:dyDescent="0.25">
      <c r="A40" s="17" t="s">
        <v>44</v>
      </c>
      <c r="B40" s="10">
        <v>153568.04999999999</v>
      </c>
    </row>
    <row r="41" spans="1:2" x14ac:dyDescent="0.25">
      <c r="A41" s="17" t="s">
        <v>87</v>
      </c>
      <c r="B41" s="10">
        <v>33509.699999999997</v>
      </c>
    </row>
    <row r="42" spans="1:2" x14ac:dyDescent="0.25">
      <c r="A42" s="17" t="s">
        <v>83</v>
      </c>
      <c r="B42" s="10">
        <v>69672</v>
      </c>
    </row>
    <row r="43" spans="1:2" x14ac:dyDescent="0.25">
      <c r="A43" s="16" t="s">
        <v>104</v>
      </c>
      <c r="B43" s="10">
        <v>3778201.45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1"/>
  <sheetViews>
    <sheetView topLeftCell="I1" zoomScaleNormal="100" workbookViewId="0">
      <pane ySplit="1" topLeftCell="A478" activePane="bottomLeft" state="frozen"/>
      <selection pane="bottomLeft" activeCell="J487" sqref="J487"/>
    </sheetView>
  </sheetViews>
  <sheetFormatPr defaultRowHeight="15" x14ac:dyDescent="0.25"/>
  <cols>
    <col min="1" max="1" width="12" customWidth="1"/>
    <col min="2" max="2" width="13" style="6" customWidth="1"/>
    <col min="3" max="3" width="8" customWidth="1"/>
    <col min="4" max="4" width="10" customWidth="1"/>
    <col min="5" max="5" width="8" customWidth="1"/>
    <col min="6" max="6" width="13" customWidth="1"/>
    <col min="7" max="7" width="12" customWidth="1"/>
    <col min="8" max="8" width="10" customWidth="1"/>
    <col min="9" max="9" width="16" customWidth="1"/>
    <col min="10" max="10" width="15" customWidth="1"/>
    <col min="11" max="11" width="18" customWidth="1"/>
    <col min="12" max="12" width="20" customWidth="1"/>
    <col min="13" max="13" width="11" style="8" customWidth="1"/>
    <col min="14" max="14" width="12" style="10" customWidth="1"/>
    <col min="15" max="16" width="14" style="10" customWidth="1"/>
    <col min="17" max="17" width="14" customWidth="1"/>
    <col min="18" max="18" width="11" customWidth="1"/>
    <col min="19" max="19" width="18" customWidth="1"/>
    <col min="20" max="20" width="17" customWidth="1"/>
  </cols>
  <sheetData>
    <row r="1" spans="1:20" x14ac:dyDescent="0.25">
      <c r="A1" s="1" t="s">
        <v>0</v>
      </c>
      <c r="B1" s="5" t="s">
        <v>1</v>
      </c>
      <c r="C1" s="1" t="s">
        <v>2</v>
      </c>
      <c r="D1" s="1" t="s">
        <v>3</v>
      </c>
      <c r="E1" s="1" t="s">
        <v>4</v>
      </c>
      <c r="F1" s="1" t="s">
        <v>5</v>
      </c>
      <c r="G1" s="1" t="s">
        <v>6</v>
      </c>
      <c r="H1" s="1" t="s">
        <v>7</v>
      </c>
      <c r="I1" s="1" t="s">
        <v>8</v>
      </c>
      <c r="J1" s="1" t="s">
        <v>9</v>
      </c>
      <c r="K1" s="1" t="s">
        <v>10</v>
      </c>
      <c r="L1" s="1" t="s">
        <v>11</v>
      </c>
      <c r="M1" s="7" t="s">
        <v>12</v>
      </c>
      <c r="N1" s="9" t="s">
        <v>13</v>
      </c>
      <c r="O1" s="9" t="s">
        <v>14</v>
      </c>
      <c r="P1" s="9" t="s">
        <v>15</v>
      </c>
      <c r="Q1" s="1" t="s">
        <v>16</v>
      </c>
      <c r="R1" s="1" t="s">
        <v>17</v>
      </c>
      <c r="S1" s="1" t="s">
        <v>18</v>
      </c>
      <c r="T1" s="1" t="s">
        <v>19</v>
      </c>
    </row>
    <row r="2" spans="1:20" x14ac:dyDescent="0.25">
      <c r="A2">
        <v>100001</v>
      </c>
      <c r="B2" s="6">
        <v>45787</v>
      </c>
      <c r="C2">
        <v>2025</v>
      </c>
      <c r="D2" t="s">
        <v>20</v>
      </c>
      <c r="E2">
        <v>5</v>
      </c>
      <c r="F2" t="s">
        <v>21</v>
      </c>
      <c r="G2" t="s">
        <v>22</v>
      </c>
      <c r="H2" t="s">
        <v>23</v>
      </c>
      <c r="I2" t="s">
        <v>24</v>
      </c>
      <c r="J2" t="s">
        <v>25</v>
      </c>
      <c r="K2" t="s">
        <v>26</v>
      </c>
      <c r="L2" t="s">
        <v>27</v>
      </c>
      <c r="M2" s="8">
        <v>112</v>
      </c>
      <c r="N2" s="10">
        <v>110</v>
      </c>
      <c r="O2" s="10">
        <v>11950.4</v>
      </c>
      <c r="P2" s="10">
        <v>7616</v>
      </c>
      <c r="Q2" s="2">
        <v>4334.3999999999996</v>
      </c>
      <c r="R2" s="3">
        <v>0.03</v>
      </c>
      <c r="S2" t="s">
        <v>28</v>
      </c>
      <c r="T2" s="2">
        <v>244.97</v>
      </c>
    </row>
    <row r="3" spans="1:20" x14ac:dyDescent="0.25">
      <c r="A3">
        <v>100002</v>
      </c>
      <c r="B3" s="6">
        <v>45798</v>
      </c>
      <c r="C3">
        <v>2025</v>
      </c>
      <c r="D3" t="s">
        <v>20</v>
      </c>
      <c r="E3">
        <v>5</v>
      </c>
      <c r="F3" t="s">
        <v>21</v>
      </c>
      <c r="G3" t="s">
        <v>29</v>
      </c>
      <c r="H3" t="s">
        <v>23</v>
      </c>
      <c r="I3" t="s">
        <v>30</v>
      </c>
      <c r="J3" t="s">
        <v>31</v>
      </c>
      <c r="K3" t="s">
        <v>32</v>
      </c>
      <c r="L3" t="s">
        <v>33</v>
      </c>
      <c r="M3" s="8">
        <v>97</v>
      </c>
      <c r="N3" s="10">
        <v>60</v>
      </c>
      <c r="O3" s="10">
        <v>5354.4</v>
      </c>
      <c r="P3" s="10">
        <v>3686</v>
      </c>
      <c r="Q3" s="2">
        <v>1668.4</v>
      </c>
      <c r="R3" s="3">
        <v>0.08</v>
      </c>
      <c r="S3" t="s">
        <v>28</v>
      </c>
      <c r="T3" s="2">
        <v>142.85</v>
      </c>
    </row>
    <row r="4" spans="1:20" x14ac:dyDescent="0.25">
      <c r="A4">
        <v>100003</v>
      </c>
      <c r="B4" s="6">
        <v>45386</v>
      </c>
      <c r="C4">
        <v>2024</v>
      </c>
      <c r="D4" t="s">
        <v>20</v>
      </c>
      <c r="E4">
        <v>4</v>
      </c>
      <c r="F4" t="s">
        <v>34</v>
      </c>
      <c r="G4" t="s">
        <v>35</v>
      </c>
      <c r="H4" t="s">
        <v>23</v>
      </c>
      <c r="I4" t="s">
        <v>36</v>
      </c>
      <c r="J4" t="s">
        <v>31</v>
      </c>
      <c r="K4" t="s">
        <v>32</v>
      </c>
      <c r="L4" t="s">
        <v>37</v>
      </c>
      <c r="M4" s="8">
        <v>58</v>
      </c>
      <c r="N4" s="10">
        <v>120</v>
      </c>
      <c r="O4" s="10">
        <v>6751.2</v>
      </c>
      <c r="P4" s="10">
        <v>4524</v>
      </c>
      <c r="Q4" s="2">
        <v>2227.1999999999998</v>
      </c>
      <c r="R4" s="3">
        <v>0.03</v>
      </c>
      <c r="S4" t="s">
        <v>38</v>
      </c>
      <c r="T4" s="2">
        <v>249.74</v>
      </c>
    </row>
    <row r="5" spans="1:20" x14ac:dyDescent="0.25">
      <c r="A5">
        <v>100004</v>
      </c>
      <c r="B5" s="6">
        <v>45902</v>
      </c>
      <c r="C5">
        <v>2025</v>
      </c>
      <c r="D5" t="s">
        <v>39</v>
      </c>
      <c r="E5">
        <v>9</v>
      </c>
      <c r="F5" t="s">
        <v>40</v>
      </c>
      <c r="G5" t="s">
        <v>22</v>
      </c>
      <c r="H5" t="s">
        <v>23</v>
      </c>
      <c r="I5" t="s">
        <v>41</v>
      </c>
      <c r="J5" t="s">
        <v>42</v>
      </c>
      <c r="K5" t="s">
        <v>32</v>
      </c>
      <c r="L5" t="s">
        <v>33</v>
      </c>
      <c r="M5" s="8">
        <v>60</v>
      </c>
      <c r="N5" s="10">
        <v>60</v>
      </c>
      <c r="O5" s="10">
        <v>3492</v>
      </c>
      <c r="P5" s="10">
        <v>2280</v>
      </c>
      <c r="Q5" s="2">
        <v>1212</v>
      </c>
      <c r="R5" s="3">
        <v>0.03</v>
      </c>
      <c r="S5" t="s">
        <v>38</v>
      </c>
      <c r="T5" s="2">
        <v>241.22</v>
      </c>
    </row>
    <row r="6" spans="1:20" x14ac:dyDescent="0.25">
      <c r="A6">
        <v>100005</v>
      </c>
      <c r="B6" s="6">
        <v>45573</v>
      </c>
      <c r="C6">
        <v>2024</v>
      </c>
      <c r="D6" t="s">
        <v>43</v>
      </c>
      <c r="E6">
        <v>10</v>
      </c>
      <c r="F6" t="s">
        <v>44</v>
      </c>
      <c r="G6" t="s">
        <v>45</v>
      </c>
      <c r="H6" t="s">
        <v>23</v>
      </c>
      <c r="I6" t="s">
        <v>46</v>
      </c>
      <c r="J6" t="s">
        <v>42</v>
      </c>
      <c r="K6" t="s">
        <v>32</v>
      </c>
      <c r="L6" t="s">
        <v>47</v>
      </c>
      <c r="M6" s="8">
        <v>98</v>
      </c>
      <c r="N6" s="10">
        <v>180</v>
      </c>
      <c r="O6" s="10">
        <v>15876</v>
      </c>
      <c r="P6" s="10">
        <v>11270</v>
      </c>
      <c r="Q6" s="2">
        <v>4606</v>
      </c>
      <c r="R6" s="3">
        <v>0.1</v>
      </c>
      <c r="S6" t="s">
        <v>38</v>
      </c>
      <c r="T6" s="2">
        <v>944.02</v>
      </c>
    </row>
    <row r="7" spans="1:20" x14ac:dyDescent="0.25">
      <c r="A7">
        <v>100006</v>
      </c>
      <c r="B7" s="6">
        <v>45824</v>
      </c>
      <c r="C7">
        <v>2025</v>
      </c>
      <c r="D7" t="s">
        <v>20</v>
      </c>
      <c r="E7">
        <v>6</v>
      </c>
      <c r="F7" t="s">
        <v>48</v>
      </c>
      <c r="G7" t="s">
        <v>29</v>
      </c>
      <c r="H7" t="s">
        <v>23</v>
      </c>
      <c r="I7" t="s">
        <v>49</v>
      </c>
      <c r="J7" t="s">
        <v>50</v>
      </c>
      <c r="K7" t="s">
        <v>51</v>
      </c>
      <c r="L7" t="s">
        <v>52</v>
      </c>
      <c r="M7" s="8">
        <v>17</v>
      </c>
      <c r="N7" s="10">
        <v>75</v>
      </c>
      <c r="O7" s="10">
        <v>1275</v>
      </c>
      <c r="P7" s="10">
        <v>748</v>
      </c>
      <c r="Q7" s="2">
        <v>527</v>
      </c>
      <c r="R7" s="3">
        <v>0</v>
      </c>
      <c r="S7" t="s">
        <v>38</v>
      </c>
      <c r="T7" s="2">
        <v>82.89</v>
      </c>
    </row>
    <row r="8" spans="1:20" x14ac:dyDescent="0.25">
      <c r="A8">
        <v>100007</v>
      </c>
      <c r="B8" s="6">
        <v>45952</v>
      </c>
      <c r="C8">
        <v>2025</v>
      </c>
      <c r="D8" t="s">
        <v>43</v>
      </c>
      <c r="E8">
        <v>10</v>
      </c>
      <c r="F8" t="s">
        <v>44</v>
      </c>
      <c r="G8" t="s">
        <v>35</v>
      </c>
      <c r="H8" t="s">
        <v>23</v>
      </c>
      <c r="I8" t="s">
        <v>36</v>
      </c>
      <c r="J8" t="s">
        <v>50</v>
      </c>
      <c r="K8" t="s">
        <v>32</v>
      </c>
      <c r="L8" t="s">
        <v>47</v>
      </c>
      <c r="M8" s="8">
        <v>63</v>
      </c>
      <c r="N8" s="10">
        <v>180</v>
      </c>
      <c r="O8" s="10">
        <v>11340</v>
      </c>
      <c r="P8" s="10">
        <v>7245</v>
      </c>
      <c r="Q8" s="2">
        <v>4095</v>
      </c>
      <c r="R8" s="3">
        <v>0</v>
      </c>
      <c r="S8" t="s">
        <v>28</v>
      </c>
      <c r="T8" s="2">
        <v>695.43</v>
      </c>
    </row>
    <row r="9" spans="1:20" x14ac:dyDescent="0.25">
      <c r="A9">
        <v>100008</v>
      </c>
      <c r="B9" s="6">
        <v>45922</v>
      </c>
      <c r="C9">
        <v>2025</v>
      </c>
      <c r="D9" t="s">
        <v>39</v>
      </c>
      <c r="E9">
        <v>9</v>
      </c>
      <c r="F9" t="s">
        <v>40</v>
      </c>
      <c r="G9" t="s">
        <v>35</v>
      </c>
      <c r="H9" t="s">
        <v>23</v>
      </c>
      <c r="I9" t="s">
        <v>53</v>
      </c>
      <c r="J9" t="s">
        <v>54</v>
      </c>
      <c r="K9" t="s">
        <v>55</v>
      </c>
      <c r="L9" t="s">
        <v>56</v>
      </c>
      <c r="M9" s="8">
        <v>49</v>
      </c>
      <c r="N9" s="10">
        <v>320</v>
      </c>
      <c r="O9" s="10">
        <v>14425.6</v>
      </c>
      <c r="P9" s="10">
        <v>11515</v>
      </c>
      <c r="Q9" s="2">
        <v>2910.6</v>
      </c>
      <c r="R9" s="3">
        <v>0.08</v>
      </c>
      <c r="S9" t="s">
        <v>57</v>
      </c>
      <c r="T9" s="2">
        <v>809.31</v>
      </c>
    </row>
    <row r="10" spans="1:20" x14ac:dyDescent="0.25">
      <c r="A10">
        <v>100009</v>
      </c>
      <c r="B10" s="6">
        <v>45143</v>
      </c>
      <c r="C10">
        <v>2023</v>
      </c>
      <c r="D10" t="s">
        <v>39</v>
      </c>
      <c r="E10">
        <v>8</v>
      </c>
      <c r="F10" t="s">
        <v>58</v>
      </c>
      <c r="G10" t="s">
        <v>29</v>
      </c>
      <c r="H10" t="s">
        <v>23</v>
      </c>
      <c r="I10" t="s">
        <v>49</v>
      </c>
      <c r="J10" t="s">
        <v>42</v>
      </c>
      <c r="K10" t="s">
        <v>59</v>
      </c>
      <c r="L10" t="s">
        <v>60</v>
      </c>
      <c r="M10" s="8">
        <v>24</v>
      </c>
      <c r="N10" s="10">
        <v>45</v>
      </c>
      <c r="O10" s="10">
        <v>1080</v>
      </c>
      <c r="P10" s="10">
        <v>648</v>
      </c>
      <c r="Q10" s="2">
        <v>432</v>
      </c>
      <c r="R10" s="3">
        <v>0</v>
      </c>
      <c r="S10" t="s">
        <v>57</v>
      </c>
      <c r="T10" s="2">
        <v>17.13</v>
      </c>
    </row>
    <row r="11" spans="1:20" x14ac:dyDescent="0.25">
      <c r="A11">
        <v>100010</v>
      </c>
      <c r="B11" s="6">
        <v>45574</v>
      </c>
      <c r="C11">
        <v>2024</v>
      </c>
      <c r="D11" t="s">
        <v>43</v>
      </c>
      <c r="E11">
        <v>10</v>
      </c>
      <c r="F11" t="s">
        <v>44</v>
      </c>
      <c r="G11" t="s">
        <v>29</v>
      </c>
      <c r="H11" t="s">
        <v>23</v>
      </c>
      <c r="I11" t="s">
        <v>30</v>
      </c>
      <c r="J11" t="s">
        <v>61</v>
      </c>
      <c r="K11" t="s">
        <v>26</v>
      </c>
      <c r="L11" t="s">
        <v>27</v>
      </c>
      <c r="M11" s="8">
        <v>145</v>
      </c>
      <c r="N11" s="10">
        <v>110</v>
      </c>
      <c r="O11" s="10">
        <v>15152.5</v>
      </c>
      <c r="P11" s="10">
        <v>9860</v>
      </c>
      <c r="Q11" s="2">
        <v>5292.5</v>
      </c>
      <c r="R11" s="3">
        <v>0.05</v>
      </c>
      <c r="S11" t="s">
        <v>28</v>
      </c>
      <c r="T11" s="2">
        <v>870.05</v>
      </c>
    </row>
    <row r="12" spans="1:20" x14ac:dyDescent="0.25">
      <c r="A12">
        <v>100011</v>
      </c>
      <c r="B12" s="6">
        <v>45944</v>
      </c>
      <c r="C12">
        <v>2025</v>
      </c>
      <c r="D12" t="s">
        <v>43</v>
      </c>
      <c r="E12">
        <v>10</v>
      </c>
      <c r="F12" t="s">
        <v>44</v>
      </c>
      <c r="G12" t="s">
        <v>45</v>
      </c>
      <c r="H12" t="s">
        <v>23</v>
      </c>
      <c r="I12" t="s">
        <v>62</v>
      </c>
      <c r="J12" t="s">
        <v>54</v>
      </c>
      <c r="K12" t="s">
        <v>55</v>
      </c>
      <c r="L12" t="s">
        <v>56</v>
      </c>
      <c r="M12" s="8">
        <v>21</v>
      </c>
      <c r="N12" s="10">
        <v>320</v>
      </c>
      <c r="O12" s="10">
        <v>6585.6</v>
      </c>
      <c r="P12" s="10">
        <v>4935</v>
      </c>
      <c r="Q12" s="2">
        <v>1650.6</v>
      </c>
      <c r="R12" s="3">
        <v>0.02</v>
      </c>
      <c r="S12" t="s">
        <v>57</v>
      </c>
      <c r="T12" s="2">
        <v>121.81</v>
      </c>
    </row>
    <row r="13" spans="1:20" x14ac:dyDescent="0.25">
      <c r="A13">
        <v>100012</v>
      </c>
      <c r="B13" s="6">
        <v>45731</v>
      </c>
      <c r="C13">
        <v>2025</v>
      </c>
      <c r="D13" t="s">
        <v>63</v>
      </c>
      <c r="E13">
        <v>3</v>
      </c>
      <c r="F13" t="s">
        <v>64</v>
      </c>
      <c r="G13" t="s">
        <v>22</v>
      </c>
      <c r="H13" t="s">
        <v>23</v>
      </c>
      <c r="I13" t="s">
        <v>65</v>
      </c>
      <c r="J13" t="s">
        <v>66</v>
      </c>
      <c r="K13" t="s">
        <v>59</v>
      </c>
      <c r="L13" t="s">
        <v>67</v>
      </c>
      <c r="M13" s="8">
        <v>44</v>
      </c>
      <c r="N13" s="10">
        <v>95</v>
      </c>
      <c r="O13" s="10">
        <v>4054.6</v>
      </c>
      <c r="P13" s="10">
        <v>2464</v>
      </c>
      <c r="Q13" s="2">
        <v>1590.6</v>
      </c>
      <c r="R13" s="3">
        <v>0.03</v>
      </c>
      <c r="S13" t="s">
        <v>57</v>
      </c>
      <c r="T13" s="2">
        <v>87.49</v>
      </c>
    </row>
    <row r="14" spans="1:20" x14ac:dyDescent="0.25">
      <c r="A14">
        <v>100013</v>
      </c>
      <c r="B14" s="6">
        <v>45955</v>
      </c>
      <c r="C14">
        <v>2025</v>
      </c>
      <c r="D14" t="s">
        <v>43</v>
      </c>
      <c r="E14">
        <v>10</v>
      </c>
      <c r="F14" t="s">
        <v>44</v>
      </c>
      <c r="G14" t="s">
        <v>35</v>
      </c>
      <c r="H14" t="s">
        <v>23</v>
      </c>
      <c r="I14" t="s">
        <v>53</v>
      </c>
      <c r="J14" t="s">
        <v>68</v>
      </c>
      <c r="K14" t="s">
        <v>26</v>
      </c>
      <c r="L14" t="s">
        <v>69</v>
      </c>
      <c r="M14" s="8">
        <v>36</v>
      </c>
      <c r="N14" s="10">
        <v>130</v>
      </c>
      <c r="O14" s="10">
        <v>4539.6000000000004</v>
      </c>
      <c r="P14" s="10">
        <v>2736</v>
      </c>
      <c r="Q14" s="2">
        <v>1803.6</v>
      </c>
      <c r="R14" s="3">
        <v>0.03</v>
      </c>
      <c r="S14" t="s">
        <v>70</v>
      </c>
      <c r="T14" s="2">
        <v>174.84</v>
      </c>
    </row>
    <row r="15" spans="1:20" x14ac:dyDescent="0.25">
      <c r="A15">
        <v>100014</v>
      </c>
      <c r="B15" s="6">
        <v>45790</v>
      </c>
      <c r="C15">
        <v>2025</v>
      </c>
      <c r="D15" t="s">
        <v>20</v>
      </c>
      <c r="E15">
        <v>5</v>
      </c>
      <c r="F15" t="s">
        <v>21</v>
      </c>
      <c r="G15" t="s">
        <v>22</v>
      </c>
      <c r="H15" t="s">
        <v>23</v>
      </c>
      <c r="I15" t="s">
        <v>71</v>
      </c>
      <c r="J15" t="s">
        <v>61</v>
      </c>
      <c r="K15" t="s">
        <v>51</v>
      </c>
      <c r="L15" t="s">
        <v>72</v>
      </c>
      <c r="M15" s="8">
        <v>141</v>
      </c>
      <c r="N15" s="10">
        <v>90</v>
      </c>
      <c r="O15" s="10">
        <v>11674.8</v>
      </c>
      <c r="P15" s="10">
        <v>7332</v>
      </c>
      <c r="Q15" s="2">
        <v>4342.8</v>
      </c>
      <c r="R15" s="3">
        <v>0.08</v>
      </c>
      <c r="S15" t="s">
        <v>70</v>
      </c>
      <c r="T15" s="2">
        <v>335.2</v>
      </c>
    </row>
    <row r="16" spans="1:20" x14ac:dyDescent="0.25">
      <c r="A16">
        <v>100015</v>
      </c>
      <c r="B16" s="6">
        <v>45467</v>
      </c>
      <c r="C16">
        <v>2024</v>
      </c>
      <c r="D16" t="s">
        <v>20</v>
      </c>
      <c r="E16">
        <v>6</v>
      </c>
      <c r="F16" t="s">
        <v>48</v>
      </c>
      <c r="G16" t="s">
        <v>29</v>
      </c>
      <c r="H16" t="s">
        <v>23</v>
      </c>
      <c r="I16" t="s">
        <v>73</v>
      </c>
      <c r="J16" t="s">
        <v>66</v>
      </c>
      <c r="K16" t="s">
        <v>32</v>
      </c>
      <c r="L16" t="s">
        <v>74</v>
      </c>
      <c r="M16" s="8">
        <v>95</v>
      </c>
      <c r="N16" s="10">
        <v>25</v>
      </c>
      <c r="O16" s="10">
        <v>2185</v>
      </c>
      <c r="P16" s="10">
        <v>1330</v>
      </c>
      <c r="Q16" s="2">
        <v>855</v>
      </c>
      <c r="R16" s="3">
        <v>0.08</v>
      </c>
      <c r="S16" t="s">
        <v>70</v>
      </c>
      <c r="T16" s="2">
        <v>107.81</v>
      </c>
    </row>
    <row r="17" spans="1:20" x14ac:dyDescent="0.25">
      <c r="A17">
        <v>100016</v>
      </c>
      <c r="B17" s="6">
        <v>45572</v>
      </c>
      <c r="C17">
        <v>2024</v>
      </c>
      <c r="D17" t="s">
        <v>43</v>
      </c>
      <c r="E17">
        <v>10</v>
      </c>
      <c r="F17" t="s">
        <v>44</v>
      </c>
      <c r="G17" t="s">
        <v>29</v>
      </c>
      <c r="H17" t="s">
        <v>23</v>
      </c>
      <c r="I17" t="s">
        <v>49</v>
      </c>
      <c r="J17" t="s">
        <v>54</v>
      </c>
      <c r="K17" t="s">
        <v>32</v>
      </c>
      <c r="L17" t="s">
        <v>47</v>
      </c>
      <c r="M17" s="8">
        <v>39</v>
      </c>
      <c r="N17" s="10">
        <v>180</v>
      </c>
      <c r="O17" s="10">
        <v>6458.4</v>
      </c>
      <c r="P17" s="10">
        <v>4485</v>
      </c>
      <c r="Q17" s="2">
        <v>1973.4</v>
      </c>
      <c r="R17" s="3">
        <v>0.08</v>
      </c>
      <c r="S17" t="s">
        <v>28</v>
      </c>
      <c r="T17" s="2">
        <v>212.09</v>
      </c>
    </row>
    <row r="18" spans="1:20" x14ac:dyDescent="0.25">
      <c r="A18">
        <v>100017</v>
      </c>
      <c r="B18" s="6">
        <v>45116</v>
      </c>
      <c r="C18">
        <v>2023</v>
      </c>
      <c r="D18" t="s">
        <v>39</v>
      </c>
      <c r="E18">
        <v>7</v>
      </c>
      <c r="F18" t="s">
        <v>75</v>
      </c>
      <c r="G18" t="s">
        <v>45</v>
      </c>
      <c r="H18" t="s">
        <v>23</v>
      </c>
      <c r="I18" t="s">
        <v>46</v>
      </c>
      <c r="J18" t="s">
        <v>54</v>
      </c>
      <c r="K18" t="s">
        <v>51</v>
      </c>
      <c r="L18" t="s">
        <v>76</v>
      </c>
      <c r="M18" s="8">
        <v>130</v>
      </c>
      <c r="N18" s="10">
        <v>40</v>
      </c>
      <c r="O18" s="10">
        <v>4784</v>
      </c>
      <c r="P18" s="10">
        <v>2990</v>
      </c>
      <c r="Q18" s="2">
        <v>1794</v>
      </c>
      <c r="R18" s="3">
        <v>0.08</v>
      </c>
      <c r="S18" t="s">
        <v>38</v>
      </c>
      <c r="T18" s="2">
        <v>298.24</v>
      </c>
    </row>
    <row r="19" spans="1:20" x14ac:dyDescent="0.25">
      <c r="A19">
        <v>100018</v>
      </c>
      <c r="B19" s="6">
        <v>45575</v>
      </c>
      <c r="C19">
        <v>2024</v>
      </c>
      <c r="D19" t="s">
        <v>43</v>
      </c>
      <c r="E19">
        <v>10</v>
      </c>
      <c r="F19" t="s">
        <v>44</v>
      </c>
      <c r="G19" t="s">
        <v>35</v>
      </c>
      <c r="H19" t="s">
        <v>23</v>
      </c>
      <c r="I19" t="s">
        <v>77</v>
      </c>
      <c r="J19" t="s">
        <v>42</v>
      </c>
      <c r="K19" t="s">
        <v>26</v>
      </c>
      <c r="L19" t="s">
        <v>78</v>
      </c>
      <c r="M19" s="8">
        <v>68</v>
      </c>
      <c r="N19" s="10">
        <v>95</v>
      </c>
      <c r="O19" s="10">
        <v>6330.8</v>
      </c>
      <c r="P19" s="10">
        <v>3944</v>
      </c>
      <c r="Q19" s="2">
        <v>2386.8000000000002</v>
      </c>
      <c r="R19" s="3">
        <v>0.02</v>
      </c>
      <c r="S19" t="s">
        <v>70</v>
      </c>
      <c r="T19" s="2">
        <v>275.60000000000002</v>
      </c>
    </row>
    <row r="20" spans="1:20" x14ac:dyDescent="0.25">
      <c r="A20">
        <v>100019</v>
      </c>
      <c r="B20" s="6">
        <v>45368</v>
      </c>
      <c r="C20">
        <v>2024</v>
      </c>
      <c r="D20" t="s">
        <v>63</v>
      </c>
      <c r="E20">
        <v>3</v>
      </c>
      <c r="F20" t="s">
        <v>64</v>
      </c>
      <c r="G20" t="s">
        <v>29</v>
      </c>
      <c r="H20" t="s">
        <v>23</v>
      </c>
      <c r="I20" t="s">
        <v>49</v>
      </c>
      <c r="J20" t="s">
        <v>42</v>
      </c>
      <c r="K20" t="s">
        <v>51</v>
      </c>
      <c r="L20" t="s">
        <v>76</v>
      </c>
      <c r="M20" s="8">
        <v>140</v>
      </c>
      <c r="N20" s="10">
        <v>40</v>
      </c>
      <c r="O20" s="10">
        <v>5488</v>
      </c>
      <c r="P20" s="10">
        <v>3220</v>
      </c>
      <c r="Q20" s="2">
        <v>2268</v>
      </c>
      <c r="R20" s="3">
        <v>0.02</v>
      </c>
      <c r="S20" t="s">
        <v>38</v>
      </c>
      <c r="T20" s="2">
        <v>168.3</v>
      </c>
    </row>
    <row r="21" spans="1:20" x14ac:dyDescent="0.25">
      <c r="A21">
        <v>100020</v>
      </c>
      <c r="B21" s="6">
        <v>44928</v>
      </c>
      <c r="C21">
        <v>2023</v>
      </c>
      <c r="D21" t="s">
        <v>63</v>
      </c>
      <c r="E21">
        <v>1</v>
      </c>
      <c r="F21" t="s">
        <v>79</v>
      </c>
      <c r="G21" t="s">
        <v>35</v>
      </c>
      <c r="H21" t="s">
        <v>23</v>
      </c>
      <c r="I21" t="s">
        <v>80</v>
      </c>
      <c r="J21" t="s">
        <v>50</v>
      </c>
      <c r="K21" t="s">
        <v>32</v>
      </c>
      <c r="L21" t="s">
        <v>37</v>
      </c>
      <c r="M21" s="8">
        <v>138</v>
      </c>
      <c r="N21" s="10">
        <v>120</v>
      </c>
      <c r="O21" s="10">
        <v>16228.8</v>
      </c>
      <c r="P21" s="10">
        <v>10764</v>
      </c>
      <c r="Q21" s="2">
        <v>5464.8</v>
      </c>
      <c r="R21" s="3">
        <v>0.02</v>
      </c>
      <c r="S21" t="s">
        <v>70</v>
      </c>
      <c r="T21" s="2">
        <v>372.76</v>
      </c>
    </row>
    <row r="22" spans="1:20" x14ac:dyDescent="0.25">
      <c r="A22">
        <v>100021</v>
      </c>
      <c r="B22" s="6">
        <v>45173</v>
      </c>
      <c r="C22">
        <v>2023</v>
      </c>
      <c r="D22" t="s">
        <v>39</v>
      </c>
      <c r="E22">
        <v>9</v>
      </c>
      <c r="F22" t="s">
        <v>40</v>
      </c>
      <c r="G22" t="s">
        <v>29</v>
      </c>
      <c r="H22" t="s">
        <v>23</v>
      </c>
      <c r="I22" t="s">
        <v>30</v>
      </c>
      <c r="J22" t="s">
        <v>66</v>
      </c>
      <c r="K22" t="s">
        <v>26</v>
      </c>
      <c r="L22" t="s">
        <v>69</v>
      </c>
      <c r="M22" s="8">
        <v>47</v>
      </c>
      <c r="N22" s="10">
        <v>130</v>
      </c>
      <c r="O22" s="10">
        <v>5926.7</v>
      </c>
      <c r="P22" s="10">
        <v>3572</v>
      </c>
      <c r="Q22" s="2">
        <v>2354.6999999999998</v>
      </c>
      <c r="R22" s="3">
        <v>0.03</v>
      </c>
      <c r="S22" t="s">
        <v>38</v>
      </c>
      <c r="T22" s="2">
        <v>295.01</v>
      </c>
    </row>
    <row r="23" spans="1:20" x14ac:dyDescent="0.25">
      <c r="A23">
        <v>100022</v>
      </c>
      <c r="B23" s="6">
        <v>45678</v>
      </c>
      <c r="C23">
        <v>2025</v>
      </c>
      <c r="D23" t="s">
        <v>63</v>
      </c>
      <c r="E23">
        <v>1</v>
      </c>
      <c r="F23" t="s">
        <v>79</v>
      </c>
      <c r="G23" t="s">
        <v>29</v>
      </c>
      <c r="H23" t="s">
        <v>23</v>
      </c>
      <c r="I23" t="s">
        <v>73</v>
      </c>
      <c r="J23" t="s">
        <v>50</v>
      </c>
      <c r="K23" t="s">
        <v>32</v>
      </c>
      <c r="L23" t="s">
        <v>74</v>
      </c>
      <c r="M23" s="8">
        <v>79</v>
      </c>
      <c r="N23" s="10">
        <v>25</v>
      </c>
      <c r="O23" s="10">
        <v>1876.25</v>
      </c>
      <c r="P23" s="10">
        <v>1106</v>
      </c>
      <c r="Q23" s="2">
        <v>770.25</v>
      </c>
      <c r="R23" s="3">
        <v>0.05</v>
      </c>
      <c r="S23" t="s">
        <v>57</v>
      </c>
      <c r="T23" s="2">
        <v>116.72</v>
      </c>
    </row>
    <row r="24" spans="1:20" x14ac:dyDescent="0.25">
      <c r="A24">
        <v>100023</v>
      </c>
      <c r="B24" s="6">
        <v>45329</v>
      </c>
      <c r="C24">
        <v>2024</v>
      </c>
      <c r="D24" t="s">
        <v>63</v>
      </c>
      <c r="E24">
        <v>2</v>
      </c>
      <c r="F24" t="s">
        <v>81</v>
      </c>
      <c r="G24" t="s">
        <v>35</v>
      </c>
      <c r="H24" t="s">
        <v>23</v>
      </c>
      <c r="I24" t="s">
        <v>53</v>
      </c>
      <c r="J24" t="s">
        <v>31</v>
      </c>
      <c r="K24" t="s">
        <v>26</v>
      </c>
      <c r="L24" t="s">
        <v>82</v>
      </c>
      <c r="M24" s="8">
        <v>105</v>
      </c>
      <c r="N24" s="10">
        <v>105</v>
      </c>
      <c r="O24" s="10">
        <v>11025</v>
      </c>
      <c r="P24" s="10">
        <v>6405</v>
      </c>
      <c r="Q24" s="2">
        <v>4620</v>
      </c>
      <c r="R24" s="3">
        <v>0</v>
      </c>
      <c r="S24" t="s">
        <v>38</v>
      </c>
      <c r="T24" s="2">
        <v>735.68</v>
      </c>
    </row>
    <row r="25" spans="1:20" x14ac:dyDescent="0.25">
      <c r="A25">
        <v>100024</v>
      </c>
      <c r="B25" s="6">
        <v>45264</v>
      </c>
      <c r="C25">
        <v>2023</v>
      </c>
      <c r="D25" t="s">
        <v>43</v>
      </c>
      <c r="E25">
        <v>12</v>
      </c>
      <c r="F25" t="s">
        <v>83</v>
      </c>
      <c r="G25" t="s">
        <v>29</v>
      </c>
      <c r="H25" t="s">
        <v>23</v>
      </c>
      <c r="I25" t="s">
        <v>73</v>
      </c>
      <c r="J25" t="s">
        <v>68</v>
      </c>
      <c r="K25" t="s">
        <v>26</v>
      </c>
      <c r="L25" t="s">
        <v>27</v>
      </c>
      <c r="M25" s="8">
        <v>51</v>
      </c>
      <c r="N25" s="10">
        <v>110</v>
      </c>
      <c r="O25" s="10">
        <v>5497.8</v>
      </c>
      <c r="P25" s="10">
        <v>3468</v>
      </c>
      <c r="Q25" s="2">
        <v>2029.8</v>
      </c>
      <c r="R25" s="3">
        <v>0.02</v>
      </c>
      <c r="S25" t="s">
        <v>28</v>
      </c>
      <c r="T25" s="2">
        <v>282.02999999999997</v>
      </c>
    </row>
    <row r="26" spans="1:20" x14ac:dyDescent="0.25">
      <c r="A26">
        <v>100025</v>
      </c>
      <c r="B26" s="6">
        <v>45807</v>
      </c>
      <c r="C26">
        <v>2025</v>
      </c>
      <c r="D26" t="s">
        <v>20</v>
      </c>
      <c r="E26">
        <v>5</v>
      </c>
      <c r="F26" t="s">
        <v>21</v>
      </c>
      <c r="G26" t="s">
        <v>35</v>
      </c>
      <c r="H26" t="s">
        <v>23</v>
      </c>
      <c r="I26" t="s">
        <v>77</v>
      </c>
      <c r="J26" t="s">
        <v>42</v>
      </c>
      <c r="K26" t="s">
        <v>32</v>
      </c>
      <c r="L26" t="s">
        <v>47</v>
      </c>
      <c r="M26" s="8">
        <v>46</v>
      </c>
      <c r="N26" s="10">
        <v>180</v>
      </c>
      <c r="O26" s="10">
        <v>7617.6</v>
      </c>
      <c r="P26" s="10">
        <v>5290</v>
      </c>
      <c r="Q26" s="2">
        <v>2327.6</v>
      </c>
      <c r="R26" s="3">
        <v>0.08</v>
      </c>
      <c r="S26" t="s">
        <v>38</v>
      </c>
      <c r="T26" s="2">
        <v>193.33</v>
      </c>
    </row>
    <row r="27" spans="1:20" x14ac:dyDescent="0.25">
      <c r="A27">
        <v>100026</v>
      </c>
      <c r="B27" s="6">
        <v>45742</v>
      </c>
      <c r="C27">
        <v>2025</v>
      </c>
      <c r="D27" t="s">
        <v>63</v>
      </c>
      <c r="E27">
        <v>3</v>
      </c>
      <c r="F27" t="s">
        <v>64</v>
      </c>
      <c r="G27" t="s">
        <v>29</v>
      </c>
      <c r="H27" t="s">
        <v>23</v>
      </c>
      <c r="I27" t="s">
        <v>30</v>
      </c>
      <c r="J27" t="s">
        <v>42</v>
      </c>
      <c r="K27" t="s">
        <v>55</v>
      </c>
      <c r="L27" t="s">
        <v>84</v>
      </c>
      <c r="M27" s="8">
        <v>129</v>
      </c>
      <c r="N27" s="10">
        <v>55</v>
      </c>
      <c r="O27" s="10">
        <v>6527.4</v>
      </c>
      <c r="P27" s="10">
        <v>4773</v>
      </c>
      <c r="Q27" s="2">
        <v>1754.4</v>
      </c>
      <c r="R27" s="3">
        <v>0.08</v>
      </c>
      <c r="S27" t="s">
        <v>38</v>
      </c>
      <c r="T27" s="2">
        <v>403.4</v>
      </c>
    </row>
    <row r="28" spans="1:20" x14ac:dyDescent="0.25">
      <c r="A28">
        <v>100027</v>
      </c>
      <c r="B28" s="6">
        <v>45030</v>
      </c>
      <c r="C28">
        <v>2023</v>
      </c>
      <c r="D28" t="s">
        <v>20</v>
      </c>
      <c r="E28">
        <v>4</v>
      </c>
      <c r="F28" t="s">
        <v>34</v>
      </c>
      <c r="G28" t="s">
        <v>29</v>
      </c>
      <c r="H28" t="s">
        <v>23</v>
      </c>
      <c r="I28" t="s">
        <v>85</v>
      </c>
      <c r="J28" t="s">
        <v>66</v>
      </c>
      <c r="K28" t="s">
        <v>32</v>
      </c>
      <c r="L28" t="s">
        <v>33</v>
      </c>
      <c r="M28" s="8">
        <v>108</v>
      </c>
      <c r="N28" s="10">
        <v>60</v>
      </c>
      <c r="O28" s="10">
        <v>5832</v>
      </c>
      <c r="P28" s="10">
        <v>4104</v>
      </c>
      <c r="Q28" s="2">
        <v>1728</v>
      </c>
      <c r="R28" s="3">
        <v>0.1</v>
      </c>
      <c r="S28" t="s">
        <v>70</v>
      </c>
      <c r="T28" s="2">
        <v>178.55</v>
      </c>
    </row>
    <row r="29" spans="1:20" x14ac:dyDescent="0.25">
      <c r="A29">
        <v>100028</v>
      </c>
      <c r="B29" s="6">
        <v>45748</v>
      </c>
      <c r="C29">
        <v>2025</v>
      </c>
      <c r="D29" t="s">
        <v>20</v>
      </c>
      <c r="E29">
        <v>4</v>
      </c>
      <c r="F29" t="s">
        <v>34</v>
      </c>
      <c r="G29" t="s">
        <v>22</v>
      </c>
      <c r="H29" t="s">
        <v>23</v>
      </c>
      <c r="I29" t="s">
        <v>65</v>
      </c>
      <c r="J29" t="s">
        <v>50</v>
      </c>
      <c r="K29" t="s">
        <v>55</v>
      </c>
      <c r="L29" t="s">
        <v>56</v>
      </c>
      <c r="M29" s="8">
        <v>77</v>
      </c>
      <c r="N29" s="10">
        <v>320</v>
      </c>
      <c r="O29" s="10">
        <v>24147.200000000001</v>
      </c>
      <c r="P29" s="10">
        <v>18095</v>
      </c>
      <c r="Q29" s="2">
        <v>6052.2</v>
      </c>
      <c r="R29" s="3">
        <v>0.02</v>
      </c>
      <c r="S29" t="s">
        <v>38</v>
      </c>
      <c r="T29" s="2">
        <v>794.37</v>
      </c>
    </row>
    <row r="30" spans="1:20" x14ac:dyDescent="0.25">
      <c r="A30">
        <v>100029</v>
      </c>
      <c r="B30" s="6">
        <v>45327</v>
      </c>
      <c r="C30">
        <v>2024</v>
      </c>
      <c r="D30" t="s">
        <v>63</v>
      </c>
      <c r="E30">
        <v>2</v>
      </c>
      <c r="F30" t="s">
        <v>81</v>
      </c>
      <c r="G30" t="s">
        <v>29</v>
      </c>
      <c r="H30" t="s">
        <v>23</v>
      </c>
      <c r="I30" t="s">
        <v>73</v>
      </c>
      <c r="J30" t="s">
        <v>66</v>
      </c>
      <c r="K30" t="s">
        <v>59</v>
      </c>
      <c r="L30" t="s">
        <v>67</v>
      </c>
      <c r="M30" s="8">
        <v>124</v>
      </c>
      <c r="N30" s="10">
        <v>95</v>
      </c>
      <c r="O30" s="10">
        <v>11191</v>
      </c>
      <c r="P30" s="10">
        <v>6944</v>
      </c>
      <c r="Q30" s="2">
        <v>4247</v>
      </c>
      <c r="R30" s="3">
        <v>0.05</v>
      </c>
      <c r="S30" t="s">
        <v>28</v>
      </c>
      <c r="T30" s="2">
        <v>322.02999999999997</v>
      </c>
    </row>
    <row r="31" spans="1:20" x14ac:dyDescent="0.25">
      <c r="A31">
        <v>100030</v>
      </c>
      <c r="B31" s="6">
        <v>45489</v>
      </c>
      <c r="C31">
        <v>2024</v>
      </c>
      <c r="D31" t="s">
        <v>39</v>
      </c>
      <c r="E31">
        <v>7</v>
      </c>
      <c r="F31" t="s">
        <v>75</v>
      </c>
      <c r="G31" t="s">
        <v>35</v>
      </c>
      <c r="H31" t="s">
        <v>23</v>
      </c>
      <c r="I31" t="s">
        <v>80</v>
      </c>
      <c r="J31" t="s">
        <v>31</v>
      </c>
      <c r="K31" t="s">
        <v>59</v>
      </c>
      <c r="L31" t="s">
        <v>86</v>
      </c>
      <c r="M31" s="8">
        <v>30</v>
      </c>
      <c r="N31" s="10">
        <v>160</v>
      </c>
      <c r="O31" s="10">
        <v>4656</v>
      </c>
      <c r="P31" s="10">
        <v>2850</v>
      </c>
      <c r="Q31" s="2">
        <v>1806</v>
      </c>
      <c r="R31" s="3">
        <v>0.03</v>
      </c>
      <c r="S31" t="s">
        <v>28</v>
      </c>
      <c r="T31" s="2">
        <v>217.57</v>
      </c>
    </row>
    <row r="32" spans="1:20" x14ac:dyDescent="0.25">
      <c r="A32">
        <v>100031</v>
      </c>
      <c r="B32" s="6">
        <v>45946</v>
      </c>
      <c r="C32">
        <v>2025</v>
      </c>
      <c r="D32" t="s">
        <v>43</v>
      </c>
      <c r="E32">
        <v>10</v>
      </c>
      <c r="F32" t="s">
        <v>44</v>
      </c>
      <c r="G32" t="s">
        <v>45</v>
      </c>
      <c r="H32" t="s">
        <v>23</v>
      </c>
      <c r="I32" t="s">
        <v>62</v>
      </c>
      <c r="J32" t="s">
        <v>66</v>
      </c>
      <c r="K32" t="s">
        <v>51</v>
      </c>
      <c r="L32" t="s">
        <v>52</v>
      </c>
      <c r="M32" s="8">
        <v>58</v>
      </c>
      <c r="N32" s="10">
        <v>75</v>
      </c>
      <c r="O32" s="10">
        <v>4350</v>
      </c>
      <c r="P32" s="10">
        <v>2552</v>
      </c>
      <c r="Q32" s="2">
        <v>1798</v>
      </c>
      <c r="R32" s="3">
        <v>0</v>
      </c>
      <c r="S32" t="s">
        <v>28</v>
      </c>
      <c r="T32" s="2">
        <v>303.2</v>
      </c>
    </row>
    <row r="33" spans="1:20" x14ac:dyDescent="0.25">
      <c r="A33">
        <v>100032</v>
      </c>
      <c r="B33" s="6">
        <v>45444</v>
      </c>
      <c r="C33">
        <v>2024</v>
      </c>
      <c r="D33" t="s">
        <v>20</v>
      </c>
      <c r="E33">
        <v>6</v>
      </c>
      <c r="F33" t="s">
        <v>48</v>
      </c>
      <c r="G33" t="s">
        <v>22</v>
      </c>
      <c r="H33" t="s">
        <v>23</v>
      </c>
      <c r="I33" t="s">
        <v>65</v>
      </c>
      <c r="J33" t="s">
        <v>25</v>
      </c>
      <c r="K33" t="s">
        <v>32</v>
      </c>
      <c r="L33" t="s">
        <v>47</v>
      </c>
      <c r="M33" s="8">
        <v>102</v>
      </c>
      <c r="N33" s="10">
        <v>180</v>
      </c>
      <c r="O33" s="10">
        <v>17809.2</v>
      </c>
      <c r="P33" s="10">
        <v>11730</v>
      </c>
      <c r="Q33" s="2">
        <v>6079.2</v>
      </c>
      <c r="R33" s="3">
        <v>0.03</v>
      </c>
      <c r="S33" t="s">
        <v>28</v>
      </c>
      <c r="T33" s="2">
        <v>1213.98</v>
      </c>
    </row>
    <row r="34" spans="1:20" x14ac:dyDescent="0.25">
      <c r="A34">
        <v>100033</v>
      </c>
      <c r="B34" s="6">
        <v>45117</v>
      </c>
      <c r="C34">
        <v>2023</v>
      </c>
      <c r="D34" t="s">
        <v>39</v>
      </c>
      <c r="E34">
        <v>7</v>
      </c>
      <c r="F34" t="s">
        <v>75</v>
      </c>
      <c r="G34" t="s">
        <v>45</v>
      </c>
      <c r="H34" t="s">
        <v>23</v>
      </c>
      <c r="I34" t="s">
        <v>46</v>
      </c>
      <c r="J34" t="s">
        <v>54</v>
      </c>
      <c r="K34" t="s">
        <v>32</v>
      </c>
      <c r="L34" t="s">
        <v>37</v>
      </c>
      <c r="M34" s="8">
        <v>76</v>
      </c>
      <c r="N34" s="10">
        <v>120</v>
      </c>
      <c r="O34" s="10">
        <v>9120</v>
      </c>
      <c r="P34" s="10">
        <v>5928</v>
      </c>
      <c r="Q34" s="2">
        <v>3192</v>
      </c>
      <c r="R34" s="3">
        <v>0</v>
      </c>
      <c r="S34" t="s">
        <v>57</v>
      </c>
      <c r="T34" s="2">
        <v>416.09</v>
      </c>
    </row>
    <row r="35" spans="1:20" x14ac:dyDescent="0.25">
      <c r="A35">
        <v>100034</v>
      </c>
      <c r="B35" s="6">
        <v>45612</v>
      </c>
      <c r="C35">
        <v>2024</v>
      </c>
      <c r="D35" t="s">
        <v>43</v>
      </c>
      <c r="E35">
        <v>11</v>
      </c>
      <c r="F35" t="s">
        <v>87</v>
      </c>
      <c r="G35" t="s">
        <v>29</v>
      </c>
      <c r="H35" t="s">
        <v>23</v>
      </c>
      <c r="I35" t="s">
        <v>85</v>
      </c>
      <c r="J35" t="s">
        <v>42</v>
      </c>
      <c r="K35" t="s">
        <v>59</v>
      </c>
      <c r="L35" t="s">
        <v>86</v>
      </c>
      <c r="M35" s="8">
        <v>136</v>
      </c>
      <c r="N35" s="10">
        <v>160</v>
      </c>
      <c r="O35" s="10">
        <v>21107.200000000001</v>
      </c>
      <c r="P35" s="10">
        <v>12920</v>
      </c>
      <c r="Q35" s="2">
        <v>8187.2</v>
      </c>
      <c r="R35" s="3">
        <v>0.03</v>
      </c>
      <c r="S35" t="s">
        <v>57</v>
      </c>
      <c r="T35" s="2">
        <v>1335.15</v>
      </c>
    </row>
    <row r="36" spans="1:20" x14ac:dyDescent="0.25">
      <c r="A36">
        <v>100035</v>
      </c>
      <c r="B36" s="6">
        <v>45172</v>
      </c>
      <c r="C36">
        <v>2023</v>
      </c>
      <c r="D36" t="s">
        <v>39</v>
      </c>
      <c r="E36">
        <v>9</v>
      </c>
      <c r="F36" t="s">
        <v>40</v>
      </c>
      <c r="G36" t="s">
        <v>29</v>
      </c>
      <c r="H36" t="s">
        <v>23</v>
      </c>
      <c r="I36" t="s">
        <v>30</v>
      </c>
      <c r="J36" t="s">
        <v>61</v>
      </c>
      <c r="K36" t="s">
        <v>51</v>
      </c>
      <c r="L36" t="s">
        <v>52</v>
      </c>
      <c r="M36" s="8">
        <v>35</v>
      </c>
      <c r="N36" s="10">
        <v>75</v>
      </c>
      <c r="O36" s="10">
        <v>2415</v>
      </c>
      <c r="P36" s="10">
        <v>1540</v>
      </c>
      <c r="Q36" s="2">
        <v>875</v>
      </c>
      <c r="R36" s="3">
        <v>0.08</v>
      </c>
      <c r="S36" t="s">
        <v>38</v>
      </c>
      <c r="T36" s="2">
        <v>151.38999999999999</v>
      </c>
    </row>
    <row r="37" spans="1:20" x14ac:dyDescent="0.25">
      <c r="A37">
        <v>100036</v>
      </c>
      <c r="B37" s="6">
        <v>45829</v>
      </c>
      <c r="C37">
        <v>2025</v>
      </c>
      <c r="D37" t="s">
        <v>20</v>
      </c>
      <c r="E37">
        <v>6</v>
      </c>
      <c r="F37" t="s">
        <v>48</v>
      </c>
      <c r="G37" t="s">
        <v>45</v>
      </c>
      <c r="H37" t="s">
        <v>23</v>
      </c>
      <c r="I37" t="s">
        <v>62</v>
      </c>
      <c r="J37" t="s">
        <v>50</v>
      </c>
      <c r="K37" t="s">
        <v>26</v>
      </c>
      <c r="L37" t="s">
        <v>27</v>
      </c>
      <c r="M37" s="8">
        <v>17</v>
      </c>
      <c r="N37" s="10">
        <v>110</v>
      </c>
      <c r="O37" s="10">
        <v>1776.5</v>
      </c>
      <c r="P37" s="10">
        <v>1156</v>
      </c>
      <c r="Q37" s="2">
        <v>620.5</v>
      </c>
      <c r="R37" s="3">
        <v>0.05</v>
      </c>
      <c r="S37" t="s">
        <v>28</v>
      </c>
      <c r="T37" s="2">
        <v>104.4</v>
      </c>
    </row>
    <row r="38" spans="1:20" x14ac:dyDescent="0.25">
      <c r="A38">
        <v>100037</v>
      </c>
      <c r="B38" s="6">
        <v>45760</v>
      </c>
      <c r="C38">
        <v>2025</v>
      </c>
      <c r="D38" t="s">
        <v>20</v>
      </c>
      <c r="E38">
        <v>4</v>
      </c>
      <c r="F38" t="s">
        <v>34</v>
      </c>
      <c r="G38" t="s">
        <v>29</v>
      </c>
      <c r="H38" t="s">
        <v>23</v>
      </c>
      <c r="I38" t="s">
        <v>30</v>
      </c>
      <c r="J38" t="s">
        <v>68</v>
      </c>
      <c r="K38" t="s">
        <v>26</v>
      </c>
      <c r="L38" t="s">
        <v>69</v>
      </c>
      <c r="M38" s="8">
        <v>72</v>
      </c>
      <c r="N38" s="10">
        <v>130</v>
      </c>
      <c r="O38" s="10">
        <v>8424</v>
      </c>
      <c r="P38" s="10">
        <v>5472</v>
      </c>
      <c r="Q38" s="2">
        <v>2952</v>
      </c>
      <c r="R38" s="3">
        <v>0.1</v>
      </c>
      <c r="S38" t="s">
        <v>38</v>
      </c>
      <c r="T38" s="2">
        <v>515.04999999999995</v>
      </c>
    </row>
    <row r="39" spans="1:20" x14ac:dyDescent="0.25">
      <c r="A39">
        <v>100038</v>
      </c>
      <c r="B39" s="6">
        <v>45608</v>
      </c>
      <c r="C39">
        <v>2024</v>
      </c>
      <c r="D39" t="s">
        <v>43</v>
      </c>
      <c r="E39">
        <v>11</v>
      </c>
      <c r="F39" t="s">
        <v>87</v>
      </c>
      <c r="G39" t="s">
        <v>35</v>
      </c>
      <c r="H39" t="s">
        <v>23</v>
      </c>
      <c r="I39" t="s">
        <v>53</v>
      </c>
      <c r="J39" t="s">
        <v>50</v>
      </c>
      <c r="K39" t="s">
        <v>51</v>
      </c>
      <c r="L39" t="s">
        <v>72</v>
      </c>
      <c r="M39" s="8">
        <v>110</v>
      </c>
      <c r="N39" s="10">
        <v>90</v>
      </c>
      <c r="O39" s="10">
        <v>9603</v>
      </c>
      <c r="P39" s="10">
        <v>5720</v>
      </c>
      <c r="Q39" s="2">
        <v>3883</v>
      </c>
      <c r="R39" s="3">
        <v>0.03</v>
      </c>
      <c r="S39" t="s">
        <v>28</v>
      </c>
      <c r="T39" s="2">
        <v>550.73</v>
      </c>
    </row>
    <row r="40" spans="1:20" x14ac:dyDescent="0.25">
      <c r="A40">
        <v>100039</v>
      </c>
      <c r="B40" s="6">
        <v>45700</v>
      </c>
      <c r="C40">
        <v>2025</v>
      </c>
      <c r="D40" t="s">
        <v>63</v>
      </c>
      <c r="E40">
        <v>2</v>
      </c>
      <c r="F40" t="s">
        <v>81</v>
      </c>
      <c r="G40" t="s">
        <v>45</v>
      </c>
      <c r="H40" t="s">
        <v>23</v>
      </c>
      <c r="I40" t="s">
        <v>62</v>
      </c>
      <c r="J40" t="s">
        <v>61</v>
      </c>
      <c r="K40" t="s">
        <v>59</v>
      </c>
      <c r="L40" t="s">
        <v>67</v>
      </c>
      <c r="M40" s="8">
        <v>108</v>
      </c>
      <c r="N40" s="10">
        <v>95</v>
      </c>
      <c r="O40" s="10">
        <v>9747</v>
      </c>
      <c r="P40" s="10">
        <v>6048</v>
      </c>
      <c r="Q40" s="2">
        <v>3699</v>
      </c>
      <c r="R40" s="3">
        <v>0.05</v>
      </c>
      <c r="S40" t="s">
        <v>28</v>
      </c>
      <c r="T40" s="2">
        <v>535.45000000000005</v>
      </c>
    </row>
    <row r="41" spans="1:20" x14ac:dyDescent="0.25">
      <c r="A41">
        <v>100040</v>
      </c>
      <c r="B41" s="6">
        <v>45583</v>
      </c>
      <c r="C41">
        <v>2024</v>
      </c>
      <c r="D41" t="s">
        <v>43</v>
      </c>
      <c r="E41">
        <v>10</v>
      </c>
      <c r="F41" t="s">
        <v>44</v>
      </c>
      <c r="G41" t="s">
        <v>29</v>
      </c>
      <c r="H41" t="s">
        <v>23</v>
      </c>
      <c r="I41" t="s">
        <v>30</v>
      </c>
      <c r="J41" t="s">
        <v>54</v>
      </c>
      <c r="K41" t="s">
        <v>51</v>
      </c>
      <c r="L41" t="s">
        <v>76</v>
      </c>
      <c r="M41" s="8">
        <v>99</v>
      </c>
      <c r="N41" s="10">
        <v>40</v>
      </c>
      <c r="O41" s="10">
        <v>3960</v>
      </c>
      <c r="P41" s="10">
        <v>2277</v>
      </c>
      <c r="Q41" s="2">
        <v>1683</v>
      </c>
      <c r="R41" s="3">
        <v>0</v>
      </c>
      <c r="S41" t="s">
        <v>70</v>
      </c>
      <c r="T41" s="2">
        <v>269.06</v>
      </c>
    </row>
    <row r="42" spans="1:20" x14ac:dyDescent="0.25">
      <c r="A42">
        <v>100041</v>
      </c>
      <c r="B42" s="6">
        <v>45939</v>
      </c>
      <c r="C42">
        <v>2025</v>
      </c>
      <c r="D42" t="s">
        <v>43</v>
      </c>
      <c r="E42">
        <v>10</v>
      </c>
      <c r="F42" t="s">
        <v>44</v>
      </c>
      <c r="G42" t="s">
        <v>45</v>
      </c>
      <c r="H42" t="s">
        <v>23</v>
      </c>
      <c r="I42" t="s">
        <v>88</v>
      </c>
      <c r="J42" t="s">
        <v>42</v>
      </c>
      <c r="K42" t="s">
        <v>55</v>
      </c>
      <c r="L42" t="s">
        <v>89</v>
      </c>
      <c r="M42" s="8">
        <v>43</v>
      </c>
      <c r="N42" s="10">
        <v>280</v>
      </c>
      <c r="O42" s="10">
        <v>11799.2</v>
      </c>
      <c r="P42" s="10">
        <v>8815</v>
      </c>
      <c r="Q42" s="2">
        <v>2984.2</v>
      </c>
      <c r="R42" s="3">
        <v>0.02</v>
      </c>
      <c r="S42" t="s">
        <v>57</v>
      </c>
      <c r="T42" s="2">
        <v>237.91</v>
      </c>
    </row>
    <row r="43" spans="1:20" x14ac:dyDescent="0.25">
      <c r="A43">
        <v>100042</v>
      </c>
      <c r="B43" s="6">
        <v>45823</v>
      </c>
      <c r="C43">
        <v>2025</v>
      </c>
      <c r="D43" t="s">
        <v>20</v>
      </c>
      <c r="E43">
        <v>6</v>
      </c>
      <c r="F43" t="s">
        <v>48</v>
      </c>
      <c r="G43" t="s">
        <v>29</v>
      </c>
      <c r="H43" t="s">
        <v>23</v>
      </c>
      <c r="I43" t="s">
        <v>73</v>
      </c>
      <c r="J43" t="s">
        <v>50</v>
      </c>
      <c r="K43" t="s">
        <v>26</v>
      </c>
      <c r="L43" t="s">
        <v>69</v>
      </c>
      <c r="M43" s="8">
        <v>78</v>
      </c>
      <c r="N43" s="10">
        <v>130</v>
      </c>
      <c r="O43" s="10">
        <v>9633</v>
      </c>
      <c r="P43" s="10">
        <v>5928</v>
      </c>
      <c r="Q43" s="2">
        <v>3705</v>
      </c>
      <c r="R43" s="3">
        <v>0.05</v>
      </c>
      <c r="S43" t="s">
        <v>70</v>
      </c>
      <c r="T43" s="2">
        <v>366.81</v>
      </c>
    </row>
    <row r="44" spans="1:20" x14ac:dyDescent="0.25">
      <c r="A44">
        <v>100043</v>
      </c>
      <c r="B44" s="6">
        <v>45923</v>
      </c>
      <c r="C44">
        <v>2025</v>
      </c>
      <c r="D44" t="s">
        <v>39</v>
      </c>
      <c r="E44">
        <v>9</v>
      </c>
      <c r="F44" t="s">
        <v>40</v>
      </c>
      <c r="G44" t="s">
        <v>35</v>
      </c>
      <c r="H44" t="s">
        <v>23</v>
      </c>
      <c r="I44" t="s">
        <v>77</v>
      </c>
      <c r="J44" t="s">
        <v>66</v>
      </c>
      <c r="K44" t="s">
        <v>51</v>
      </c>
      <c r="L44" t="s">
        <v>72</v>
      </c>
      <c r="M44" s="8">
        <v>78</v>
      </c>
      <c r="N44" s="10">
        <v>90</v>
      </c>
      <c r="O44" s="10">
        <v>7020</v>
      </c>
      <c r="P44" s="10">
        <v>4056</v>
      </c>
      <c r="Q44" s="2">
        <v>2964</v>
      </c>
      <c r="R44" s="3">
        <v>0</v>
      </c>
      <c r="S44" t="s">
        <v>57</v>
      </c>
      <c r="T44" s="2">
        <v>225.54</v>
      </c>
    </row>
    <row r="45" spans="1:20" x14ac:dyDescent="0.25">
      <c r="A45">
        <v>100044</v>
      </c>
      <c r="B45" s="6">
        <v>45838</v>
      </c>
      <c r="C45">
        <v>2025</v>
      </c>
      <c r="D45" t="s">
        <v>20</v>
      </c>
      <c r="E45">
        <v>6</v>
      </c>
      <c r="F45" t="s">
        <v>48</v>
      </c>
      <c r="G45" t="s">
        <v>35</v>
      </c>
      <c r="H45" t="s">
        <v>23</v>
      </c>
      <c r="I45" t="s">
        <v>36</v>
      </c>
      <c r="J45" t="s">
        <v>54</v>
      </c>
      <c r="K45" t="s">
        <v>59</v>
      </c>
      <c r="L45" t="s">
        <v>67</v>
      </c>
      <c r="M45" s="8">
        <v>109</v>
      </c>
      <c r="N45" s="10">
        <v>95</v>
      </c>
      <c r="O45" s="10">
        <v>10355</v>
      </c>
      <c r="P45" s="10">
        <v>6104</v>
      </c>
      <c r="Q45" s="2">
        <v>4251</v>
      </c>
      <c r="R45" s="3">
        <v>0</v>
      </c>
      <c r="S45" t="s">
        <v>38</v>
      </c>
      <c r="T45" s="2">
        <v>402.41</v>
      </c>
    </row>
    <row r="46" spans="1:20" x14ac:dyDescent="0.25">
      <c r="A46">
        <v>100045</v>
      </c>
      <c r="B46" s="6">
        <v>45728</v>
      </c>
      <c r="C46">
        <v>2025</v>
      </c>
      <c r="D46" t="s">
        <v>63</v>
      </c>
      <c r="E46">
        <v>3</v>
      </c>
      <c r="F46" t="s">
        <v>64</v>
      </c>
      <c r="G46" t="s">
        <v>29</v>
      </c>
      <c r="H46" t="s">
        <v>23</v>
      </c>
      <c r="I46" t="s">
        <v>30</v>
      </c>
      <c r="J46" t="s">
        <v>50</v>
      </c>
      <c r="K46" t="s">
        <v>32</v>
      </c>
      <c r="L46" t="s">
        <v>74</v>
      </c>
      <c r="M46" s="8">
        <v>105</v>
      </c>
      <c r="N46" s="10">
        <v>25</v>
      </c>
      <c r="O46" s="10">
        <v>2415</v>
      </c>
      <c r="P46" s="10">
        <v>1470</v>
      </c>
      <c r="Q46" s="2">
        <v>945</v>
      </c>
      <c r="R46" s="3">
        <v>0.08</v>
      </c>
      <c r="S46" t="s">
        <v>70</v>
      </c>
      <c r="T46" s="2">
        <v>123.72</v>
      </c>
    </row>
    <row r="47" spans="1:20" x14ac:dyDescent="0.25">
      <c r="A47">
        <v>100046</v>
      </c>
      <c r="B47" s="6">
        <v>45262</v>
      </c>
      <c r="C47">
        <v>2023</v>
      </c>
      <c r="D47" t="s">
        <v>43</v>
      </c>
      <c r="E47">
        <v>12</v>
      </c>
      <c r="F47" t="s">
        <v>83</v>
      </c>
      <c r="G47" t="s">
        <v>22</v>
      </c>
      <c r="H47" t="s">
        <v>23</v>
      </c>
      <c r="I47" t="s">
        <v>41</v>
      </c>
      <c r="J47" t="s">
        <v>50</v>
      </c>
      <c r="K47" t="s">
        <v>32</v>
      </c>
      <c r="L47" t="s">
        <v>47</v>
      </c>
      <c r="M47" s="8">
        <v>93</v>
      </c>
      <c r="N47" s="10">
        <v>180</v>
      </c>
      <c r="O47" s="10">
        <v>15903</v>
      </c>
      <c r="P47" s="10">
        <v>10695</v>
      </c>
      <c r="Q47" s="2">
        <v>5208</v>
      </c>
      <c r="R47" s="3">
        <v>0.05</v>
      </c>
      <c r="S47" t="s">
        <v>38</v>
      </c>
      <c r="T47" s="2">
        <v>578.05999999999995</v>
      </c>
    </row>
    <row r="48" spans="1:20" x14ac:dyDescent="0.25">
      <c r="A48">
        <v>100047</v>
      </c>
      <c r="B48" s="6">
        <v>45883</v>
      </c>
      <c r="C48">
        <v>2025</v>
      </c>
      <c r="D48" t="s">
        <v>39</v>
      </c>
      <c r="E48">
        <v>8</v>
      </c>
      <c r="F48" t="s">
        <v>58</v>
      </c>
      <c r="G48" t="s">
        <v>22</v>
      </c>
      <c r="H48" t="s">
        <v>23</v>
      </c>
      <c r="I48" t="s">
        <v>24</v>
      </c>
      <c r="J48" t="s">
        <v>50</v>
      </c>
      <c r="K48" t="s">
        <v>55</v>
      </c>
      <c r="L48" t="s">
        <v>89</v>
      </c>
      <c r="M48" s="8">
        <v>74</v>
      </c>
      <c r="N48" s="10">
        <v>280</v>
      </c>
      <c r="O48" s="10">
        <v>18648</v>
      </c>
      <c r="P48" s="10">
        <v>15170</v>
      </c>
      <c r="Q48" s="2">
        <v>3478</v>
      </c>
      <c r="R48" s="3">
        <v>0.1</v>
      </c>
      <c r="S48" t="s">
        <v>38</v>
      </c>
      <c r="T48" s="2">
        <v>1208.28</v>
      </c>
    </row>
    <row r="49" spans="1:20" x14ac:dyDescent="0.25">
      <c r="A49">
        <v>100048</v>
      </c>
      <c r="B49" s="6">
        <v>44938</v>
      </c>
      <c r="C49">
        <v>2023</v>
      </c>
      <c r="D49" t="s">
        <v>63</v>
      </c>
      <c r="E49">
        <v>1</v>
      </c>
      <c r="F49" t="s">
        <v>79</v>
      </c>
      <c r="G49" t="s">
        <v>22</v>
      </c>
      <c r="H49" t="s">
        <v>23</v>
      </c>
      <c r="I49" t="s">
        <v>41</v>
      </c>
      <c r="J49" t="s">
        <v>61</v>
      </c>
      <c r="K49" t="s">
        <v>32</v>
      </c>
      <c r="L49" t="s">
        <v>74</v>
      </c>
      <c r="M49" s="8">
        <v>44</v>
      </c>
      <c r="N49" s="10">
        <v>25</v>
      </c>
      <c r="O49" s="10">
        <v>1078</v>
      </c>
      <c r="P49" s="10">
        <v>616</v>
      </c>
      <c r="Q49" s="2">
        <v>462</v>
      </c>
      <c r="R49" s="3">
        <v>0.02</v>
      </c>
      <c r="S49" t="s">
        <v>57</v>
      </c>
      <c r="T49" s="2">
        <v>55.05</v>
      </c>
    </row>
    <row r="50" spans="1:20" x14ac:dyDescent="0.25">
      <c r="A50">
        <v>100049</v>
      </c>
      <c r="B50" s="6">
        <v>45948</v>
      </c>
      <c r="C50">
        <v>2025</v>
      </c>
      <c r="D50" t="s">
        <v>43</v>
      </c>
      <c r="E50">
        <v>10</v>
      </c>
      <c r="F50" t="s">
        <v>44</v>
      </c>
      <c r="G50" t="s">
        <v>35</v>
      </c>
      <c r="H50" t="s">
        <v>23</v>
      </c>
      <c r="I50" t="s">
        <v>53</v>
      </c>
      <c r="J50" t="s">
        <v>61</v>
      </c>
      <c r="K50" t="s">
        <v>51</v>
      </c>
      <c r="L50" t="s">
        <v>72</v>
      </c>
      <c r="M50" s="8">
        <v>67</v>
      </c>
      <c r="N50" s="10">
        <v>90</v>
      </c>
      <c r="O50" s="10">
        <v>5728.5</v>
      </c>
      <c r="P50" s="10">
        <v>3484</v>
      </c>
      <c r="Q50" s="2">
        <v>2244.5</v>
      </c>
      <c r="R50" s="3">
        <v>0.05</v>
      </c>
      <c r="S50" t="s">
        <v>38</v>
      </c>
      <c r="T50" s="2">
        <v>284.08999999999997</v>
      </c>
    </row>
    <row r="51" spans="1:20" x14ac:dyDescent="0.25">
      <c r="A51">
        <v>100050</v>
      </c>
      <c r="B51" s="6">
        <v>45655</v>
      </c>
      <c r="C51">
        <v>2024</v>
      </c>
      <c r="D51" t="s">
        <v>43</v>
      </c>
      <c r="E51">
        <v>12</v>
      </c>
      <c r="F51" t="s">
        <v>83</v>
      </c>
      <c r="G51" t="s">
        <v>45</v>
      </c>
      <c r="H51" t="s">
        <v>23</v>
      </c>
      <c r="I51" t="s">
        <v>46</v>
      </c>
      <c r="J51" t="s">
        <v>42</v>
      </c>
      <c r="K51" t="s">
        <v>51</v>
      </c>
      <c r="L51" t="s">
        <v>76</v>
      </c>
      <c r="M51" s="8">
        <v>110</v>
      </c>
      <c r="N51" s="10">
        <v>40</v>
      </c>
      <c r="O51" s="10">
        <v>4180</v>
      </c>
      <c r="P51" s="10">
        <v>2530</v>
      </c>
      <c r="Q51" s="2">
        <v>1650</v>
      </c>
      <c r="R51" s="3">
        <v>0.05</v>
      </c>
      <c r="S51" t="s">
        <v>57</v>
      </c>
      <c r="T51" s="2">
        <v>248.19</v>
      </c>
    </row>
    <row r="52" spans="1:20" x14ac:dyDescent="0.25">
      <c r="A52">
        <v>100051</v>
      </c>
      <c r="B52" s="6">
        <v>45904</v>
      </c>
      <c r="C52">
        <v>2025</v>
      </c>
      <c r="D52" t="s">
        <v>39</v>
      </c>
      <c r="E52">
        <v>9</v>
      </c>
      <c r="F52" t="s">
        <v>40</v>
      </c>
      <c r="G52" t="s">
        <v>45</v>
      </c>
      <c r="H52" t="s">
        <v>23</v>
      </c>
      <c r="I52" t="s">
        <v>90</v>
      </c>
      <c r="J52" t="s">
        <v>54</v>
      </c>
      <c r="K52" t="s">
        <v>59</v>
      </c>
      <c r="L52" t="s">
        <v>67</v>
      </c>
      <c r="M52" s="8">
        <v>46</v>
      </c>
      <c r="N52" s="10">
        <v>95</v>
      </c>
      <c r="O52" s="10">
        <v>4282.6000000000004</v>
      </c>
      <c r="P52" s="10">
        <v>2576</v>
      </c>
      <c r="Q52" s="2">
        <v>1706.6</v>
      </c>
      <c r="R52" s="3">
        <v>0.02</v>
      </c>
      <c r="S52" t="s">
        <v>57</v>
      </c>
      <c r="T52" s="2">
        <v>224.37</v>
      </c>
    </row>
    <row r="53" spans="1:20" x14ac:dyDescent="0.25">
      <c r="A53">
        <v>100052</v>
      </c>
      <c r="B53" s="6">
        <v>45799</v>
      </c>
      <c r="C53">
        <v>2025</v>
      </c>
      <c r="D53" t="s">
        <v>20</v>
      </c>
      <c r="E53">
        <v>5</v>
      </c>
      <c r="F53" t="s">
        <v>21</v>
      </c>
      <c r="G53" t="s">
        <v>35</v>
      </c>
      <c r="H53" t="s">
        <v>23</v>
      </c>
      <c r="I53" t="s">
        <v>77</v>
      </c>
      <c r="J53" t="s">
        <v>25</v>
      </c>
      <c r="K53" t="s">
        <v>59</v>
      </c>
      <c r="L53" t="s">
        <v>91</v>
      </c>
      <c r="M53" s="8">
        <v>121</v>
      </c>
      <c r="N53" s="10">
        <v>140</v>
      </c>
      <c r="O53" s="10">
        <v>16431.8</v>
      </c>
      <c r="P53" s="10">
        <v>9922</v>
      </c>
      <c r="Q53" s="2">
        <v>6509.8</v>
      </c>
      <c r="R53" s="3">
        <v>0.03</v>
      </c>
      <c r="S53" t="s">
        <v>38</v>
      </c>
      <c r="T53" s="2">
        <v>515.46</v>
      </c>
    </row>
    <row r="54" spans="1:20" x14ac:dyDescent="0.25">
      <c r="A54">
        <v>100053</v>
      </c>
      <c r="B54" s="6">
        <v>45322</v>
      </c>
      <c r="C54">
        <v>2024</v>
      </c>
      <c r="D54" t="s">
        <v>63</v>
      </c>
      <c r="E54">
        <v>1</v>
      </c>
      <c r="F54" t="s">
        <v>79</v>
      </c>
      <c r="G54" t="s">
        <v>45</v>
      </c>
      <c r="H54" t="s">
        <v>23</v>
      </c>
      <c r="I54" t="s">
        <v>46</v>
      </c>
      <c r="J54" t="s">
        <v>25</v>
      </c>
      <c r="K54" t="s">
        <v>26</v>
      </c>
      <c r="L54" t="s">
        <v>27</v>
      </c>
      <c r="M54" s="8">
        <v>37</v>
      </c>
      <c r="N54" s="10">
        <v>110</v>
      </c>
      <c r="O54" s="10">
        <v>3663</v>
      </c>
      <c r="P54" s="10">
        <v>2516</v>
      </c>
      <c r="Q54" s="2">
        <v>1147</v>
      </c>
      <c r="R54" s="3">
        <v>0.1</v>
      </c>
      <c r="S54" t="s">
        <v>70</v>
      </c>
      <c r="T54" s="2">
        <v>246.46</v>
      </c>
    </row>
    <row r="55" spans="1:20" x14ac:dyDescent="0.25">
      <c r="A55">
        <v>100054</v>
      </c>
      <c r="B55" s="6">
        <v>45070</v>
      </c>
      <c r="C55">
        <v>2023</v>
      </c>
      <c r="D55" t="s">
        <v>20</v>
      </c>
      <c r="E55">
        <v>5</v>
      </c>
      <c r="F55" t="s">
        <v>21</v>
      </c>
      <c r="G55" t="s">
        <v>45</v>
      </c>
      <c r="H55" t="s">
        <v>23</v>
      </c>
      <c r="I55" t="s">
        <v>46</v>
      </c>
      <c r="J55" t="s">
        <v>31</v>
      </c>
      <c r="K55" t="s">
        <v>51</v>
      </c>
      <c r="L55" t="s">
        <v>92</v>
      </c>
      <c r="M55" s="8">
        <v>132</v>
      </c>
      <c r="N55" s="10">
        <v>50</v>
      </c>
      <c r="O55" s="10">
        <v>6468</v>
      </c>
      <c r="P55" s="10">
        <v>3828</v>
      </c>
      <c r="Q55" s="2">
        <v>2640</v>
      </c>
      <c r="R55" s="3">
        <v>0.02</v>
      </c>
      <c r="S55" t="s">
        <v>57</v>
      </c>
      <c r="T55" s="2">
        <v>433.62</v>
      </c>
    </row>
    <row r="56" spans="1:20" x14ac:dyDescent="0.25">
      <c r="A56">
        <v>100055</v>
      </c>
      <c r="B56" s="6">
        <v>45035</v>
      </c>
      <c r="C56">
        <v>2023</v>
      </c>
      <c r="D56" t="s">
        <v>20</v>
      </c>
      <c r="E56">
        <v>4</v>
      </c>
      <c r="F56" t="s">
        <v>34</v>
      </c>
      <c r="G56" t="s">
        <v>45</v>
      </c>
      <c r="H56" t="s">
        <v>23</v>
      </c>
      <c r="I56" t="s">
        <v>88</v>
      </c>
      <c r="J56" t="s">
        <v>25</v>
      </c>
      <c r="K56" t="s">
        <v>55</v>
      </c>
      <c r="L56" t="s">
        <v>84</v>
      </c>
      <c r="M56" s="8">
        <v>131</v>
      </c>
      <c r="N56" s="10">
        <v>55</v>
      </c>
      <c r="O56" s="10">
        <v>6988.85</v>
      </c>
      <c r="P56" s="10">
        <v>4847</v>
      </c>
      <c r="Q56" s="2">
        <v>2141.85</v>
      </c>
      <c r="R56" s="3">
        <v>0.03</v>
      </c>
      <c r="S56" t="s">
        <v>57</v>
      </c>
      <c r="T56" s="2">
        <v>446.05</v>
      </c>
    </row>
    <row r="57" spans="1:20" x14ac:dyDescent="0.25">
      <c r="A57">
        <v>100056</v>
      </c>
      <c r="B57" s="6">
        <v>45677</v>
      </c>
      <c r="C57">
        <v>2025</v>
      </c>
      <c r="D57" t="s">
        <v>63</v>
      </c>
      <c r="E57">
        <v>1</v>
      </c>
      <c r="F57" t="s">
        <v>79</v>
      </c>
      <c r="G57" t="s">
        <v>29</v>
      </c>
      <c r="H57" t="s">
        <v>23</v>
      </c>
      <c r="I57" t="s">
        <v>73</v>
      </c>
      <c r="J57" t="s">
        <v>42</v>
      </c>
      <c r="K57" t="s">
        <v>26</v>
      </c>
      <c r="L57" t="s">
        <v>82</v>
      </c>
      <c r="M57" s="8">
        <v>16</v>
      </c>
      <c r="N57" s="10">
        <v>105</v>
      </c>
      <c r="O57" s="10">
        <v>1629.6</v>
      </c>
      <c r="P57" s="10">
        <v>976</v>
      </c>
      <c r="Q57" s="2">
        <v>653.6</v>
      </c>
      <c r="R57" s="3">
        <v>0.03</v>
      </c>
      <c r="S57" t="s">
        <v>57</v>
      </c>
      <c r="T57" s="2">
        <v>44.39</v>
      </c>
    </row>
    <row r="58" spans="1:20" x14ac:dyDescent="0.25">
      <c r="A58">
        <v>100057</v>
      </c>
      <c r="B58" s="6">
        <v>45560</v>
      </c>
      <c r="C58">
        <v>2024</v>
      </c>
      <c r="D58" t="s">
        <v>39</v>
      </c>
      <c r="E58">
        <v>9</v>
      </c>
      <c r="F58" t="s">
        <v>40</v>
      </c>
      <c r="G58" t="s">
        <v>35</v>
      </c>
      <c r="H58" t="s">
        <v>23</v>
      </c>
      <c r="I58" t="s">
        <v>77</v>
      </c>
      <c r="J58" t="s">
        <v>66</v>
      </c>
      <c r="K58" t="s">
        <v>59</v>
      </c>
      <c r="L58" t="s">
        <v>86</v>
      </c>
      <c r="M58" s="8">
        <v>92</v>
      </c>
      <c r="N58" s="10">
        <v>160</v>
      </c>
      <c r="O58" s="10">
        <v>13984</v>
      </c>
      <c r="P58" s="10">
        <v>8740</v>
      </c>
      <c r="Q58" s="2">
        <v>5244</v>
      </c>
      <c r="R58" s="3">
        <v>0.05</v>
      </c>
      <c r="S58" t="s">
        <v>57</v>
      </c>
      <c r="T58" s="2">
        <v>873.62</v>
      </c>
    </row>
    <row r="59" spans="1:20" x14ac:dyDescent="0.25">
      <c r="A59">
        <v>100058</v>
      </c>
      <c r="B59" s="6">
        <v>45437</v>
      </c>
      <c r="C59">
        <v>2024</v>
      </c>
      <c r="D59" t="s">
        <v>20</v>
      </c>
      <c r="E59">
        <v>5</v>
      </c>
      <c r="F59" t="s">
        <v>21</v>
      </c>
      <c r="G59" t="s">
        <v>22</v>
      </c>
      <c r="H59" t="s">
        <v>23</v>
      </c>
      <c r="I59" t="s">
        <v>71</v>
      </c>
      <c r="J59" t="s">
        <v>50</v>
      </c>
      <c r="K59" t="s">
        <v>59</v>
      </c>
      <c r="L59" t="s">
        <v>91</v>
      </c>
      <c r="M59" s="8">
        <v>79</v>
      </c>
      <c r="N59" s="10">
        <v>140</v>
      </c>
      <c r="O59" s="10">
        <v>10507</v>
      </c>
      <c r="P59" s="10">
        <v>6478</v>
      </c>
      <c r="Q59" s="2">
        <v>4029</v>
      </c>
      <c r="R59" s="3">
        <v>0.05</v>
      </c>
      <c r="S59" t="s">
        <v>70</v>
      </c>
      <c r="T59" s="2">
        <v>435.95</v>
      </c>
    </row>
    <row r="60" spans="1:20" x14ac:dyDescent="0.25">
      <c r="A60">
        <v>100059</v>
      </c>
      <c r="B60" s="6">
        <v>45017</v>
      </c>
      <c r="C60">
        <v>2023</v>
      </c>
      <c r="D60" t="s">
        <v>20</v>
      </c>
      <c r="E60">
        <v>4</v>
      </c>
      <c r="F60" t="s">
        <v>34</v>
      </c>
      <c r="G60" t="s">
        <v>35</v>
      </c>
      <c r="H60" t="s">
        <v>23</v>
      </c>
      <c r="I60" t="s">
        <v>36</v>
      </c>
      <c r="J60" t="s">
        <v>50</v>
      </c>
      <c r="K60" t="s">
        <v>51</v>
      </c>
      <c r="L60" t="s">
        <v>76</v>
      </c>
      <c r="M60" s="8">
        <v>150</v>
      </c>
      <c r="N60" s="10">
        <v>40</v>
      </c>
      <c r="O60" s="10">
        <v>5820</v>
      </c>
      <c r="P60" s="10">
        <v>3450</v>
      </c>
      <c r="Q60" s="2">
        <v>2370</v>
      </c>
      <c r="R60" s="3">
        <v>0.03</v>
      </c>
      <c r="S60" t="s">
        <v>38</v>
      </c>
      <c r="T60" s="2">
        <v>270.23</v>
      </c>
    </row>
    <row r="61" spans="1:20" x14ac:dyDescent="0.25">
      <c r="A61">
        <v>100060</v>
      </c>
      <c r="B61" s="6">
        <v>45755</v>
      </c>
      <c r="C61">
        <v>2025</v>
      </c>
      <c r="D61" t="s">
        <v>20</v>
      </c>
      <c r="E61">
        <v>4</v>
      </c>
      <c r="F61" t="s">
        <v>34</v>
      </c>
      <c r="G61" t="s">
        <v>22</v>
      </c>
      <c r="H61" t="s">
        <v>23</v>
      </c>
      <c r="I61" t="s">
        <v>71</v>
      </c>
      <c r="J61" t="s">
        <v>42</v>
      </c>
      <c r="K61" t="s">
        <v>26</v>
      </c>
      <c r="L61" t="s">
        <v>69</v>
      </c>
      <c r="M61" s="8">
        <v>101</v>
      </c>
      <c r="N61" s="10">
        <v>130</v>
      </c>
      <c r="O61" s="10">
        <v>11817</v>
      </c>
      <c r="P61" s="10">
        <v>7676</v>
      </c>
      <c r="Q61" s="2">
        <v>4141</v>
      </c>
      <c r="R61" s="3">
        <v>0.1</v>
      </c>
      <c r="S61" t="s">
        <v>38</v>
      </c>
      <c r="T61" s="2">
        <v>420.9</v>
      </c>
    </row>
    <row r="62" spans="1:20" x14ac:dyDescent="0.25">
      <c r="A62">
        <v>100061</v>
      </c>
      <c r="B62" s="6">
        <v>45855</v>
      </c>
      <c r="C62">
        <v>2025</v>
      </c>
      <c r="D62" t="s">
        <v>39</v>
      </c>
      <c r="E62">
        <v>7</v>
      </c>
      <c r="F62" t="s">
        <v>75</v>
      </c>
      <c r="G62" t="s">
        <v>35</v>
      </c>
      <c r="H62" t="s">
        <v>23</v>
      </c>
      <c r="I62" t="s">
        <v>77</v>
      </c>
      <c r="J62" t="s">
        <v>61</v>
      </c>
      <c r="K62" t="s">
        <v>55</v>
      </c>
      <c r="L62" t="s">
        <v>56</v>
      </c>
      <c r="M62" s="8">
        <v>70</v>
      </c>
      <c r="N62" s="10">
        <v>320</v>
      </c>
      <c r="O62" s="10">
        <v>21952</v>
      </c>
      <c r="P62" s="10">
        <v>16450</v>
      </c>
      <c r="Q62" s="2">
        <v>5502</v>
      </c>
      <c r="R62" s="3">
        <v>0.02</v>
      </c>
      <c r="S62" t="s">
        <v>28</v>
      </c>
      <c r="T62" s="2">
        <v>381.68</v>
      </c>
    </row>
    <row r="63" spans="1:20" x14ac:dyDescent="0.25">
      <c r="A63">
        <v>100062</v>
      </c>
      <c r="B63" s="6">
        <v>44973</v>
      </c>
      <c r="C63">
        <v>2023</v>
      </c>
      <c r="D63" t="s">
        <v>63</v>
      </c>
      <c r="E63">
        <v>2</v>
      </c>
      <c r="F63" t="s">
        <v>81</v>
      </c>
      <c r="G63" t="s">
        <v>45</v>
      </c>
      <c r="H63" t="s">
        <v>23</v>
      </c>
      <c r="I63" t="s">
        <v>46</v>
      </c>
      <c r="J63" t="s">
        <v>31</v>
      </c>
      <c r="K63" t="s">
        <v>26</v>
      </c>
      <c r="L63" t="s">
        <v>69</v>
      </c>
      <c r="M63" s="8">
        <v>10</v>
      </c>
      <c r="N63" s="10">
        <v>130</v>
      </c>
      <c r="O63" s="10">
        <v>1235</v>
      </c>
      <c r="P63" s="10">
        <v>760</v>
      </c>
      <c r="Q63" s="2">
        <v>475</v>
      </c>
      <c r="R63" s="3">
        <v>0.05</v>
      </c>
      <c r="S63" t="s">
        <v>57</v>
      </c>
      <c r="T63" s="2">
        <v>58.21</v>
      </c>
    </row>
    <row r="64" spans="1:20" x14ac:dyDescent="0.25">
      <c r="A64">
        <v>100063</v>
      </c>
      <c r="B64" s="6">
        <v>45897</v>
      </c>
      <c r="C64">
        <v>2025</v>
      </c>
      <c r="D64" t="s">
        <v>39</v>
      </c>
      <c r="E64">
        <v>8</v>
      </c>
      <c r="F64" t="s">
        <v>58</v>
      </c>
      <c r="G64" t="s">
        <v>29</v>
      </c>
      <c r="H64" t="s">
        <v>23</v>
      </c>
      <c r="I64" t="s">
        <v>85</v>
      </c>
      <c r="J64" t="s">
        <v>31</v>
      </c>
      <c r="K64" t="s">
        <v>55</v>
      </c>
      <c r="L64" t="s">
        <v>56</v>
      </c>
      <c r="M64" s="8">
        <v>111</v>
      </c>
      <c r="N64" s="10">
        <v>320</v>
      </c>
      <c r="O64" s="10">
        <v>34454.400000000001</v>
      </c>
      <c r="P64" s="10">
        <v>26085</v>
      </c>
      <c r="Q64" s="2">
        <v>8369.4</v>
      </c>
      <c r="R64" s="3">
        <v>0.03</v>
      </c>
      <c r="S64" t="s">
        <v>38</v>
      </c>
      <c r="T64" s="2">
        <v>1691.96</v>
      </c>
    </row>
    <row r="65" spans="1:20" x14ac:dyDescent="0.25">
      <c r="A65">
        <v>100064</v>
      </c>
      <c r="B65" s="6">
        <v>45602</v>
      </c>
      <c r="C65">
        <v>2024</v>
      </c>
      <c r="D65" t="s">
        <v>43</v>
      </c>
      <c r="E65">
        <v>11</v>
      </c>
      <c r="F65" t="s">
        <v>87</v>
      </c>
      <c r="G65" t="s">
        <v>35</v>
      </c>
      <c r="H65" t="s">
        <v>23</v>
      </c>
      <c r="I65" t="s">
        <v>80</v>
      </c>
      <c r="J65" t="s">
        <v>31</v>
      </c>
      <c r="K65" t="s">
        <v>51</v>
      </c>
      <c r="L65" t="s">
        <v>76</v>
      </c>
      <c r="M65" s="8">
        <v>37</v>
      </c>
      <c r="N65" s="10">
        <v>40</v>
      </c>
      <c r="O65" s="10">
        <v>1480</v>
      </c>
      <c r="P65" s="10">
        <v>851</v>
      </c>
      <c r="Q65" s="2">
        <v>629</v>
      </c>
      <c r="R65" s="3">
        <v>0</v>
      </c>
      <c r="S65" t="s">
        <v>70</v>
      </c>
      <c r="T65" s="2">
        <v>101.52</v>
      </c>
    </row>
    <row r="66" spans="1:20" x14ac:dyDescent="0.25">
      <c r="A66">
        <v>100065</v>
      </c>
      <c r="B66" s="6">
        <v>45885</v>
      </c>
      <c r="C66">
        <v>2025</v>
      </c>
      <c r="D66" t="s">
        <v>39</v>
      </c>
      <c r="E66">
        <v>8</v>
      </c>
      <c r="F66" t="s">
        <v>58</v>
      </c>
      <c r="G66" t="s">
        <v>45</v>
      </c>
      <c r="H66" t="s">
        <v>23</v>
      </c>
      <c r="I66" t="s">
        <v>46</v>
      </c>
      <c r="J66" t="s">
        <v>68</v>
      </c>
      <c r="K66" t="s">
        <v>51</v>
      </c>
      <c r="L66" t="s">
        <v>72</v>
      </c>
      <c r="M66" s="8">
        <v>150</v>
      </c>
      <c r="N66" s="10">
        <v>90</v>
      </c>
      <c r="O66" s="10">
        <v>12420</v>
      </c>
      <c r="P66" s="10">
        <v>7800</v>
      </c>
      <c r="Q66" s="2">
        <v>4620</v>
      </c>
      <c r="R66" s="3">
        <v>0.08</v>
      </c>
      <c r="S66" t="s">
        <v>70</v>
      </c>
      <c r="T66" s="2">
        <v>748.18</v>
      </c>
    </row>
    <row r="67" spans="1:20" x14ac:dyDescent="0.25">
      <c r="A67">
        <v>100066</v>
      </c>
      <c r="B67" s="6">
        <v>45635</v>
      </c>
      <c r="C67">
        <v>2024</v>
      </c>
      <c r="D67" t="s">
        <v>43</v>
      </c>
      <c r="E67">
        <v>12</v>
      </c>
      <c r="F67" t="s">
        <v>83</v>
      </c>
      <c r="G67" t="s">
        <v>22</v>
      </c>
      <c r="H67" t="s">
        <v>23</v>
      </c>
      <c r="I67" t="s">
        <v>71</v>
      </c>
      <c r="J67" t="s">
        <v>54</v>
      </c>
      <c r="K67" t="s">
        <v>51</v>
      </c>
      <c r="L67" t="s">
        <v>72</v>
      </c>
      <c r="M67" s="8">
        <v>39</v>
      </c>
      <c r="N67" s="10">
        <v>90</v>
      </c>
      <c r="O67" s="10">
        <v>3229.2</v>
      </c>
      <c r="P67" s="10">
        <v>2028</v>
      </c>
      <c r="Q67" s="2">
        <v>1201.2</v>
      </c>
      <c r="R67" s="3">
        <v>0.08</v>
      </c>
      <c r="S67" t="s">
        <v>70</v>
      </c>
      <c r="T67" s="2">
        <v>56.47</v>
      </c>
    </row>
    <row r="68" spans="1:20" x14ac:dyDescent="0.25">
      <c r="A68">
        <v>100067</v>
      </c>
      <c r="B68" s="6">
        <v>45300</v>
      </c>
      <c r="C68">
        <v>2024</v>
      </c>
      <c r="D68" t="s">
        <v>63</v>
      </c>
      <c r="E68">
        <v>1</v>
      </c>
      <c r="F68" t="s">
        <v>79</v>
      </c>
      <c r="G68" t="s">
        <v>45</v>
      </c>
      <c r="H68" t="s">
        <v>23</v>
      </c>
      <c r="I68" t="s">
        <v>88</v>
      </c>
      <c r="J68" t="s">
        <v>66</v>
      </c>
      <c r="K68" t="s">
        <v>55</v>
      </c>
      <c r="L68" t="s">
        <v>93</v>
      </c>
      <c r="M68" s="8">
        <v>20</v>
      </c>
      <c r="N68" s="10">
        <v>60</v>
      </c>
      <c r="O68" s="10">
        <v>1140</v>
      </c>
      <c r="P68" s="10">
        <v>840</v>
      </c>
      <c r="Q68" s="2">
        <v>300</v>
      </c>
      <c r="R68" s="3">
        <v>0.05</v>
      </c>
      <c r="S68" t="s">
        <v>57</v>
      </c>
      <c r="T68" s="2">
        <v>40.98</v>
      </c>
    </row>
    <row r="69" spans="1:20" x14ac:dyDescent="0.25">
      <c r="A69">
        <v>100068</v>
      </c>
      <c r="B69" s="6">
        <v>45615</v>
      </c>
      <c r="C69">
        <v>2024</v>
      </c>
      <c r="D69" t="s">
        <v>43</v>
      </c>
      <c r="E69">
        <v>11</v>
      </c>
      <c r="F69" t="s">
        <v>87</v>
      </c>
      <c r="G69" t="s">
        <v>45</v>
      </c>
      <c r="H69" t="s">
        <v>23</v>
      </c>
      <c r="I69" t="s">
        <v>46</v>
      </c>
      <c r="J69" t="s">
        <v>50</v>
      </c>
      <c r="K69" t="s">
        <v>59</v>
      </c>
      <c r="L69" t="s">
        <v>67</v>
      </c>
      <c r="M69" s="8">
        <v>138</v>
      </c>
      <c r="N69" s="10">
        <v>95</v>
      </c>
      <c r="O69" s="10">
        <v>13110</v>
      </c>
      <c r="P69" s="10">
        <v>7728</v>
      </c>
      <c r="Q69" s="2">
        <v>5382</v>
      </c>
      <c r="R69" s="3">
        <v>0</v>
      </c>
      <c r="S69" t="s">
        <v>57</v>
      </c>
      <c r="T69" s="2">
        <v>250.99</v>
      </c>
    </row>
    <row r="70" spans="1:20" x14ac:dyDescent="0.25">
      <c r="A70">
        <v>100069</v>
      </c>
      <c r="B70" s="6">
        <v>45697</v>
      </c>
      <c r="C70">
        <v>2025</v>
      </c>
      <c r="D70" t="s">
        <v>63</v>
      </c>
      <c r="E70">
        <v>2</v>
      </c>
      <c r="F70" t="s">
        <v>81</v>
      </c>
      <c r="G70" t="s">
        <v>45</v>
      </c>
      <c r="H70" t="s">
        <v>23</v>
      </c>
      <c r="I70" t="s">
        <v>90</v>
      </c>
      <c r="J70" t="s">
        <v>66</v>
      </c>
      <c r="K70" t="s">
        <v>26</v>
      </c>
      <c r="L70" t="s">
        <v>27</v>
      </c>
      <c r="M70" s="8">
        <v>92</v>
      </c>
      <c r="N70" s="10">
        <v>110</v>
      </c>
      <c r="O70" s="10">
        <v>9917.6</v>
      </c>
      <c r="P70" s="10">
        <v>6256</v>
      </c>
      <c r="Q70" s="2">
        <v>3661.6</v>
      </c>
      <c r="R70" s="3">
        <v>0.02</v>
      </c>
      <c r="S70" t="s">
        <v>38</v>
      </c>
      <c r="T70" s="2">
        <v>394.52</v>
      </c>
    </row>
    <row r="71" spans="1:20" x14ac:dyDescent="0.25">
      <c r="A71">
        <v>100070</v>
      </c>
      <c r="B71" s="6">
        <v>45611</v>
      </c>
      <c r="C71">
        <v>2024</v>
      </c>
      <c r="D71" t="s">
        <v>43</v>
      </c>
      <c r="E71">
        <v>11</v>
      </c>
      <c r="F71" t="s">
        <v>87</v>
      </c>
      <c r="G71" t="s">
        <v>45</v>
      </c>
      <c r="H71" t="s">
        <v>23</v>
      </c>
      <c r="I71" t="s">
        <v>62</v>
      </c>
      <c r="J71" t="s">
        <v>54</v>
      </c>
      <c r="K71" t="s">
        <v>51</v>
      </c>
      <c r="L71" t="s">
        <v>92</v>
      </c>
      <c r="M71" s="8">
        <v>41</v>
      </c>
      <c r="N71" s="10">
        <v>50</v>
      </c>
      <c r="O71" s="10">
        <v>2050</v>
      </c>
      <c r="P71" s="10">
        <v>1189</v>
      </c>
      <c r="Q71" s="2">
        <v>861</v>
      </c>
      <c r="R71" s="3">
        <v>0</v>
      </c>
      <c r="S71" t="s">
        <v>57</v>
      </c>
      <c r="T71" s="2">
        <v>61.04</v>
      </c>
    </row>
    <row r="72" spans="1:20" x14ac:dyDescent="0.25">
      <c r="A72">
        <v>100071</v>
      </c>
      <c r="B72" s="6">
        <v>45600</v>
      </c>
      <c r="C72">
        <v>2024</v>
      </c>
      <c r="D72" t="s">
        <v>43</v>
      </c>
      <c r="E72">
        <v>11</v>
      </c>
      <c r="F72" t="s">
        <v>87</v>
      </c>
      <c r="G72" t="s">
        <v>35</v>
      </c>
      <c r="H72" t="s">
        <v>23</v>
      </c>
      <c r="I72" t="s">
        <v>36</v>
      </c>
      <c r="J72" t="s">
        <v>66</v>
      </c>
      <c r="K72" t="s">
        <v>26</v>
      </c>
      <c r="L72" t="s">
        <v>78</v>
      </c>
      <c r="M72" s="8">
        <v>21</v>
      </c>
      <c r="N72" s="10">
        <v>95</v>
      </c>
      <c r="O72" s="10">
        <v>1835.4</v>
      </c>
      <c r="P72" s="10">
        <v>1218</v>
      </c>
      <c r="Q72" s="2">
        <v>617.4</v>
      </c>
      <c r="R72" s="3">
        <v>0.08</v>
      </c>
      <c r="S72" t="s">
        <v>28</v>
      </c>
      <c r="T72" s="2">
        <v>125.25</v>
      </c>
    </row>
    <row r="73" spans="1:20" x14ac:dyDescent="0.25">
      <c r="A73">
        <v>100072</v>
      </c>
      <c r="B73" s="6">
        <v>45327</v>
      </c>
      <c r="C73">
        <v>2024</v>
      </c>
      <c r="D73" t="s">
        <v>63</v>
      </c>
      <c r="E73">
        <v>2</v>
      </c>
      <c r="F73" t="s">
        <v>81</v>
      </c>
      <c r="G73" t="s">
        <v>29</v>
      </c>
      <c r="H73" t="s">
        <v>23</v>
      </c>
      <c r="I73" t="s">
        <v>30</v>
      </c>
      <c r="J73" t="s">
        <v>54</v>
      </c>
      <c r="K73" t="s">
        <v>32</v>
      </c>
      <c r="L73" t="s">
        <v>74</v>
      </c>
      <c r="M73" s="8">
        <v>94</v>
      </c>
      <c r="N73" s="10">
        <v>25</v>
      </c>
      <c r="O73" s="10">
        <v>2232.5</v>
      </c>
      <c r="P73" s="10">
        <v>1316</v>
      </c>
      <c r="Q73" s="2">
        <v>916.5</v>
      </c>
      <c r="R73" s="3">
        <v>0.05</v>
      </c>
      <c r="S73" t="s">
        <v>38</v>
      </c>
      <c r="T73" s="2">
        <v>132.34</v>
      </c>
    </row>
    <row r="74" spans="1:20" x14ac:dyDescent="0.25">
      <c r="A74">
        <v>100073</v>
      </c>
      <c r="B74" s="6">
        <v>45690</v>
      </c>
      <c r="C74">
        <v>2025</v>
      </c>
      <c r="D74" t="s">
        <v>63</v>
      </c>
      <c r="E74">
        <v>2</v>
      </c>
      <c r="F74" t="s">
        <v>81</v>
      </c>
      <c r="G74" t="s">
        <v>35</v>
      </c>
      <c r="H74" t="s">
        <v>23</v>
      </c>
      <c r="I74" t="s">
        <v>36</v>
      </c>
      <c r="J74" t="s">
        <v>68</v>
      </c>
      <c r="K74" t="s">
        <v>59</v>
      </c>
      <c r="L74" t="s">
        <v>86</v>
      </c>
      <c r="M74" s="8">
        <v>39</v>
      </c>
      <c r="N74" s="10">
        <v>160</v>
      </c>
      <c r="O74" s="10">
        <v>6052.8</v>
      </c>
      <c r="P74" s="10">
        <v>3705</v>
      </c>
      <c r="Q74" s="2">
        <v>2347.8000000000002</v>
      </c>
      <c r="R74" s="3">
        <v>0.03</v>
      </c>
      <c r="S74" t="s">
        <v>38</v>
      </c>
      <c r="T74" s="2">
        <v>121.09</v>
      </c>
    </row>
    <row r="75" spans="1:20" x14ac:dyDescent="0.25">
      <c r="A75">
        <v>100074</v>
      </c>
      <c r="B75" s="6">
        <v>45092</v>
      </c>
      <c r="C75">
        <v>2023</v>
      </c>
      <c r="D75" t="s">
        <v>20</v>
      </c>
      <c r="E75">
        <v>6</v>
      </c>
      <c r="F75" t="s">
        <v>48</v>
      </c>
      <c r="G75" t="s">
        <v>45</v>
      </c>
      <c r="H75" t="s">
        <v>23</v>
      </c>
      <c r="I75" t="s">
        <v>62</v>
      </c>
      <c r="J75" t="s">
        <v>50</v>
      </c>
      <c r="K75" t="s">
        <v>55</v>
      </c>
      <c r="L75" t="s">
        <v>84</v>
      </c>
      <c r="M75" s="8">
        <v>115</v>
      </c>
      <c r="N75" s="10">
        <v>55</v>
      </c>
      <c r="O75" s="10">
        <v>5819</v>
      </c>
      <c r="P75" s="10">
        <v>4255</v>
      </c>
      <c r="Q75" s="2">
        <v>1564</v>
      </c>
      <c r="R75" s="3">
        <v>0.08</v>
      </c>
      <c r="S75" t="s">
        <v>70</v>
      </c>
      <c r="T75" s="2">
        <v>391.17</v>
      </c>
    </row>
    <row r="76" spans="1:20" x14ac:dyDescent="0.25">
      <c r="A76">
        <v>100075</v>
      </c>
      <c r="B76" s="6">
        <v>45711</v>
      </c>
      <c r="C76">
        <v>2025</v>
      </c>
      <c r="D76" t="s">
        <v>63</v>
      </c>
      <c r="E76">
        <v>2</v>
      </c>
      <c r="F76" t="s">
        <v>81</v>
      </c>
      <c r="G76" t="s">
        <v>29</v>
      </c>
      <c r="H76" t="s">
        <v>23</v>
      </c>
      <c r="I76" t="s">
        <v>49</v>
      </c>
      <c r="J76" t="s">
        <v>25</v>
      </c>
      <c r="K76" t="s">
        <v>51</v>
      </c>
      <c r="L76" t="s">
        <v>76</v>
      </c>
      <c r="M76" s="8">
        <v>15</v>
      </c>
      <c r="N76" s="10">
        <v>40</v>
      </c>
      <c r="O76" s="10">
        <v>582</v>
      </c>
      <c r="P76" s="10">
        <v>345</v>
      </c>
      <c r="Q76" s="2">
        <v>237</v>
      </c>
      <c r="R76" s="3">
        <v>0.03</v>
      </c>
      <c r="S76" t="s">
        <v>70</v>
      </c>
      <c r="T76" s="2">
        <v>19.25</v>
      </c>
    </row>
    <row r="77" spans="1:20" x14ac:dyDescent="0.25">
      <c r="A77">
        <v>100076</v>
      </c>
      <c r="B77" s="6">
        <v>45037</v>
      </c>
      <c r="C77">
        <v>2023</v>
      </c>
      <c r="D77" t="s">
        <v>20</v>
      </c>
      <c r="E77">
        <v>4</v>
      </c>
      <c r="F77" t="s">
        <v>34</v>
      </c>
      <c r="G77" t="s">
        <v>45</v>
      </c>
      <c r="H77" t="s">
        <v>23</v>
      </c>
      <c r="I77" t="s">
        <v>90</v>
      </c>
      <c r="J77" t="s">
        <v>50</v>
      </c>
      <c r="K77" t="s">
        <v>32</v>
      </c>
      <c r="L77" t="s">
        <v>74</v>
      </c>
      <c r="M77" s="8">
        <v>127</v>
      </c>
      <c r="N77" s="10">
        <v>25</v>
      </c>
      <c r="O77" s="10">
        <v>3016.25</v>
      </c>
      <c r="P77" s="10">
        <v>1778</v>
      </c>
      <c r="Q77" s="2">
        <v>1238.25</v>
      </c>
      <c r="R77" s="3">
        <v>0.05</v>
      </c>
      <c r="S77" t="s">
        <v>38</v>
      </c>
      <c r="T77" s="2">
        <v>75.12</v>
      </c>
    </row>
    <row r="78" spans="1:20" x14ac:dyDescent="0.25">
      <c r="A78">
        <v>100077</v>
      </c>
      <c r="B78" s="6">
        <v>45593</v>
      </c>
      <c r="C78">
        <v>2024</v>
      </c>
      <c r="D78" t="s">
        <v>43</v>
      </c>
      <c r="E78">
        <v>10</v>
      </c>
      <c r="F78" t="s">
        <v>44</v>
      </c>
      <c r="G78" t="s">
        <v>45</v>
      </c>
      <c r="H78" t="s">
        <v>23</v>
      </c>
      <c r="I78" t="s">
        <v>62</v>
      </c>
      <c r="J78" t="s">
        <v>50</v>
      </c>
      <c r="K78" t="s">
        <v>32</v>
      </c>
      <c r="L78" t="s">
        <v>33</v>
      </c>
      <c r="M78" s="8">
        <v>60</v>
      </c>
      <c r="N78" s="10">
        <v>60</v>
      </c>
      <c r="O78" s="10">
        <v>3600</v>
      </c>
      <c r="P78" s="10">
        <v>2280</v>
      </c>
      <c r="Q78" s="2">
        <v>1320</v>
      </c>
      <c r="R78" s="3">
        <v>0</v>
      </c>
      <c r="S78" t="s">
        <v>38</v>
      </c>
      <c r="T78" s="2">
        <v>87.45</v>
      </c>
    </row>
    <row r="79" spans="1:20" x14ac:dyDescent="0.25">
      <c r="A79">
        <v>100078</v>
      </c>
      <c r="B79" s="6">
        <v>45460</v>
      </c>
      <c r="C79">
        <v>2024</v>
      </c>
      <c r="D79" t="s">
        <v>20</v>
      </c>
      <c r="E79">
        <v>6</v>
      </c>
      <c r="F79" t="s">
        <v>48</v>
      </c>
      <c r="G79" t="s">
        <v>45</v>
      </c>
      <c r="H79" t="s">
        <v>23</v>
      </c>
      <c r="I79" t="s">
        <v>88</v>
      </c>
      <c r="J79" t="s">
        <v>66</v>
      </c>
      <c r="K79" t="s">
        <v>32</v>
      </c>
      <c r="L79" t="s">
        <v>37</v>
      </c>
      <c r="M79" s="8">
        <v>21</v>
      </c>
      <c r="N79" s="10">
        <v>120</v>
      </c>
      <c r="O79" s="10">
        <v>2469.6</v>
      </c>
      <c r="P79" s="10">
        <v>1638</v>
      </c>
      <c r="Q79" s="2">
        <v>831.6</v>
      </c>
      <c r="R79" s="3">
        <v>0.02</v>
      </c>
      <c r="S79" t="s">
        <v>38</v>
      </c>
      <c r="T79" s="2">
        <v>86.52</v>
      </c>
    </row>
    <row r="80" spans="1:20" x14ac:dyDescent="0.25">
      <c r="A80">
        <v>100079</v>
      </c>
      <c r="B80" s="6">
        <v>45720</v>
      </c>
      <c r="C80">
        <v>2025</v>
      </c>
      <c r="D80" t="s">
        <v>63</v>
      </c>
      <c r="E80">
        <v>3</v>
      </c>
      <c r="F80" t="s">
        <v>64</v>
      </c>
      <c r="G80" t="s">
        <v>45</v>
      </c>
      <c r="H80" t="s">
        <v>23</v>
      </c>
      <c r="I80" t="s">
        <v>90</v>
      </c>
      <c r="J80" t="s">
        <v>61</v>
      </c>
      <c r="K80" t="s">
        <v>59</v>
      </c>
      <c r="L80" t="s">
        <v>67</v>
      </c>
      <c r="M80" s="8">
        <v>65</v>
      </c>
      <c r="N80" s="10">
        <v>95</v>
      </c>
      <c r="O80" s="10">
        <v>5681</v>
      </c>
      <c r="P80" s="10">
        <v>3640</v>
      </c>
      <c r="Q80" s="2">
        <v>2041</v>
      </c>
      <c r="R80" s="3">
        <v>0.08</v>
      </c>
      <c r="S80" t="s">
        <v>38</v>
      </c>
      <c r="T80" s="2">
        <v>372.95</v>
      </c>
    </row>
    <row r="81" spans="1:20" x14ac:dyDescent="0.25">
      <c r="A81">
        <v>100080</v>
      </c>
      <c r="B81" s="6">
        <v>45730</v>
      </c>
      <c r="C81">
        <v>2025</v>
      </c>
      <c r="D81" t="s">
        <v>63</v>
      </c>
      <c r="E81">
        <v>3</v>
      </c>
      <c r="F81" t="s">
        <v>64</v>
      </c>
      <c r="G81" t="s">
        <v>45</v>
      </c>
      <c r="H81" t="s">
        <v>23</v>
      </c>
      <c r="I81" t="s">
        <v>62</v>
      </c>
      <c r="J81" t="s">
        <v>68</v>
      </c>
      <c r="K81" t="s">
        <v>26</v>
      </c>
      <c r="L81" t="s">
        <v>27</v>
      </c>
      <c r="M81" s="8">
        <v>56</v>
      </c>
      <c r="N81" s="10">
        <v>110</v>
      </c>
      <c r="O81" s="10">
        <v>5975.2</v>
      </c>
      <c r="P81" s="10">
        <v>3808</v>
      </c>
      <c r="Q81" s="2">
        <v>2167.1999999999998</v>
      </c>
      <c r="R81" s="3">
        <v>0.03</v>
      </c>
      <c r="S81" t="s">
        <v>57</v>
      </c>
      <c r="T81" s="2">
        <v>248.86</v>
      </c>
    </row>
    <row r="82" spans="1:20" x14ac:dyDescent="0.25">
      <c r="A82">
        <v>100081</v>
      </c>
      <c r="B82" s="6">
        <v>45004</v>
      </c>
      <c r="C82">
        <v>2023</v>
      </c>
      <c r="D82" t="s">
        <v>63</v>
      </c>
      <c r="E82">
        <v>3</v>
      </c>
      <c r="F82" t="s">
        <v>64</v>
      </c>
      <c r="G82" t="s">
        <v>29</v>
      </c>
      <c r="H82" t="s">
        <v>23</v>
      </c>
      <c r="I82" t="s">
        <v>85</v>
      </c>
      <c r="J82" t="s">
        <v>54</v>
      </c>
      <c r="K82" t="s">
        <v>26</v>
      </c>
      <c r="L82" t="s">
        <v>78</v>
      </c>
      <c r="M82" s="8">
        <v>65</v>
      </c>
      <c r="N82" s="10">
        <v>95</v>
      </c>
      <c r="O82" s="10">
        <v>6175</v>
      </c>
      <c r="P82" s="10">
        <v>3770</v>
      </c>
      <c r="Q82" s="2">
        <v>2405</v>
      </c>
      <c r="R82" s="3">
        <v>0</v>
      </c>
      <c r="S82" t="s">
        <v>70</v>
      </c>
      <c r="T82" s="2">
        <v>326</v>
      </c>
    </row>
    <row r="83" spans="1:20" x14ac:dyDescent="0.25">
      <c r="A83">
        <v>100082</v>
      </c>
      <c r="B83" s="6">
        <v>45732</v>
      </c>
      <c r="C83">
        <v>2025</v>
      </c>
      <c r="D83" t="s">
        <v>63</v>
      </c>
      <c r="E83">
        <v>3</v>
      </c>
      <c r="F83" t="s">
        <v>64</v>
      </c>
      <c r="G83" t="s">
        <v>22</v>
      </c>
      <c r="H83" t="s">
        <v>23</v>
      </c>
      <c r="I83" t="s">
        <v>24</v>
      </c>
      <c r="J83" t="s">
        <v>42</v>
      </c>
      <c r="K83" t="s">
        <v>51</v>
      </c>
      <c r="L83" t="s">
        <v>92</v>
      </c>
      <c r="M83" s="8">
        <v>128</v>
      </c>
      <c r="N83" s="10">
        <v>50</v>
      </c>
      <c r="O83" s="10">
        <v>6208</v>
      </c>
      <c r="P83" s="10">
        <v>3712</v>
      </c>
      <c r="Q83" s="2">
        <v>2496</v>
      </c>
      <c r="R83" s="3">
        <v>0.03</v>
      </c>
      <c r="S83" t="s">
        <v>57</v>
      </c>
      <c r="T83" s="2">
        <v>99.97</v>
      </c>
    </row>
    <row r="84" spans="1:20" x14ac:dyDescent="0.25">
      <c r="A84">
        <v>100083</v>
      </c>
      <c r="B84" s="6">
        <v>45012</v>
      </c>
      <c r="C84">
        <v>2023</v>
      </c>
      <c r="D84" t="s">
        <v>63</v>
      </c>
      <c r="E84">
        <v>3</v>
      </c>
      <c r="F84" t="s">
        <v>64</v>
      </c>
      <c r="G84" t="s">
        <v>35</v>
      </c>
      <c r="H84" t="s">
        <v>23</v>
      </c>
      <c r="I84" t="s">
        <v>36</v>
      </c>
      <c r="J84" t="s">
        <v>25</v>
      </c>
      <c r="K84" t="s">
        <v>32</v>
      </c>
      <c r="L84" t="s">
        <v>37</v>
      </c>
      <c r="M84" s="8">
        <v>22</v>
      </c>
      <c r="N84" s="10">
        <v>120</v>
      </c>
      <c r="O84" s="10">
        <v>2508</v>
      </c>
      <c r="P84" s="10">
        <v>1716</v>
      </c>
      <c r="Q84" s="2">
        <v>792</v>
      </c>
      <c r="R84" s="3">
        <v>0.05</v>
      </c>
      <c r="S84" t="s">
        <v>70</v>
      </c>
      <c r="T84" s="2">
        <v>131.30000000000001</v>
      </c>
    </row>
    <row r="85" spans="1:20" x14ac:dyDescent="0.25">
      <c r="A85">
        <v>100084</v>
      </c>
      <c r="B85" s="6">
        <v>45037</v>
      </c>
      <c r="C85">
        <v>2023</v>
      </c>
      <c r="D85" t="s">
        <v>20</v>
      </c>
      <c r="E85">
        <v>4</v>
      </c>
      <c r="F85" t="s">
        <v>34</v>
      </c>
      <c r="G85" t="s">
        <v>29</v>
      </c>
      <c r="H85" t="s">
        <v>23</v>
      </c>
      <c r="I85" t="s">
        <v>30</v>
      </c>
      <c r="J85" t="s">
        <v>68</v>
      </c>
      <c r="K85" t="s">
        <v>26</v>
      </c>
      <c r="L85" t="s">
        <v>69</v>
      </c>
      <c r="M85" s="8">
        <v>17</v>
      </c>
      <c r="N85" s="10">
        <v>130</v>
      </c>
      <c r="O85" s="10">
        <v>2099.5</v>
      </c>
      <c r="P85" s="10">
        <v>1292</v>
      </c>
      <c r="Q85" s="2">
        <v>807.5</v>
      </c>
      <c r="R85" s="3">
        <v>0.05</v>
      </c>
      <c r="S85" t="s">
        <v>38</v>
      </c>
      <c r="T85" s="2">
        <v>96.67</v>
      </c>
    </row>
    <row r="86" spans="1:20" x14ac:dyDescent="0.25">
      <c r="A86">
        <v>100085</v>
      </c>
      <c r="B86" s="6">
        <v>45618</v>
      </c>
      <c r="C86">
        <v>2024</v>
      </c>
      <c r="D86" t="s">
        <v>43</v>
      </c>
      <c r="E86">
        <v>11</v>
      </c>
      <c r="F86" t="s">
        <v>87</v>
      </c>
      <c r="G86" t="s">
        <v>35</v>
      </c>
      <c r="H86" t="s">
        <v>23</v>
      </c>
      <c r="I86" t="s">
        <v>80</v>
      </c>
      <c r="J86" t="s">
        <v>42</v>
      </c>
      <c r="K86" t="s">
        <v>59</v>
      </c>
      <c r="L86" t="s">
        <v>91</v>
      </c>
      <c r="M86" s="8">
        <v>68</v>
      </c>
      <c r="N86" s="10">
        <v>140</v>
      </c>
      <c r="O86" s="10">
        <v>8568</v>
      </c>
      <c r="P86" s="10">
        <v>5576</v>
      </c>
      <c r="Q86" s="2">
        <v>2992</v>
      </c>
      <c r="R86" s="3">
        <v>0.1</v>
      </c>
      <c r="S86" t="s">
        <v>38</v>
      </c>
      <c r="T86" s="2">
        <v>413.99</v>
      </c>
    </row>
    <row r="87" spans="1:20" x14ac:dyDescent="0.25">
      <c r="A87">
        <v>100086</v>
      </c>
      <c r="B87" s="6">
        <v>45203</v>
      </c>
      <c r="C87">
        <v>2023</v>
      </c>
      <c r="D87" t="s">
        <v>43</v>
      </c>
      <c r="E87">
        <v>10</v>
      </c>
      <c r="F87" t="s">
        <v>44</v>
      </c>
      <c r="G87" t="s">
        <v>35</v>
      </c>
      <c r="H87" t="s">
        <v>23</v>
      </c>
      <c r="I87" t="s">
        <v>36</v>
      </c>
      <c r="J87" t="s">
        <v>54</v>
      </c>
      <c r="K87" t="s">
        <v>51</v>
      </c>
      <c r="L87" t="s">
        <v>72</v>
      </c>
      <c r="M87" s="8">
        <v>103</v>
      </c>
      <c r="N87" s="10">
        <v>90</v>
      </c>
      <c r="O87" s="10">
        <v>9084.6</v>
      </c>
      <c r="P87" s="10">
        <v>5356</v>
      </c>
      <c r="Q87" s="2">
        <v>3728.6</v>
      </c>
      <c r="R87" s="3">
        <v>0.02</v>
      </c>
      <c r="S87" t="s">
        <v>38</v>
      </c>
      <c r="T87" s="2">
        <v>278.72000000000003</v>
      </c>
    </row>
    <row r="88" spans="1:20" x14ac:dyDescent="0.25">
      <c r="A88">
        <v>100087</v>
      </c>
      <c r="B88" s="6">
        <v>45685</v>
      </c>
      <c r="C88">
        <v>2025</v>
      </c>
      <c r="D88" t="s">
        <v>63</v>
      </c>
      <c r="E88">
        <v>1</v>
      </c>
      <c r="F88" t="s">
        <v>79</v>
      </c>
      <c r="G88" t="s">
        <v>22</v>
      </c>
      <c r="H88" t="s">
        <v>23</v>
      </c>
      <c r="I88" t="s">
        <v>24</v>
      </c>
      <c r="J88" t="s">
        <v>50</v>
      </c>
      <c r="K88" t="s">
        <v>32</v>
      </c>
      <c r="L88" t="s">
        <v>37</v>
      </c>
      <c r="M88" s="8">
        <v>45</v>
      </c>
      <c r="N88" s="10">
        <v>120</v>
      </c>
      <c r="O88" s="10">
        <v>4860</v>
      </c>
      <c r="P88" s="10">
        <v>3510</v>
      </c>
      <c r="Q88" s="2">
        <v>1350</v>
      </c>
      <c r="R88" s="3">
        <v>0.1</v>
      </c>
      <c r="S88" t="s">
        <v>28</v>
      </c>
      <c r="T88" s="2">
        <v>312.56</v>
      </c>
    </row>
    <row r="89" spans="1:20" x14ac:dyDescent="0.25">
      <c r="A89">
        <v>100088</v>
      </c>
      <c r="B89" s="6">
        <v>44930</v>
      </c>
      <c r="C89">
        <v>2023</v>
      </c>
      <c r="D89" t="s">
        <v>63</v>
      </c>
      <c r="E89">
        <v>1</v>
      </c>
      <c r="F89" t="s">
        <v>79</v>
      </c>
      <c r="G89" t="s">
        <v>22</v>
      </c>
      <c r="H89" t="s">
        <v>23</v>
      </c>
      <c r="I89" t="s">
        <v>41</v>
      </c>
      <c r="J89" t="s">
        <v>31</v>
      </c>
      <c r="K89" t="s">
        <v>55</v>
      </c>
      <c r="L89" t="s">
        <v>84</v>
      </c>
      <c r="M89" s="8">
        <v>71</v>
      </c>
      <c r="N89" s="10">
        <v>55</v>
      </c>
      <c r="O89" s="10">
        <v>3514.5</v>
      </c>
      <c r="P89" s="10">
        <v>2627</v>
      </c>
      <c r="Q89" s="2">
        <v>887.5</v>
      </c>
      <c r="R89" s="3">
        <v>0.1</v>
      </c>
      <c r="S89" t="s">
        <v>70</v>
      </c>
      <c r="T89" s="2">
        <v>160.34</v>
      </c>
    </row>
    <row r="90" spans="1:20" x14ac:dyDescent="0.25">
      <c r="A90">
        <v>100089</v>
      </c>
      <c r="B90" s="6">
        <v>45099</v>
      </c>
      <c r="C90">
        <v>2023</v>
      </c>
      <c r="D90" t="s">
        <v>20</v>
      </c>
      <c r="E90">
        <v>6</v>
      </c>
      <c r="F90" t="s">
        <v>48</v>
      </c>
      <c r="G90" t="s">
        <v>29</v>
      </c>
      <c r="H90" t="s">
        <v>23</v>
      </c>
      <c r="I90" t="s">
        <v>73</v>
      </c>
      <c r="J90" t="s">
        <v>42</v>
      </c>
      <c r="K90" t="s">
        <v>32</v>
      </c>
      <c r="L90" t="s">
        <v>33</v>
      </c>
      <c r="M90" s="8">
        <v>77</v>
      </c>
      <c r="N90" s="10">
        <v>60</v>
      </c>
      <c r="O90" s="10">
        <v>4481.3999999999996</v>
      </c>
      <c r="P90" s="10">
        <v>2926</v>
      </c>
      <c r="Q90" s="2">
        <v>1555.4</v>
      </c>
      <c r="R90" s="3">
        <v>0.03</v>
      </c>
      <c r="S90" t="s">
        <v>70</v>
      </c>
      <c r="T90" s="2">
        <v>192.34</v>
      </c>
    </row>
    <row r="91" spans="1:20" x14ac:dyDescent="0.25">
      <c r="A91">
        <v>100090</v>
      </c>
      <c r="B91" s="6">
        <v>44927</v>
      </c>
      <c r="C91">
        <v>2023</v>
      </c>
      <c r="D91" t="s">
        <v>63</v>
      </c>
      <c r="E91">
        <v>1</v>
      </c>
      <c r="F91" t="s">
        <v>79</v>
      </c>
      <c r="G91" t="s">
        <v>35</v>
      </c>
      <c r="H91" t="s">
        <v>23</v>
      </c>
      <c r="I91" t="s">
        <v>36</v>
      </c>
      <c r="J91" t="s">
        <v>25</v>
      </c>
      <c r="K91" t="s">
        <v>51</v>
      </c>
      <c r="L91" t="s">
        <v>92</v>
      </c>
      <c r="M91" s="8">
        <v>135</v>
      </c>
      <c r="N91" s="10">
        <v>50</v>
      </c>
      <c r="O91" s="10">
        <v>6750</v>
      </c>
      <c r="P91" s="10">
        <v>3915</v>
      </c>
      <c r="Q91" s="2">
        <v>2835</v>
      </c>
      <c r="R91" s="3">
        <v>0</v>
      </c>
      <c r="S91" t="s">
        <v>70</v>
      </c>
      <c r="T91" s="2">
        <v>279.87</v>
      </c>
    </row>
    <row r="92" spans="1:20" x14ac:dyDescent="0.25">
      <c r="A92">
        <v>100091</v>
      </c>
      <c r="B92" s="6">
        <v>45828</v>
      </c>
      <c r="C92">
        <v>2025</v>
      </c>
      <c r="D92" t="s">
        <v>20</v>
      </c>
      <c r="E92">
        <v>6</v>
      </c>
      <c r="F92" t="s">
        <v>48</v>
      </c>
      <c r="G92" t="s">
        <v>35</v>
      </c>
      <c r="H92" t="s">
        <v>23</v>
      </c>
      <c r="I92" t="s">
        <v>80</v>
      </c>
      <c r="J92" t="s">
        <v>68</v>
      </c>
      <c r="K92" t="s">
        <v>32</v>
      </c>
      <c r="L92" t="s">
        <v>74</v>
      </c>
      <c r="M92" s="8">
        <v>147</v>
      </c>
      <c r="N92" s="10">
        <v>25</v>
      </c>
      <c r="O92" s="10">
        <v>3307.5</v>
      </c>
      <c r="P92" s="10">
        <v>2058</v>
      </c>
      <c r="Q92" s="2">
        <v>1249.5</v>
      </c>
      <c r="R92" s="3">
        <v>0.1</v>
      </c>
      <c r="S92" t="s">
        <v>38</v>
      </c>
      <c r="T92" s="2">
        <v>108.25</v>
      </c>
    </row>
    <row r="93" spans="1:20" x14ac:dyDescent="0.25">
      <c r="A93">
        <v>100092</v>
      </c>
      <c r="B93" s="6">
        <v>45255</v>
      </c>
      <c r="C93">
        <v>2023</v>
      </c>
      <c r="D93" t="s">
        <v>43</v>
      </c>
      <c r="E93">
        <v>11</v>
      </c>
      <c r="F93" t="s">
        <v>87</v>
      </c>
      <c r="G93" t="s">
        <v>45</v>
      </c>
      <c r="H93" t="s">
        <v>23</v>
      </c>
      <c r="I93" t="s">
        <v>46</v>
      </c>
      <c r="J93" t="s">
        <v>42</v>
      </c>
      <c r="K93" t="s">
        <v>59</v>
      </c>
      <c r="L93" t="s">
        <v>91</v>
      </c>
      <c r="M93" s="8">
        <v>47</v>
      </c>
      <c r="N93" s="10">
        <v>140</v>
      </c>
      <c r="O93" s="10">
        <v>6382.6</v>
      </c>
      <c r="P93" s="10">
        <v>3854</v>
      </c>
      <c r="Q93" s="2">
        <v>2528.6</v>
      </c>
      <c r="R93" s="3">
        <v>0.03</v>
      </c>
      <c r="S93" t="s">
        <v>28</v>
      </c>
      <c r="T93" s="2">
        <v>218.21</v>
      </c>
    </row>
    <row r="94" spans="1:20" x14ac:dyDescent="0.25">
      <c r="A94">
        <v>100093</v>
      </c>
      <c r="B94" s="6">
        <v>45162</v>
      </c>
      <c r="C94">
        <v>2023</v>
      </c>
      <c r="D94" t="s">
        <v>39</v>
      </c>
      <c r="E94">
        <v>8</v>
      </c>
      <c r="F94" t="s">
        <v>58</v>
      </c>
      <c r="G94" t="s">
        <v>35</v>
      </c>
      <c r="H94" t="s">
        <v>23</v>
      </c>
      <c r="I94" t="s">
        <v>36</v>
      </c>
      <c r="J94" t="s">
        <v>42</v>
      </c>
      <c r="K94" t="s">
        <v>55</v>
      </c>
      <c r="L94" t="s">
        <v>89</v>
      </c>
      <c r="M94" s="8">
        <v>146</v>
      </c>
      <c r="N94" s="10">
        <v>280</v>
      </c>
      <c r="O94" s="10">
        <v>40062.400000000001</v>
      </c>
      <c r="P94" s="10">
        <v>29930</v>
      </c>
      <c r="Q94" s="2">
        <v>10132.4</v>
      </c>
      <c r="R94" s="3">
        <v>0.02</v>
      </c>
      <c r="S94" t="s">
        <v>57</v>
      </c>
      <c r="T94" s="2">
        <v>1436.54</v>
      </c>
    </row>
    <row r="95" spans="1:20" x14ac:dyDescent="0.25">
      <c r="A95">
        <v>100094</v>
      </c>
      <c r="B95" s="6">
        <v>45844</v>
      </c>
      <c r="C95">
        <v>2025</v>
      </c>
      <c r="D95" t="s">
        <v>39</v>
      </c>
      <c r="E95">
        <v>7</v>
      </c>
      <c r="F95" t="s">
        <v>75</v>
      </c>
      <c r="G95" t="s">
        <v>29</v>
      </c>
      <c r="H95" t="s">
        <v>23</v>
      </c>
      <c r="I95" t="s">
        <v>49</v>
      </c>
      <c r="J95" t="s">
        <v>25</v>
      </c>
      <c r="K95" t="s">
        <v>26</v>
      </c>
      <c r="L95" t="s">
        <v>69</v>
      </c>
      <c r="M95" s="8">
        <v>114</v>
      </c>
      <c r="N95" s="10">
        <v>130</v>
      </c>
      <c r="O95" s="10">
        <v>14079</v>
      </c>
      <c r="P95" s="10">
        <v>8664</v>
      </c>
      <c r="Q95" s="2">
        <v>5415</v>
      </c>
      <c r="R95" s="3">
        <v>0.05</v>
      </c>
      <c r="S95" t="s">
        <v>38</v>
      </c>
      <c r="T95" s="2">
        <v>830.3</v>
      </c>
    </row>
    <row r="96" spans="1:20" x14ac:dyDescent="0.25">
      <c r="A96">
        <v>100095</v>
      </c>
      <c r="B96" s="6">
        <v>44931</v>
      </c>
      <c r="C96">
        <v>2023</v>
      </c>
      <c r="D96" t="s">
        <v>63</v>
      </c>
      <c r="E96">
        <v>1</v>
      </c>
      <c r="F96" t="s">
        <v>79</v>
      </c>
      <c r="G96" t="s">
        <v>22</v>
      </c>
      <c r="H96" t="s">
        <v>23</v>
      </c>
      <c r="I96" t="s">
        <v>24</v>
      </c>
      <c r="J96" t="s">
        <v>68</v>
      </c>
      <c r="K96" t="s">
        <v>59</v>
      </c>
      <c r="L96" t="s">
        <v>86</v>
      </c>
      <c r="M96" s="8">
        <v>141</v>
      </c>
      <c r="N96" s="10">
        <v>160</v>
      </c>
      <c r="O96" s="10">
        <v>22108.799999999999</v>
      </c>
      <c r="P96" s="10">
        <v>13395</v>
      </c>
      <c r="Q96" s="2">
        <v>8713.7999999999993</v>
      </c>
      <c r="R96" s="3">
        <v>0.02</v>
      </c>
      <c r="S96" t="s">
        <v>57</v>
      </c>
      <c r="T96" s="2">
        <v>1047</v>
      </c>
    </row>
    <row r="97" spans="1:20" x14ac:dyDescent="0.25">
      <c r="A97">
        <v>100096</v>
      </c>
      <c r="B97" s="6">
        <v>45542</v>
      </c>
      <c r="C97">
        <v>2024</v>
      </c>
      <c r="D97" t="s">
        <v>39</v>
      </c>
      <c r="E97">
        <v>9</v>
      </c>
      <c r="F97" t="s">
        <v>40</v>
      </c>
      <c r="G97" t="s">
        <v>35</v>
      </c>
      <c r="H97" t="s">
        <v>23</v>
      </c>
      <c r="I97" t="s">
        <v>80</v>
      </c>
      <c r="J97" t="s">
        <v>42</v>
      </c>
      <c r="K97" t="s">
        <v>59</v>
      </c>
      <c r="L97" t="s">
        <v>86</v>
      </c>
      <c r="M97" s="8">
        <v>106</v>
      </c>
      <c r="N97" s="10">
        <v>160</v>
      </c>
      <c r="O97" s="10">
        <v>16112</v>
      </c>
      <c r="P97" s="10">
        <v>10070</v>
      </c>
      <c r="Q97" s="2">
        <v>6042</v>
      </c>
      <c r="R97" s="3">
        <v>0.05</v>
      </c>
      <c r="S97" t="s">
        <v>38</v>
      </c>
      <c r="T97" s="2">
        <v>687.17</v>
      </c>
    </row>
    <row r="98" spans="1:20" x14ac:dyDescent="0.25">
      <c r="A98">
        <v>100097</v>
      </c>
      <c r="B98" s="6">
        <v>45933</v>
      </c>
      <c r="C98">
        <v>2025</v>
      </c>
      <c r="D98" t="s">
        <v>43</v>
      </c>
      <c r="E98">
        <v>10</v>
      </c>
      <c r="F98" t="s">
        <v>44</v>
      </c>
      <c r="G98" t="s">
        <v>22</v>
      </c>
      <c r="H98" t="s">
        <v>23</v>
      </c>
      <c r="I98" t="s">
        <v>41</v>
      </c>
      <c r="J98" t="s">
        <v>66</v>
      </c>
      <c r="K98" t="s">
        <v>59</v>
      </c>
      <c r="L98" t="s">
        <v>91</v>
      </c>
      <c r="M98" s="8">
        <v>113</v>
      </c>
      <c r="N98" s="10">
        <v>140</v>
      </c>
      <c r="O98" s="10">
        <v>15029</v>
      </c>
      <c r="P98" s="10">
        <v>9266</v>
      </c>
      <c r="Q98" s="2">
        <v>5763</v>
      </c>
      <c r="R98" s="3">
        <v>0.05</v>
      </c>
      <c r="S98" t="s">
        <v>38</v>
      </c>
      <c r="T98" s="2">
        <v>322.06</v>
      </c>
    </row>
    <row r="99" spans="1:20" x14ac:dyDescent="0.25">
      <c r="A99">
        <v>100098</v>
      </c>
      <c r="B99" s="6">
        <v>45480</v>
      </c>
      <c r="C99">
        <v>2024</v>
      </c>
      <c r="D99" t="s">
        <v>39</v>
      </c>
      <c r="E99">
        <v>7</v>
      </c>
      <c r="F99" t="s">
        <v>75</v>
      </c>
      <c r="G99" t="s">
        <v>29</v>
      </c>
      <c r="H99" t="s">
        <v>23</v>
      </c>
      <c r="I99" t="s">
        <v>49</v>
      </c>
      <c r="J99" t="s">
        <v>50</v>
      </c>
      <c r="K99" t="s">
        <v>26</v>
      </c>
      <c r="L99" t="s">
        <v>27</v>
      </c>
      <c r="M99" s="8">
        <v>42</v>
      </c>
      <c r="N99" s="10">
        <v>110</v>
      </c>
      <c r="O99" s="10">
        <v>4481.3999999999996</v>
      </c>
      <c r="P99" s="10">
        <v>2856</v>
      </c>
      <c r="Q99" s="2">
        <v>1625.4</v>
      </c>
      <c r="R99" s="3">
        <v>0.03</v>
      </c>
      <c r="S99" t="s">
        <v>28</v>
      </c>
      <c r="T99" s="2">
        <v>287.54000000000002</v>
      </c>
    </row>
    <row r="100" spans="1:20" x14ac:dyDescent="0.25">
      <c r="A100">
        <v>100099</v>
      </c>
      <c r="B100" s="6">
        <v>45947</v>
      </c>
      <c r="C100">
        <v>2025</v>
      </c>
      <c r="D100" t="s">
        <v>43</v>
      </c>
      <c r="E100">
        <v>10</v>
      </c>
      <c r="F100" t="s">
        <v>44</v>
      </c>
      <c r="G100" t="s">
        <v>45</v>
      </c>
      <c r="H100" t="s">
        <v>23</v>
      </c>
      <c r="I100" t="s">
        <v>90</v>
      </c>
      <c r="J100" t="s">
        <v>68</v>
      </c>
      <c r="K100" t="s">
        <v>26</v>
      </c>
      <c r="L100" t="s">
        <v>78</v>
      </c>
      <c r="M100" s="8">
        <v>95</v>
      </c>
      <c r="N100" s="10">
        <v>95</v>
      </c>
      <c r="O100" s="10">
        <v>8573.75</v>
      </c>
      <c r="P100" s="10">
        <v>5510</v>
      </c>
      <c r="Q100" s="2">
        <v>3063.75</v>
      </c>
      <c r="R100" s="3">
        <v>0.05</v>
      </c>
      <c r="S100" t="s">
        <v>38</v>
      </c>
      <c r="T100" s="2">
        <v>361.55</v>
      </c>
    </row>
    <row r="101" spans="1:20" x14ac:dyDescent="0.25">
      <c r="A101">
        <v>100100</v>
      </c>
      <c r="B101" s="6">
        <v>45732</v>
      </c>
      <c r="C101">
        <v>2025</v>
      </c>
      <c r="D101" t="s">
        <v>63</v>
      </c>
      <c r="E101">
        <v>3</v>
      </c>
      <c r="F101" t="s">
        <v>64</v>
      </c>
      <c r="G101" t="s">
        <v>45</v>
      </c>
      <c r="H101" t="s">
        <v>23</v>
      </c>
      <c r="I101" t="s">
        <v>90</v>
      </c>
      <c r="J101" t="s">
        <v>54</v>
      </c>
      <c r="K101" t="s">
        <v>51</v>
      </c>
      <c r="L101" t="s">
        <v>92</v>
      </c>
      <c r="M101" s="8">
        <v>24</v>
      </c>
      <c r="N101" s="10">
        <v>50</v>
      </c>
      <c r="O101" s="10">
        <v>1140</v>
      </c>
      <c r="P101" s="10">
        <v>696</v>
      </c>
      <c r="Q101" s="2">
        <v>444</v>
      </c>
      <c r="R101" s="3">
        <v>0.05</v>
      </c>
      <c r="S101" t="s">
        <v>70</v>
      </c>
      <c r="T101" s="2">
        <v>26.5</v>
      </c>
    </row>
    <row r="102" spans="1:20" x14ac:dyDescent="0.25">
      <c r="A102">
        <v>100101</v>
      </c>
      <c r="B102" s="6">
        <v>45056</v>
      </c>
      <c r="C102">
        <v>2023</v>
      </c>
      <c r="D102" t="s">
        <v>20</v>
      </c>
      <c r="E102">
        <v>5</v>
      </c>
      <c r="F102" t="s">
        <v>21</v>
      </c>
      <c r="G102" t="s">
        <v>22</v>
      </c>
      <c r="H102" t="s">
        <v>23</v>
      </c>
      <c r="I102" t="s">
        <v>24</v>
      </c>
      <c r="J102" t="s">
        <v>50</v>
      </c>
      <c r="K102" t="s">
        <v>59</v>
      </c>
      <c r="L102" t="s">
        <v>91</v>
      </c>
      <c r="M102" s="8">
        <v>45</v>
      </c>
      <c r="N102" s="10">
        <v>140</v>
      </c>
      <c r="O102" s="10">
        <v>5985</v>
      </c>
      <c r="P102" s="10">
        <v>3690</v>
      </c>
      <c r="Q102" s="2">
        <v>2295</v>
      </c>
      <c r="R102" s="3">
        <v>0.05</v>
      </c>
      <c r="S102" t="s">
        <v>38</v>
      </c>
      <c r="T102" s="2">
        <v>286.95999999999998</v>
      </c>
    </row>
    <row r="103" spans="1:20" x14ac:dyDescent="0.25">
      <c r="A103">
        <v>100102</v>
      </c>
      <c r="B103" s="6">
        <v>45798</v>
      </c>
      <c r="C103">
        <v>2025</v>
      </c>
      <c r="D103" t="s">
        <v>20</v>
      </c>
      <c r="E103">
        <v>5</v>
      </c>
      <c r="F103" t="s">
        <v>21</v>
      </c>
      <c r="G103" t="s">
        <v>35</v>
      </c>
      <c r="H103" t="s">
        <v>23</v>
      </c>
      <c r="I103" t="s">
        <v>36</v>
      </c>
      <c r="J103" t="s">
        <v>61</v>
      </c>
      <c r="K103" t="s">
        <v>51</v>
      </c>
      <c r="L103" t="s">
        <v>52</v>
      </c>
      <c r="M103" s="8">
        <v>99</v>
      </c>
      <c r="N103" s="10">
        <v>75</v>
      </c>
      <c r="O103" s="10">
        <v>6682.5</v>
      </c>
      <c r="P103" s="10">
        <v>4356</v>
      </c>
      <c r="Q103" s="2">
        <v>2326.5</v>
      </c>
      <c r="R103" s="3">
        <v>0.1</v>
      </c>
      <c r="S103" t="s">
        <v>38</v>
      </c>
      <c r="T103" s="2">
        <v>156.6</v>
      </c>
    </row>
    <row r="104" spans="1:20" x14ac:dyDescent="0.25">
      <c r="A104">
        <v>100103</v>
      </c>
      <c r="B104" s="6">
        <v>45911</v>
      </c>
      <c r="C104">
        <v>2025</v>
      </c>
      <c r="D104" t="s">
        <v>39</v>
      </c>
      <c r="E104">
        <v>9</v>
      </c>
      <c r="F104" t="s">
        <v>40</v>
      </c>
      <c r="G104" t="s">
        <v>45</v>
      </c>
      <c r="H104" t="s">
        <v>23</v>
      </c>
      <c r="I104" t="s">
        <v>90</v>
      </c>
      <c r="J104" t="s">
        <v>61</v>
      </c>
      <c r="K104" t="s">
        <v>26</v>
      </c>
      <c r="L104" t="s">
        <v>69</v>
      </c>
      <c r="M104" s="8">
        <v>109</v>
      </c>
      <c r="N104" s="10">
        <v>130</v>
      </c>
      <c r="O104" s="10">
        <v>13036.4</v>
      </c>
      <c r="P104" s="10">
        <v>8284</v>
      </c>
      <c r="Q104" s="2">
        <v>4752.3999999999996</v>
      </c>
      <c r="R104" s="3">
        <v>0.08</v>
      </c>
      <c r="S104" t="s">
        <v>57</v>
      </c>
      <c r="T104" s="2">
        <v>762.04</v>
      </c>
    </row>
    <row r="105" spans="1:20" x14ac:dyDescent="0.25">
      <c r="A105">
        <v>100104</v>
      </c>
      <c r="B105" s="6">
        <v>45935</v>
      </c>
      <c r="C105">
        <v>2025</v>
      </c>
      <c r="D105" t="s">
        <v>43</v>
      </c>
      <c r="E105">
        <v>10</v>
      </c>
      <c r="F105" t="s">
        <v>44</v>
      </c>
      <c r="G105" t="s">
        <v>29</v>
      </c>
      <c r="H105" t="s">
        <v>23</v>
      </c>
      <c r="I105" t="s">
        <v>30</v>
      </c>
      <c r="J105" t="s">
        <v>66</v>
      </c>
      <c r="K105" t="s">
        <v>59</v>
      </c>
      <c r="L105" t="s">
        <v>86</v>
      </c>
      <c r="M105" s="8">
        <v>60</v>
      </c>
      <c r="N105" s="10">
        <v>160</v>
      </c>
      <c r="O105" s="10">
        <v>9120</v>
      </c>
      <c r="P105" s="10">
        <v>5700</v>
      </c>
      <c r="Q105" s="2">
        <v>3420</v>
      </c>
      <c r="R105" s="3">
        <v>0.05</v>
      </c>
      <c r="S105" t="s">
        <v>28</v>
      </c>
      <c r="T105" s="2">
        <v>605.48</v>
      </c>
    </row>
    <row r="106" spans="1:20" x14ac:dyDescent="0.25">
      <c r="A106">
        <v>100105</v>
      </c>
      <c r="B106" s="6">
        <v>45740</v>
      </c>
      <c r="C106">
        <v>2025</v>
      </c>
      <c r="D106" t="s">
        <v>63</v>
      </c>
      <c r="E106">
        <v>3</v>
      </c>
      <c r="F106" t="s">
        <v>64</v>
      </c>
      <c r="G106" t="s">
        <v>45</v>
      </c>
      <c r="H106" t="s">
        <v>23</v>
      </c>
      <c r="I106" t="s">
        <v>46</v>
      </c>
      <c r="J106" t="s">
        <v>25</v>
      </c>
      <c r="K106" t="s">
        <v>32</v>
      </c>
      <c r="L106" t="s">
        <v>47</v>
      </c>
      <c r="M106" s="8">
        <v>66</v>
      </c>
      <c r="N106" s="10">
        <v>180</v>
      </c>
      <c r="O106" s="10">
        <v>11642.4</v>
      </c>
      <c r="P106" s="10">
        <v>7590</v>
      </c>
      <c r="Q106" s="2">
        <v>4052.4</v>
      </c>
      <c r="R106" s="3">
        <v>0.02</v>
      </c>
      <c r="S106" t="s">
        <v>70</v>
      </c>
      <c r="T106" s="2">
        <v>374.06</v>
      </c>
    </row>
    <row r="107" spans="1:20" x14ac:dyDescent="0.25">
      <c r="A107">
        <v>100106</v>
      </c>
      <c r="B107" s="6">
        <v>45587</v>
      </c>
      <c r="C107">
        <v>2024</v>
      </c>
      <c r="D107" t="s">
        <v>43</v>
      </c>
      <c r="E107">
        <v>10</v>
      </c>
      <c r="F107" t="s">
        <v>44</v>
      </c>
      <c r="G107" t="s">
        <v>22</v>
      </c>
      <c r="H107" t="s">
        <v>23</v>
      </c>
      <c r="I107" t="s">
        <v>71</v>
      </c>
      <c r="J107" t="s">
        <v>54</v>
      </c>
      <c r="K107" t="s">
        <v>26</v>
      </c>
      <c r="L107" t="s">
        <v>78</v>
      </c>
      <c r="M107" s="8">
        <v>66</v>
      </c>
      <c r="N107" s="10">
        <v>95</v>
      </c>
      <c r="O107" s="10">
        <v>6270</v>
      </c>
      <c r="P107" s="10">
        <v>3828</v>
      </c>
      <c r="Q107" s="2">
        <v>2442</v>
      </c>
      <c r="R107" s="3">
        <v>0</v>
      </c>
      <c r="S107" t="s">
        <v>70</v>
      </c>
      <c r="T107" s="2">
        <v>209.06</v>
      </c>
    </row>
    <row r="108" spans="1:20" x14ac:dyDescent="0.25">
      <c r="A108">
        <v>100107</v>
      </c>
      <c r="B108" s="6">
        <v>45001</v>
      </c>
      <c r="C108">
        <v>2023</v>
      </c>
      <c r="D108" t="s">
        <v>63</v>
      </c>
      <c r="E108">
        <v>3</v>
      </c>
      <c r="F108" t="s">
        <v>64</v>
      </c>
      <c r="G108" t="s">
        <v>35</v>
      </c>
      <c r="H108" t="s">
        <v>23</v>
      </c>
      <c r="I108" t="s">
        <v>36</v>
      </c>
      <c r="J108" t="s">
        <v>50</v>
      </c>
      <c r="K108" t="s">
        <v>59</v>
      </c>
      <c r="L108" t="s">
        <v>67</v>
      </c>
      <c r="M108" s="8">
        <v>100</v>
      </c>
      <c r="N108" s="10">
        <v>95</v>
      </c>
      <c r="O108" s="10">
        <v>9215</v>
      </c>
      <c r="P108" s="10">
        <v>5600</v>
      </c>
      <c r="Q108" s="2">
        <v>3615</v>
      </c>
      <c r="R108" s="3">
        <v>0.03</v>
      </c>
      <c r="S108" t="s">
        <v>28</v>
      </c>
      <c r="T108" s="2">
        <v>252.06</v>
      </c>
    </row>
    <row r="109" spans="1:20" x14ac:dyDescent="0.25">
      <c r="A109">
        <v>100108</v>
      </c>
      <c r="B109" s="6">
        <v>45590</v>
      </c>
      <c r="C109">
        <v>2024</v>
      </c>
      <c r="D109" t="s">
        <v>43</v>
      </c>
      <c r="E109">
        <v>10</v>
      </c>
      <c r="F109" t="s">
        <v>44</v>
      </c>
      <c r="G109" t="s">
        <v>45</v>
      </c>
      <c r="H109" t="s">
        <v>23</v>
      </c>
      <c r="I109" t="s">
        <v>90</v>
      </c>
      <c r="J109" t="s">
        <v>25</v>
      </c>
      <c r="K109" t="s">
        <v>32</v>
      </c>
      <c r="L109" t="s">
        <v>37</v>
      </c>
      <c r="M109" s="8">
        <v>97</v>
      </c>
      <c r="N109" s="10">
        <v>120</v>
      </c>
      <c r="O109" s="10">
        <v>11407.2</v>
      </c>
      <c r="P109" s="10">
        <v>7566</v>
      </c>
      <c r="Q109" s="2">
        <v>3841.2</v>
      </c>
      <c r="R109" s="3">
        <v>0.02</v>
      </c>
      <c r="S109" t="s">
        <v>70</v>
      </c>
      <c r="T109" s="2">
        <v>660.79</v>
      </c>
    </row>
    <row r="110" spans="1:20" x14ac:dyDescent="0.25">
      <c r="A110">
        <v>100109</v>
      </c>
      <c r="B110" s="6">
        <v>45082</v>
      </c>
      <c r="C110">
        <v>2023</v>
      </c>
      <c r="D110" t="s">
        <v>20</v>
      </c>
      <c r="E110">
        <v>6</v>
      </c>
      <c r="F110" t="s">
        <v>48</v>
      </c>
      <c r="G110" t="s">
        <v>35</v>
      </c>
      <c r="H110" t="s">
        <v>23</v>
      </c>
      <c r="I110" t="s">
        <v>77</v>
      </c>
      <c r="J110" t="s">
        <v>66</v>
      </c>
      <c r="K110" t="s">
        <v>59</v>
      </c>
      <c r="L110" t="s">
        <v>60</v>
      </c>
      <c r="M110" s="8">
        <v>93</v>
      </c>
      <c r="N110" s="10">
        <v>45</v>
      </c>
      <c r="O110" s="10">
        <v>4059.45</v>
      </c>
      <c r="P110" s="10">
        <v>2511</v>
      </c>
      <c r="Q110" s="2">
        <v>1548.45</v>
      </c>
      <c r="R110" s="3">
        <v>0.03</v>
      </c>
      <c r="S110" t="s">
        <v>38</v>
      </c>
      <c r="T110" s="2">
        <v>185.32</v>
      </c>
    </row>
    <row r="111" spans="1:20" x14ac:dyDescent="0.25">
      <c r="A111">
        <v>100110</v>
      </c>
      <c r="B111" s="6">
        <v>45487</v>
      </c>
      <c r="C111">
        <v>2024</v>
      </c>
      <c r="D111" t="s">
        <v>39</v>
      </c>
      <c r="E111">
        <v>7</v>
      </c>
      <c r="F111" t="s">
        <v>75</v>
      </c>
      <c r="G111" t="s">
        <v>22</v>
      </c>
      <c r="H111" t="s">
        <v>23</v>
      </c>
      <c r="I111" t="s">
        <v>71</v>
      </c>
      <c r="J111" t="s">
        <v>66</v>
      </c>
      <c r="K111" t="s">
        <v>51</v>
      </c>
      <c r="L111" t="s">
        <v>76</v>
      </c>
      <c r="M111" s="8">
        <v>132</v>
      </c>
      <c r="N111" s="10">
        <v>40</v>
      </c>
      <c r="O111" s="10">
        <v>5016</v>
      </c>
      <c r="P111" s="10">
        <v>3036</v>
      </c>
      <c r="Q111" s="2">
        <v>1980</v>
      </c>
      <c r="R111" s="3">
        <v>0.05</v>
      </c>
      <c r="S111" t="s">
        <v>38</v>
      </c>
      <c r="T111" s="2">
        <v>171.63</v>
      </c>
    </row>
    <row r="112" spans="1:20" x14ac:dyDescent="0.25">
      <c r="A112">
        <v>100111</v>
      </c>
      <c r="B112" s="6">
        <v>45355</v>
      </c>
      <c r="C112">
        <v>2024</v>
      </c>
      <c r="D112" t="s">
        <v>63</v>
      </c>
      <c r="E112">
        <v>3</v>
      </c>
      <c r="F112" t="s">
        <v>64</v>
      </c>
      <c r="G112" t="s">
        <v>45</v>
      </c>
      <c r="H112" t="s">
        <v>23</v>
      </c>
      <c r="I112" t="s">
        <v>88</v>
      </c>
      <c r="J112" t="s">
        <v>68</v>
      </c>
      <c r="K112" t="s">
        <v>26</v>
      </c>
      <c r="L112" t="s">
        <v>69</v>
      </c>
      <c r="M112" s="8">
        <v>27</v>
      </c>
      <c r="N112" s="10">
        <v>130</v>
      </c>
      <c r="O112" s="10">
        <v>3439.8</v>
      </c>
      <c r="P112" s="10">
        <v>2052</v>
      </c>
      <c r="Q112" s="2">
        <v>1387.8</v>
      </c>
      <c r="R112" s="3">
        <v>0.02</v>
      </c>
      <c r="S112" t="s">
        <v>70</v>
      </c>
      <c r="T112" s="2">
        <v>186.69</v>
      </c>
    </row>
    <row r="113" spans="1:20" x14ac:dyDescent="0.25">
      <c r="A113">
        <v>100112</v>
      </c>
      <c r="B113" s="6">
        <v>45914</v>
      </c>
      <c r="C113">
        <v>2025</v>
      </c>
      <c r="D113" t="s">
        <v>39</v>
      </c>
      <c r="E113">
        <v>9</v>
      </c>
      <c r="F113" t="s">
        <v>40</v>
      </c>
      <c r="G113" t="s">
        <v>45</v>
      </c>
      <c r="H113" t="s">
        <v>23</v>
      </c>
      <c r="I113" t="s">
        <v>88</v>
      </c>
      <c r="J113" t="s">
        <v>54</v>
      </c>
      <c r="K113" t="s">
        <v>59</v>
      </c>
      <c r="L113" t="s">
        <v>67</v>
      </c>
      <c r="M113" s="8">
        <v>72</v>
      </c>
      <c r="N113" s="10">
        <v>95</v>
      </c>
      <c r="O113" s="10">
        <v>6840</v>
      </c>
      <c r="P113" s="10">
        <v>4032</v>
      </c>
      <c r="Q113" s="2">
        <v>2808</v>
      </c>
      <c r="R113" s="3">
        <v>0</v>
      </c>
      <c r="S113" t="s">
        <v>28</v>
      </c>
      <c r="T113" s="2">
        <v>228.39</v>
      </c>
    </row>
    <row r="114" spans="1:20" x14ac:dyDescent="0.25">
      <c r="A114">
        <v>100113</v>
      </c>
      <c r="B114" s="6">
        <v>45726</v>
      </c>
      <c r="C114">
        <v>2025</v>
      </c>
      <c r="D114" t="s">
        <v>63</v>
      </c>
      <c r="E114">
        <v>3</v>
      </c>
      <c r="F114" t="s">
        <v>64</v>
      </c>
      <c r="G114" t="s">
        <v>35</v>
      </c>
      <c r="H114" t="s">
        <v>23</v>
      </c>
      <c r="I114" t="s">
        <v>36</v>
      </c>
      <c r="J114" t="s">
        <v>31</v>
      </c>
      <c r="K114" t="s">
        <v>55</v>
      </c>
      <c r="L114" t="s">
        <v>84</v>
      </c>
      <c r="M114" s="8">
        <v>133</v>
      </c>
      <c r="N114" s="10">
        <v>55</v>
      </c>
      <c r="O114" s="10">
        <v>6729.8</v>
      </c>
      <c r="P114" s="10">
        <v>4921</v>
      </c>
      <c r="Q114" s="2">
        <v>1808.8</v>
      </c>
      <c r="R114" s="3">
        <v>0.08</v>
      </c>
      <c r="S114" t="s">
        <v>57</v>
      </c>
      <c r="T114" s="2">
        <v>463.29</v>
      </c>
    </row>
    <row r="115" spans="1:20" x14ac:dyDescent="0.25">
      <c r="A115">
        <v>100114</v>
      </c>
      <c r="B115" s="6">
        <v>45958</v>
      </c>
      <c r="C115">
        <v>2025</v>
      </c>
      <c r="D115" t="s">
        <v>43</v>
      </c>
      <c r="E115">
        <v>10</v>
      </c>
      <c r="F115" t="s">
        <v>44</v>
      </c>
      <c r="G115" t="s">
        <v>45</v>
      </c>
      <c r="H115" t="s">
        <v>23</v>
      </c>
      <c r="I115" t="s">
        <v>46</v>
      </c>
      <c r="J115" t="s">
        <v>25</v>
      </c>
      <c r="K115" t="s">
        <v>51</v>
      </c>
      <c r="L115" t="s">
        <v>72</v>
      </c>
      <c r="M115" s="8">
        <v>81</v>
      </c>
      <c r="N115" s="10">
        <v>90</v>
      </c>
      <c r="O115" s="10">
        <v>7290</v>
      </c>
      <c r="P115" s="10">
        <v>4212</v>
      </c>
      <c r="Q115" s="2">
        <v>3078</v>
      </c>
      <c r="R115" s="3">
        <v>0</v>
      </c>
      <c r="S115" t="s">
        <v>28</v>
      </c>
      <c r="T115" s="2">
        <v>430.08</v>
      </c>
    </row>
    <row r="116" spans="1:20" x14ac:dyDescent="0.25">
      <c r="A116">
        <v>100115</v>
      </c>
      <c r="B116" s="6">
        <v>45933</v>
      </c>
      <c r="C116">
        <v>2025</v>
      </c>
      <c r="D116" t="s">
        <v>43</v>
      </c>
      <c r="E116">
        <v>10</v>
      </c>
      <c r="F116" t="s">
        <v>44</v>
      </c>
      <c r="G116" t="s">
        <v>29</v>
      </c>
      <c r="H116" t="s">
        <v>23</v>
      </c>
      <c r="I116" t="s">
        <v>85</v>
      </c>
      <c r="J116" t="s">
        <v>31</v>
      </c>
      <c r="K116" t="s">
        <v>26</v>
      </c>
      <c r="L116" t="s">
        <v>82</v>
      </c>
      <c r="M116" s="8">
        <v>87</v>
      </c>
      <c r="N116" s="10">
        <v>105</v>
      </c>
      <c r="O116" s="10">
        <v>8678.25</v>
      </c>
      <c r="P116" s="10">
        <v>5307</v>
      </c>
      <c r="Q116" s="2">
        <v>3371.25</v>
      </c>
      <c r="R116" s="3">
        <v>0.05</v>
      </c>
      <c r="S116" t="s">
        <v>38</v>
      </c>
      <c r="T116" s="2">
        <v>515.29</v>
      </c>
    </row>
    <row r="117" spans="1:20" x14ac:dyDescent="0.25">
      <c r="A117">
        <v>100116</v>
      </c>
      <c r="B117" s="6">
        <v>45091</v>
      </c>
      <c r="C117">
        <v>2023</v>
      </c>
      <c r="D117" t="s">
        <v>20</v>
      </c>
      <c r="E117">
        <v>6</v>
      </c>
      <c r="F117" t="s">
        <v>48</v>
      </c>
      <c r="G117" t="s">
        <v>35</v>
      </c>
      <c r="H117" t="s">
        <v>23</v>
      </c>
      <c r="I117" t="s">
        <v>77</v>
      </c>
      <c r="J117" t="s">
        <v>61</v>
      </c>
      <c r="K117" t="s">
        <v>51</v>
      </c>
      <c r="L117" t="s">
        <v>52</v>
      </c>
      <c r="M117" s="8">
        <v>16</v>
      </c>
      <c r="N117" s="10">
        <v>75</v>
      </c>
      <c r="O117" s="10">
        <v>1140</v>
      </c>
      <c r="P117" s="10">
        <v>704</v>
      </c>
      <c r="Q117" s="2">
        <v>436</v>
      </c>
      <c r="R117" s="3">
        <v>0.05</v>
      </c>
      <c r="S117" t="s">
        <v>38</v>
      </c>
      <c r="T117" s="2">
        <v>63.24</v>
      </c>
    </row>
    <row r="118" spans="1:20" x14ac:dyDescent="0.25">
      <c r="A118">
        <v>100117</v>
      </c>
      <c r="B118" s="6">
        <v>45841</v>
      </c>
      <c r="C118">
        <v>2025</v>
      </c>
      <c r="D118" t="s">
        <v>39</v>
      </c>
      <c r="E118">
        <v>7</v>
      </c>
      <c r="F118" t="s">
        <v>75</v>
      </c>
      <c r="G118" t="s">
        <v>29</v>
      </c>
      <c r="H118" t="s">
        <v>23</v>
      </c>
      <c r="I118" t="s">
        <v>73</v>
      </c>
      <c r="J118" t="s">
        <v>68</v>
      </c>
      <c r="K118" t="s">
        <v>51</v>
      </c>
      <c r="L118" t="s">
        <v>76</v>
      </c>
      <c r="M118" s="8">
        <v>138</v>
      </c>
      <c r="N118" s="10">
        <v>40</v>
      </c>
      <c r="O118" s="10">
        <v>5078.3999999999996</v>
      </c>
      <c r="P118" s="10">
        <v>3174</v>
      </c>
      <c r="Q118" s="2">
        <v>1904.4</v>
      </c>
      <c r="R118" s="3">
        <v>0.08</v>
      </c>
      <c r="S118" t="s">
        <v>57</v>
      </c>
      <c r="T118" s="2">
        <v>171.65</v>
      </c>
    </row>
    <row r="119" spans="1:20" x14ac:dyDescent="0.25">
      <c r="A119">
        <v>100118</v>
      </c>
      <c r="B119" s="6">
        <v>45633</v>
      </c>
      <c r="C119">
        <v>2024</v>
      </c>
      <c r="D119" t="s">
        <v>43</v>
      </c>
      <c r="E119">
        <v>12</v>
      </c>
      <c r="F119" t="s">
        <v>83</v>
      </c>
      <c r="G119" t="s">
        <v>22</v>
      </c>
      <c r="H119" t="s">
        <v>23</v>
      </c>
      <c r="I119" t="s">
        <v>24</v>
      </c>
      <c r="J119" t="s">
        <v>68</v>
      </c>
      <c r="K119" t="s">
        <v>51</v>
      </c>
      <c r="L119" t="s">
        <v>92</v>
      </c>
      <c r="M119" s="8">
        <v>46</v>
      </c>
      <c r="N119" s="10">
        <v>50</v>
      </c>
      <c r="O119" s="10">
        <v>2231</v>
      </c>
      <c r="P119" s="10">
        <v>1334</v>
      </c>
      <c r="Q119" s="2">
        <v>897</v>
      </c>
      <c r="R119" s="3">
        <v>0.03</v>
      </c>
      <c r="S119" t="s">
        <v>28</v>
      </c>
      <c r="T119" s="2">
        <v>101.2</v>
      </c>
    </row>
    <row r="120" spans="1:20" x14ac:dyDescent="0.25">
      <c r="A120">
        <v>100119</v>
      </c>
      <c r="B120" s="6">
        <v>45780</v>
      </c>
      <c r="C120">
        <v>2025</v>
      </c>
      <c r="D120" t="s">
        <v>20</v>
      </c>
      <c r="E120">
        <v>5</v>
      </c>
      <c r="F120" t="s">
        <v>21</v>
      </c>
      <c r="G120" t="s">
        <v>29</v>
      </c>
      <c r="H120" t="s">
        <v>23</v>
      </c>
      <c r="I120" t="s">
        <v>49</v>
      </c>
      <c r="J120" t="s">
        <v>31</v>
      </c>
      <c r="K120" t="s">
        <v>32</v>
      </c>
      <c r="L120" t="s">
        <v>33</v>
      </c>
      <c r="M120" s="8">
        <v>129</v>
      </c>
      <c r="N120" s="10">
        <v>60</v>
      </c>
      <c r="O120" s="10">
        <v>6966</v>
      </c>
      <c r="P120" s="10">
        <v>4902</v>
      </c>
      <c r="Q120" s="2">
        <v>2064</v>
      </c>
      <c r="R120" s="3">
        <v>0.1</v>
      </c>
      <c r="S120" t="s">
        <v>70</v>
      </c>
      <c r="T120" s="2">
        <v>284.97000000000003</v>
      </c>
    </row>
    <row r="121" spans="1:20" x14ac:dyDescent="0.25">
      <c r="A121">
        <v>100120</v>
      </c>
      <c r="B121" s="6">
        <v>45452</v>
      </c>
      <c r="C121">
        <v>2024</v>
      </c>
      <c r="D121" t="s">
        <v>20</v>
      </c>
      <c r="E121">
        <v>6</v>
      </c>
      <c r="F121" t="s">
        <v>48</v>
      </c>
      <c r="G121" t="s">
        <v>45</v>
      </c>
      <c r="H121" t="s">
        <v>23</v>
      </c>
      <c r="I121" t="s">
        <v>62</v>
      </c>
      <c r="J121" t="s">
        <v>66</v>
      </c>
      <c r="K121" t="s">
        <v>26</v>
      </c>
      <c r="L121" t="s">
        <v>27</v>
      </c>
      <c r="M121" s="8">
        <v>112</v>
      </c>
      <c r="N121" s="10">
        <v>110</v>
      </c>
      <c r="O121" s="10">
        <v>12073.6</v>
      </c>
      <c r="P121" s="10">
        <v>7616</v>
      </c>
      <c r="Q121" s="2">
        <v>4457.6000000000004</v>
      </c>
      <c r="R121" s="3">
        <v>0.02</v>
      </c>
      <c r="S121" t="s">
        <v>28</v>
      </c>
      <c r="T121" s="2">
        <v>609.45000000000005</v>
      </c>
    </row>
    <row r="122" spans="1:20" x14ac:dyDescent="0.25">
      <c r="A122">
        <v>100121</v>
      </c>
      <c r="B122" s="6">
        <v>45368</v>
      </c>
      <c r="C122">
        <v>2024</v>
      </c>
      <c r="D122" t="s">
        <v>63</v>
      </c>
      <c r="E122">
        <v>3</v>
      </c>
      <c r="F122" t="s">
        <v>64</v>
      </c>
      <c r="G122" t="s">
        <v>45</v>
      </c>
      <c r="H122" t="s">
        <v>23</v>
      </c>
      <c r="I122" t="s">
        <v>46</v>
      </c>
      <c r="J122" t="s">
        <v>68</v>
      </c>
      <c r="K122" t="s">
        <v>26</v>
      </c>
      <c r="L122" t="s">
        <v>27</v>
      </c>
      <c r="M122" s="8">
        <v>84</v>
      </c>
      <c r="N122" s="10">
        <v>110</v>
      </c>
      <c r="O122" s="10">
        <v>8500.7999999999993</v>
      </c>
      <c r="P122" s="10">
        <v>5712</v>
      </c>
      <c r="Q122" s="2">
        <v>2788.8</v>
      </c>
      <c r="R122" s="3">
        <v>0.08</v>
      </c>
      <c r="S122" t="s">
        <v>70</v>
      </c>
      <c r="T122" s="2">
        <v>375.15</v>
      </c>
    </row>
    <row r="123" spans="1:20" x14ac:dyDescent="0.25">
      <c r="A123">
        <v>100122</v>
      </c>
      <c r="B123" s="6">
        <v>45860</v>
      </c>
      <c r="C123">
        <v>2025</v>
      </c>
      <c r="D123" t="s">
        <v>39</v>
      </c>
      <c r="E123">
        <v>7</v>
      </c>
      <c r="F123" t="s">
        <v>75</v>
      </c>
      <c r="G123" t="s">
        <v>35</v>
      </c>
      <c r="H123" t="s">
        <v>23</v>
      </c>
      <c r="I123" t="s">
        <v>77</v>
      </c>
      <c r="J123" t="s">
        <v>66</v>
      </c>
      <c r="K123" t="s">
        <v>51</v>
      </c>
      <c r="L123" t="s">
        <v>76</v>
      </c>
      <c r="M123" s="8">
        <v>131</v>
      </c>
      <c r="N123" s="10">
        <v>40</v>
      </c>
      <c r="O123" s="10">
        <v>4978</v>
      </c>
      <c r="P123" s="10">
        <v>3013</v>
      </c>
      <c r="Q123" s="2">
        <v>1965</v>
      </c>
      <c r="R123" s="3">
        <v>0.05</v>
      </c>
      <c r="S123" t="s">
        <v>38</v>
      </c>
      <c r="T123" s="2">
        <v>103.85</v>
      </c>
    </row>
    <row r="124" spans="1:20" x14ac:dyDescent="0.25">
      <c r="A124">
        <v>100123</v>
      </c>
      <c r="B124" s="6">
        <v>45572</v>
      </c>
      <c r="C124">
        <v>2024</v>
      </c>
      <c r="D124" t="s">
        <v>43</v>
      </c>
      <c r="E124">
        <v>10</v>
      </c>
      <c r="F124" t="s">
        <v>44</v>
      </c>
      <c r="G124" t="s">
        <v>22</v>
      </c>
      <c r="H124" t="s">
        <v>23</v>
      </c>
      <c r="I124" t="s">
        <v>65</v>
      </c>
      <c r="J124" t="s">
        <v>68</v>
      </c>
      <c r="K124" t="s">
        <v>51</v>
      </c>
      <c r="L124" t="s">
        <v>92</v>
      </c>
      <c r="M124" s="8">
        <v>62</v>
      </c>
      <c r="N124" s="10">
        <v>50</v>
      </c>
      <c r="O124" s="10">
        <v>3100</v>
      </c>
      <c r="P124" s="10">
        <v>1798</v>
      </c>
      <c r="Q124" s="2">
        <v>1302</v>
      </c>
      <c r="R124" s="3">
        <v>0</v>
      </c>
      <c r="S124" t="s">
        <v>70</v>
      </c>
      <c r="T124" s="2">
        <v>202.41</v>
      </c>
    </row>
    <row r="125" spans="1:20" x14ac:dyDescent="0.25">
      <c r="A125">
        <v>100124</v>
      </c>
      <c r="B125" s="6">
        <v>45628</v>
      </c>
      <c r="C125">
        <v>2024</v>
      </c>
      <c r="D125" t="s">
        <v>43</v>
      </c>
      <c r="E125">
        <v>12</v>
      </c>
      <c r="F125" t="s">
        <v>83</v>
      </c>
      <c r="G125" t="s">
        <v>35</v>
      </c>
      <c r="H125" t="s">
        <v>23</v>
      </c>
      <c r="I125" t="s">
        <v>36</v>
      </c>
      <c r="J125" t="s">
        <v>50</v>
      </c>
      <c r="K125" t="s">
        <v>32</v>
      </c>
      <c r="L125" t="s">
        <v>47</v>
      </c>
      <c r="M125" s="8">
        <v>63</v>
      </c>
      <c r="N125" s="10">
        <v>180</v>
      </c>
      <c r="O125" s="10">
        <v>10773</v>
      </c>
      <c r="P125" s="10">
        <v>7245</v>
      </c>
      <c r="Q125" s="2">
        <v>3528</v>
      </c>
      <c r="R125" s="3">
        <v>0.05</v>
      </c>
      <c r="S125" t="s">
        <v>57</v>
      </c>
      <c r="T125" s="2">
        <v>210.65</v>
      </c>
    </row>
    <row r="126" spans="1:20" x14ac:dyDescent="0.25">
      <c r="A126">
        <v>100125</v>
      </c>
      <c r="B126" s="6">
        <v>44955</v>
      </c>
      <c r="C126">
        <v>2023</v>
      </c>
      <c r="D126" t="s">
        <v>63</v>
      </c>
      <c r="E126">
        <v>1</v>
      </c>
      <c r="F126" t="s">
        <v>79</v>
      </c>
      <c r="G126" t="s">
        <v>45</v>
      </c>
      <c r="H126" t="s">
        <v>23</v>
      </c>
      <c r="I126" t="s">
        <v>90</v>
      </c>
      <c r="J126" t="s">
        <v>66</v>
      </c>
      <c r="K126" t="s">
        <v>51</v>
      </c>
      <c r="L126" t="s">
        <v>72</v>
      </c>
      <c r="M126" s="8">
        <v>122</v>
      </c>
      <c r="N126" s="10">
        <v>90</v>
      </c>
      <c r="O126" s="10">
        <v>10431</v>
      </c>
      <c r="P126" s="10">
        <v>6344</v>
      </c>
      <c r="Q126" s="2">
        <v>4087</v>
      </c>
      <c r="R126" s="3">
        <v>0.05</v>
      </c>
      <c r="S126" t="s">
        <v>70</v>
      </c>
      <c r="T126" s="2">
        <v>506.66</v>
      </c>
    </row>
    <row r="127" spans="1:20" x14ac:dyDescent="0.25">
      <c r="A127">
        <v>100126</v>
      </c>
      <c r="B127" s="6">
        <v>45549</v>
      </c>
      <c r="C127">
        <v>2024</v>
      </c>
      <c r="D127" t="s">
        <v>39</v>
      </c>
      <c r="E127">
        <v>9</v>
      </c>
      <c r="F127" t="s">
        <v>40</v>
      </c>
      <c r="G127" t="s">
        <v>29</v>
      </c>
      <c r="H127" t="s">
        <v>23</v>
      </c>
      <c r="I127" t="s">
        <v>85</v>
      </c>
      <c r="J127" t="s">
        <v>25</v>
      </c>
      <c r="K127" t="s">
        <v>32</v>
      </c>
      <c r="L127" t="s">
        <v>47</v>
      </c>
      <c r="M127" s="8">
        <v>42</v>
      </c>
      <c r="N127" s="10">
        <v>180</v>
      </c>
      <c r="O127" s="10">
        <v>7408.8</v>
      </c>
      <c r="P127" s="10">
        <v>4830</v>
      </c>
      <c r="Q127" s="2">
        <v>2578.8000000000002</v>
      </c>
      <c r="R127" s="3">
        <v>0.02</v>
      </c>
      <c r="S127" t="s">
        <v>70</v>
      </c>
      <c r="T127" s="2">
        <v>331.11</v>
      </c>
    </row>
    <row r="128" spans="1:20" x14ac:dyDescent="0.25">
      <c r="A128">
        <v>100127</v>
      </c>
      <c r="B128" s="6">
        <v>45884</v>
      </c>
      <c r="C128">
        <v>2025</v>
      </c>
      <c r="D128" t="s">
        <v>39</v>
      </c>
      <c r="E128">
        <v>8</v>
      </c>
      <c r="F128" t="s">
        <v>58</v>
      </c>
      <c r="G128" t="s">
        <v>22</v>
      </c>
      <c r="H128" t="s">
        <v>23</v>
      </c>
      <c r="I128" t="s">
        <v>71</v>
      </c>
      <c r="J128" t="s">
        <v>42</v>
      </c>
      <c r="K128" t="s">
        <v>32</v>
      </c>
      <c r="L128" t="s">
        <v>37</v>
      </c>
      <c r="M128" s="8">
        <v>82</v>
      </c>
      <c r="N128" s="10">
        <v>120</v>
      </c>
      <c r="O128" s="10">
        <v>9840</v>
      </c>
      <c r="P128" s="10">
        <v>6396</v>
      </c>
      <c r="Q128" s="2">
        <v>3444</v>
      </c>
      <c r="R128" s="3">
        <v>0</v>
      </c>
      <c r="S128" t="s">
        <v>57</v>
      </c>
      <c r="T128" s="2">
        <v>541.70000000000005</v>
      </c>
    </row>
    <row r="129" spans="1:20" x14ac:dyDescent="0.25">
      <c r="A129">
        <v>100128</v>
      </c>
      <c r="B129" s="6">
        <v>44968</v>
      </c>
      <c r="C129">
        <v>2023</v>
      </c>
      <c r="D129" t="s">
        <v>63</v>
      </c>
      <c r="E129">
        <v>2</v>
      </c>
      <c r="F129" t="s">
        <v>81</v>
      </c>
      <c r="G129" t="s">
        <v>45</v>
      </c>
      <c r="H129" t="s">
        <v>23</v>
      </c>
      <c r="I129" t="s">
        <v>90</v>
      </c>
      <c r="J129" t="s">
        <v>68</v>
      </c>
      <c r="K129" t="s">
        <v>32</v>
      </c>
      <c r="L129" t="s">
        <v>33</v>
      </c>
      <c r="M129" s="8">
        <v>117</v>
      </c>
      <c r="N129" s="10">
        <v>60</v>
      </c>
      <c r="O129" s="10">
        <v>6669</v>
      </c>
      <c r="P129" s="10">
        <v>4446</v>
      </c>
      <c r="Q129" s="2">
        <v>2223</v>
      </c>
      <c r="R129" s="3">
        <v>0.05</v>
      </c>
      <c r="S129" t="s">
        <v>38</v>
      </c>
      <c r="T129" s="2">
        <v>199.86</v>
      </c>
    </row>
    <row r="130" spans="1:20" x14ac:dyDescent="0.25">
      <c r="A130">
        <v>100129</v>
      </c>
      <c r="B130" s="6">
        <v>45994</v>
      </c>
      <c r="C130">
        <v>2025</v>
      </c>
      <c r="D130" t="s">
        <v>43</v>
      </c>
      <c r="E130">
        <v>12</v>
      </c>
      <c r="F130" t="s">
        <v>83</v>
      </c>
      <c r="G130" t="s">
        <v>22</v>
      </c>
      <c r="H130" t="s">
        <v>23</v>
      </c>
      <c r="I130" t="s">
        <v>24</v>
      </c>
      <c r="J130" t="s">
        <v>50</v>
      </c>
      <c r="K130" t="s">
        <v>55</v>
      </c>
      <c r="L130" t="s">
        <v>93</v>
      </c>
      <c r="M130" s="8">
        <v>83</v>
      </c>
      <c r="N130" s="10">
        <v>60</v>
      </c>
      <c r="O130" s="10">
        <v>4731</v>
      </c>
      <c r="P130" s="10">
        <v>3486</v>
      </c>
      <c r="Q130" s="2">
        <v>1245</v>
      </c>
      <c r="R130" s="3">
        <v>0.05</v>
      </c>
      <c r="S130" t="s">
        <v>70</v>
      </c>
      <c r="T130" s="2">
        <v>206.61</v>
      </c>
    </row>
    <row r="131" spans="1:20" x14ac:dyDescent="0.25">
      <c r="A131">
        <v>100130</v>
      </c>
      <c r="B131" s="6">
        <v>45142</v>
      </c>
      <c r="C131">
        <v>2023</v>
      </c>
      <c r="D131" t="s">
        <v>39</v>
      </c>
      <c r="E131">
        <v>8</v>
      </c>
      <c r="F131" t="s">
        <v>58</v>
      </c>
      <c r="G131" t="s">
        <v>22</v>
      </c>
      <c r="H131" t="s">
        <v>23</v>
      </c>
      <c r="I131" t="s">
        <v>65</v>
      </c>
      <c r="J131" t="s">
        <v>68</v>
      </c>
      <c r="K131" t="s">
        <v>59</v>
      </c>
      <c r="L131" t="s">
        <v>60</v>
      </c>
      <c r="M131" s="8">
        <v>127</v>
      </c>
      <c r="N131" s="10">
        <v>45</v>
      </c>
      <c r="O131" s="10">
        <v>5429.25</v>
      </c>
      <c r="P131" s="10">
        <v>3429</v>
      </c>
      <c r="Q131" s="2">
        <v>2000.25</v>
      </c>
      <c r="R131" s="3">
        <v>0.05</v>
      </c>
      <c r="S131" t="s">
        <v>70</v>
      </c>
      <c r="T131" s="2">
        <v>374.25</v>
      </c>
    </row>
    <row r="132" spans="1:20" x14ac:dyDescent="0.25">
      <c r="A132">
        <v>100131</v>
      </c>
      <c r="B132" s="6">
        <v>45415</v>
      </c>
      <c r="C132">
        <v>2024</v>
      </c>
      <c r="D132" t="s">
        <v>20</v>
      </c>
      <c r="E132">
        <v>5</v>
      </c>
      <c r="F132" t="s">
        <v>21</v>
      </c>
      <c r="G132" t="s">
        <v>45</v>
      </c>
      <c r="H132" t="s">
        <v>23</v>
      </c>
      <c r="I132" t="s">
        <v>88</v>
      </c>
      <c r="J132" t="s">
        <v>61</v>
      </c>
      <c r="K132" t="s">
        <v>32</v>
      </c>
      <c r="L132" t="s">
        <v>33</v>
      </c>
      <c r="M132" s="8">
        <v>25</v>
      </c>
      <c r="N132" s="10">
        <v>60</v>
      </c>
      <c r="O132" s="10">
        <v>1350</v>
      </c>
      <c r="P132" s="10">
        <v>950</v>
      </c>
      <c r="Q132" s="2">
        <v>400</v>
      </c>
      <c r="R132" s="3">
        <v>0.1</v>
      </c>
      <c r="S132" t="s">
        <v>70</v>
      </c>
      <c r="T132" s="2">
        <v>33.659999999999997</v>
      </c>
    </row>
    <row r="133" spans="1:20" x14ac:dyDescent="0.25">
      <c r="A133">
        <v>100132</v>
      </c>
      <c r="B133" s="6">
        <v>45317</v>
      </c>
      <c r="C133">
        <v>2024</v>
      </c>
      <c r="D133" t="s">
        <v>63</v>
      </c>
      <c r="E133">
        <v>1</v>
      </c>
      <c r="F133" t="s">
        <v>79</v>
      </c>
      <c r="G133" t="s">
        <v>35</v>
      </c>
      <c r="H133" t="s">
        <v>23</v>
      </c>
      <c r="I133" t="s">
        <v>53</v>
      </c>
      <c r="J133" t="s">
        <v>54</v>
      </c>
      <c r="K133" t="s">
        <v>26</v>
      </c>
      <c r="L133" t="s">
        <v>27</v>
      </c>
      <c r="M133" s="8">
        <v>124</v>
      </c>
      <c r="N133" s="10">
        <v>110</v>
      </c>
      <c r="O133" s="10">
        <v>12276</v>
      </c>
      <c r="P133" s="10">
        <v>8432</v>
      </c>
      <c r="Q133" s="2">
        <v>3844</v>
      </c>
      <c r="R133" s="3">
        <v>0.1</v>
      </c>
      <c r="S133" t="s">
        <v>57</v>
      </c>
      <c r="T133" s="2">
        <v>839.78</v>
      </c>
    </row>
    <row r="134" spans="1:20" x14ac:dyDescent="0.25">
      <c r="A134">
        <v>100133</v>
      </c>
      <c r="B134" s="6">
        <v>45916</v>
      </c>
      <c r="C134">
        <v>2025</v>
      </c>
      <c r="D134" t="s">
        <v>39</v>
      </c>
      <c r="E134">
        <v>9</v>
      </c>
      <c r="F134" t="s">
        <v>40</v>
      </c>
      <c r="G134" t="s">
        <v>29</v>
      </c>
      <c r="H134" t="s">
        <v>23</v>
      </c>
      <c r="I134" t="s">
        <v>30</v>
      </c>
      <c r="J134" t="s">
        <v>25</v>
      </c>
      <c r="K134" t="s">
        <v>51</v>
      </c>
      <c r="L134" t="s">
        <v>52</v>
      </c>
      <c r="M134" s="8">
        <v>112</v>
      </c>
      <c r="N134" s="10">
        <v>75</v>
      </c>
      <c r="O134" s="10">
        <v>8400</v>
      </c>
      <c r="P134" s="10">
        <v>4928</v>
      </c>
      <c r="Q134" s="2">
        <v>3472</v>
      </c>
      <c r="R134" s="3">
        <v>0</v>
      </c>
      <c r="S134" t="s">
        <v>70</v>
      </c>
      <c r="T134" s="2">
        <v>401.48</v>
      </c>
    </row>
    <row r="135" spans="1:20" x14ac:dyDescent="0.25">
      <c r="A135">
        <v>100134</v>
      </c>
      <c r="B135" s="6">
        <v>45057</v>
      </c>
      <c r="C135">
        <v>2023</v>
      </c>
      <c r="D135" t="s">
        <v>20</v>
      </c>
      <c r="E135">
        <v>5</v>
      </c>
      <c r="F135" t="s">
        <v>21</v>
      </c>
      <c r="G135" t="s">
        <v>45</v>
      </c>
      <c r="H135" t="s">
        <v>23</v>
      </c>
      <c r="I135" t="s">
        <v>90</v>
      </c>
      <c r="J135" t="s">
        <v>50</v>
      </c>
      <c r="K135" t="s">
        <v>51</v>
      </c>
      <c r="L135" t="s">
        <v>52</v>
      </c>
      <c r="M135" s="8">
        <v>117</v>
      </c>
      <c r="N135" s="10">
        <v>75</v>
      </c>
      <c r="O135" s="10">
        <v>8336.25</v>
      </c>
      <c r="P135" s="10">
        <v>5148</v>
      </c>
      <c r="Q135" s="2">
        <v>3188.25</v>
      </c>
      <c r="R135" s="3">
        <v>0.05</v>
      </c>
      <c r="S135" t="s">
        <v>57</v>
      </c>
      <c r="T135" s="2">
        <v>493.66</v>
      </c>
    </row>
    <row r="136" spans="1:20" x14ac:dyDescent="0.25">
      <c r="A136">
        <v>100135</v>
      </c>
      <c r="B136" s="6">
        <v>45847</v>
      </c>
      <c r="C136">
        <v>2025</v>
      </c>
      <c r="D136" t="s">
        <v>39</v>
      </c>
      <c r="E136">
        <v>7</v>
      </c>
      <c r="F136" t="s">
        <v>75</v>
      </c>
      <c r="G136" t="s">
        <v>45</v>
      </c>
      <c r="H136" t="s">
        <v>23</v>
      </c>
      <c r="I136" t="s">
        <v>88</v>
      </c>
      <c r="J136" t="s">
        <v>68</v>
      </c>
      <c r="K136" t="s">
        <v>59</v>
      </c>
      <c r="L136" t="s">
        <v>60</v>
      </c>
      <c r="M136" s="8">
        <v>117</v>
      </c>
      <c r="N136" s="10">
        <v>45</v>
      </c>
      <c r="O136" s="10">
        <v>5159.7</v>
      </c>
      <c r="P136" s="10">
        <v>3159</v>
      </c>
      <c r="Q136" s="2">
        <v>2000.7</v>
      </c>
      <c r="R136" s="3">
        <v>0.02</v>
      </c>
      <c r="S136" t="s">
        <v>28</v>
      </c>
      <c r="T136" s="2">
        <v>84.32</v>
      </c>
    </row>
    <row r="137" spans="1:20" x14ac:dyDescent="0.25">
      <c r="A137">
        <v>100136</v>
      </c>
      <c r="B137" s="6">
        <v>45177</v>
      </c>
      <c r="C137">
        <v>2023</v>
      </c>
      <c r="D137" t="s">
        <v>39</v>
      </c>
      <c r="E137">
        <v>9</v>
      </c>
      <c r="F137" t="s">
        <v>40</v>
      </c>
      <c r="G137" t="s">
        <v>22</v>
      </c>
      <c r="H137" t="s">
        <v>23</v>
      </c>
      <c r="I137" t="s">
        <v>71</v>
      </c>
      <c r="J137" t="s">
        <v>50</v>
      </c>
      <c r="K137" t="s">
        <v>59</v>
      </c>
      <c r="L137" t="s">
        <v>91</v>
      </c>
      <c r="M137" s="8">
        <v>105</v>
      </c>
      <c r="N137" s="10">
        <v>140</v>
      </c>
      <c r="O137" s="10">
        <v>13965</v>
      </c>
      <c r="P137" s="10">
        <v>8610</v>
      </c>
      <c r="Q137" s="2">
        <v>5355</v>
      </c>
      <c r="R137" s="3">
        <v>0.05</v>
      </c>
      <c r="S137" t="s">
        <v>38</v>
      </c>
      <c r="T137" s="2">
        <v>975.96</v>
      </c>
    </row>
    <row r="138" spans="1:20" x14ac:dyDescent="0.25">
      <c r="A138">
        <v>100137</v>
      </c>
      <c r="B138" s="6">
        <v>45403</v>
      </c>
      <c r="C138">
        <v>2024</v>
      </c>
      <c r="D138" t="s">
        <v>20</v>
      </c>
      <c r="E138">
        <v>4</v>
      </c>
      <c r="F138" t="s">
        <v>34</v>
      </c>
      <c r="G138" t="s">
        <v>35</v>
      </c>
      <c r="H138" t="s">
        <v>23</v>
      </c>
      <c r="I138" t="s">
        <v>77</v>
      </c>
      <c r="J138" t="s">
        <v>54</v>
      </c>
      <c r="K138" t="s">
        <v>59</v>
      </c>
      <c r="L138" t="s">
        <v>91</v>
      </c>
      <c r="M138" s="8">
        <v>130</v>
      </c>
      <c r="N138" s="10">
        <v>140</v>
      </c>
      <c r="O138" s="10">
        <v>17290</v>
      </c>
      <c r="P138" s="10">
        <v>10660</v>
      </c>
      <c r="Q138" s="2">
        <v>6630</v>
      </c>
      <c r="R138" s="3">
        <v>0.05</v>
      </c>
      <c r="S138" t="s">
        <v>70</v>
      </c>
      <c r="T138" s="2">
        <v>656.63</v>
      </c>
    </row>
    <row r="139" spans="1:20" x14ac:dyDescent="0.25">
      <c r="A139">
        <v>100138</v>
      </c>
      <c r="B139" s="6">
        <v>45503</v>
      </c>
      <c r="C139">
        <v>2024</v>
      </c>
      <c r="D139" t="s">
        <v>39</v>
      </c>
      <c r="E139">
        <v>7</v>
      </c>
      <c r="F139" t="s">
        <v>75</v>
      </c>
      <c r="G139" t="s">
        <v>35</v>
      </c>
      <c r="H139" t="s">
        <v>23</v>
      </c>
      <c r="I139" t="s">
        <v>77</v>
      </c>
      <c r="J139" t="s">
        <v>66</v>
      </c>
      <c r="K139" t="s">
        <v>32</v>
      </c>
      <c r="L139" t="s">
        <v>33</v>
      </c>
      <c r="M139" s="8">
        <v>129</v>
      </c>
      <c r="N139" s="10">
        <v>60</v>
      </c>
      <c r="O139" s="10">
        <v>7585.2</v>
      </c>
      <c r="P139" s="10">
        <v>4902</v>
      </c>
      <c r="Q139" s="2">
        <v>2683.2</v>
      </c>
      <c r="R139" s="3">
        <v>0.02</v>
      </c>
      <c r="S139" t="s">
        <v>70</v>
      </c>
      <c r="T139" s="2">
        <v>237.39</v>
      </c>
    </row>
    <row r="140" spans="1:20" x14ac:dyDescent="0.25">
      <c r="A140">
        <v>100139</v>
      </c>
      <c r="B140" s="6">
        <v>45358</v>
      </c>
      <c r="C140">
        <v>2024</v>
      </c>
      <c r="D140" t="s">
        <v>63</v>
      </c>
      <c r="E140">
        <v>3</v>
      </c>
      <c r="F140" t="s">
        <v>64</v>
      </c>
      <c r="G140" t="s">
        <v>45</v>
      </c>
      <c r="H140" t="s">
        <v>23</v>
      </c>
      <c r="I140" t="s">
        <v>46</v>
      </c>
      <c r="J140" t="s">
        <v>25</v>
      </c>
      <c r="K140" t="s">
        <v>55</v>
      </c>
      <c r="L140" t="s">
        <v>93</v>
      </c>
      <c r="M140" s="8">
        <v>58</v>
      </c>
      <c r="N140" s="10">
        <v>60</v>
      </c>
      <c r="O140" s="10">
        <v>3375.6</v>
      </c>
      <c r="P140" s="10">
        <v>2436</v>
      </c>
      <c r="Q140" s="2">
        <v>939.6</v>
      </c>
      <c r="R140" s="3">
        <v>0.03</v>
      </c>
      <c r="S140" t="s">
        <v>28</v>
      </c>
      <c r="T140" s="2">
        <v>73.739999999999995</v>
      </c>
    </row>
    <row r="141" spans="1:20" x14ac:dyDescent="0.25">
      <c r="A141">
        <v>100140</v>
      </c>
      <c r="B141" s="6">
        <v>44987</v>
      </c>
      <c r="C141">
        <v>2023</v>
      </c>
      <c r="D141" t="s">
        <v>63</v>
      </c>
      <c r="E141">
        <v>3</v>
      </c>
      <c r="F141" t="s">
        <v>64</v>
      </c>
      <c r="G141" t="s">
        <v>45</v>
      </c>
      <c r="H141" t="s">
        <v>23</v>
      </c>
      <c r="I141" t="s">
        <v>90</v>
      </c>
      <c r="J141" t="s">
        <v>61</v>
      </c>
      <c r="K141" t="s">
        <v>59</v>
      </c>
      <c r="L141" t="s">
        <v>67</v>
      </c>
      <c r="M141" s="8">
        <v>72</v>
      </c>
      <c r="N141" s="10">
        <v>95</v>
      </c>
      <c r="O141" s="10">
        <v>6156</v>
      </c>
      <c r="P141" s="10">
        <v>4032</v>
      </c>
      <c r="Q141" s="2">
        <v>2124</v>
      </c>
      <c r="R141" s="3">
        <v>0.1</v>
      </c>
      <c r="S141" t="s">
        <v>28</v>
      </c>
      <c r="T141" s="2">
        <v>250.59</v>
      </c>
    </row>
    <row r="142" spans="1:20" x14ac:dyDescent="0.25">
      <c r="A142">
        <v>100141</v>
      </c>
      <c r="B142" s="6">
        <v>45490</v>
      </c>
      <c r="C142">
        <v>2024</v>
      </c>
      <c r="D142" t="s">
        <v>39</v>
      </c>
      <c r="E142">
        <v>7</v>
      </c>
      <c r="F142" t="s">
        <v>75</v>
      </c>
      <c r="G142" t="s">
        <v>29</v>
      </c>
      <c r="H142" t="s">
        <v>23</v>
      </c>
      <c r="I142" t="s">
        <v>30</v>
      </c>
      <c r="J142" t="s">
        <v>66</v>
      </c>
      <c r="K142" t="s">
        <v>51</v>
      </c>
      <c r="L142" t="s">
        <v>92</v>
      </c>
      <c r="M142" s="8">
        <v>72</v>
      </c>
      <c r="N142" s="10">
        <v>50</v>
      </c>
      <c r="O142" s="10">
        <v>3528</v>
      </c>
      <c r="P142" s="10">
        <v>2088</v>
      </c>
      <c r="Q142" s="2">
        <v>1440</v>
      </c>
      <c r="R142" s="3">
        <v>0.02</v>
      </c>
      <c r="S142" t="s">
        <v>38</v>
      </c>
      <c r="T142" s="2">
        <v>214.1</v>
      </c>
    </row>
    <row r="143" spans="1:20" x14ac:dyDescent="0.25">
      <c r="A143">
        <v>100142</v>
      </c>
      <c r="B143" s="6">
        <v>45152</v>
      </c>
      <c r="C143">
        <v>2023</v>
      </c>
      <c r="D143" t="s">
        <v>39</v>
      </c>
      <c r="E143">
        <v>8</v>
      </c>
      <c r="F143" t="s">
        <v>58</v>
      </c>
      <c r="G143" t="s">
        <v>45</v>
      </c>
      <c r="H143" t="s">
        <v>23</v>
      </c>
      <c r="I143" t="s">
        <v>88</v>
      </c>
      <c r="J143" t="s">
        <v>66</v>
      </c>
      <c r="K143" t="s">
        <v>32</v>
      </c>
      <c r="L143" t="s">
        <v>33</v>
      </c>
      <c r="M143" s="8">
        <v>12</v>
      </c>
      <c r="N143" s="10">
        <v>60</v>
      </c>
      <c r="O143" s="10">
        <v>662.4</v>
      </c>
      <c r="P143" s="10">
        <v>456</v>
      </c>
      <c r="Q143" s="2">
        <v>206.4</v>
      </c>
      <c r="R143" s="3">
        <v>0.08</v>
      </c>
      <c r="S143" t="s">
        <v>28</v>
      </c>
      <c r="T143" s="2">
        <v>39.11</v>
      </c>
    </row>
    <row r="144" spans="1:20" x14ac:dyDescent="0.25">
      <c r="A144">
        <v>100143</v>
      </c>
      <c r="B144" s="6">
        <v>45615</v>
      </c>
      <c r="C144">
        <v>2024</v>
      </c>
      <c r="D144" t="s">
        <v>43</v>
      </c>
      <c r="E144">
        <v>11</v>
      </c>
      <c r="F144" t="s">
        <v>87</v>
      </c>
      <c r="G144" t="s">
        <v>45</v>
      </c>
      <c r="H144" t="s">
        <v>23</v>
      </c>
      <c r="I144" t="s">
        <v>90</v>
      </c>
      <c r="J144" t="s">
        <v>68</v>
      </c>
      <c r="K144" t="s">
        <v>59</v>
      </c>
      <c r="L144" t="s">
        <v>60</v>
      </c>
      <c r="M144" s="8">
        <v>70</v>
      </c>
      <c r="N144" s="10">
        <v>45</v>
      </c>
      <c r="O144" s="10">
        <v>3087</v>
      </c>
      <c r="P144" s="10">
        <v>1890</v>
      </c>
      <c r="Q144" s="2">
        <v>1197</v>
      </c>
      <c r="R144" s="3">
        <v>0.02</v>
      </c>
      <c r="S144" t="s">
        <v>57</v>
      </c>
      <c r="T144" s="2">
        <v>133.79</v>
      </c>
    </row>
    <row r="145" spans="1:20" x14ac:dyDescent="0.25">
      <c r="A145">
        <v>100144</v>
      </c>
      <c r="B145" s="6">
        <v>45142</v>
      </c>
      <c r="C145">
        <v>2023</v>
      </c>
      <c r="D145" t="s">
        <v>39</v>
      </c>
      <c r="E145">
        <v>8</v>
      </c>
      <c r="F145" t="s">
        <v>58</v>
      </c>
      <c r="G145" t="s">
        <v>22</v>
      </c>
      <c r="H145" t="s">
        <v>23</v>
      </c>
      <c r="I145" t="s">
        <v>65</v>
      </c>
      <c r="J145" t="s">
        <v>50</v>
      </c>
      <c r="K145" t="s">
        <v>59</v>
      </c>
      <c r="L145" t="s">
        <v>60</v>
      </c>
      <c r="M145" s="8">
        <v>129</v>
      </c>
      <c r="N145" s="10">
        <v>45</v>
      </c>
      <c r="O145" s="10">
        <v>5514.75</v>
      </c>
      <c r="P145" s="10">
        <v>3483</v>
      </c>
      <c r="Q145" s="2">
        <v>2031.75</v>
      </c>
      <c r="R145" s="3">
        <v>0.05</v>
      </c>
      <c r="S145" t="s">
        <v>70</v>
      </c>
      <c r="T145" s="2">
        <v>93.3</v>
      </c>
    </row>
    <row r="146" spans="1:20" x14ac:dyDescent="0.25">
      <c r="A146">
        <v>100145</v>
      </c>
      <c r="B146" s="6">
        <v>45878</v>
      </c>
      <c r="C146">
        <v>2025</v>
      </c>
      <c r="D146" t="s">
        <v>39</v>
      </c>
      <c r="E146">
        <v>8</v>
      </c>
      <c r="F146" t="s">
        <v>58</v>
      </c>
      <c r="G146" t="s">
        <v>22</v>
      </c>
      <c r="H146" t="s">
        <v>23</v>
      </c>
      <c r="I146" t="s">
        <v>24</v>
      </c>
      <c r="J146" t="s">
        <v>42</v>
      </c>
      <c r="K146" t="s">
        <v>32</v>
      </c>
      <c r="L146" t="s">
        <v>37</v>
      </c>
      <c r="M146" s="8">
        <v>85</v>
      </c>
      <c r="N146" s="10">
        <v>120</v>
      </c>
      <c r="O146" s="10">
        <v>10200</v>
      </c>
      <c r="P146" s="10">
        <v>6630</v>
      </c>
      <c r="Q146" s="2">
        <v>3570</v>
      </c>
      <c r="R146" s="3">
        <v>0</v>
      </c>
      <c r="S146" t="s">
        <v>70</v>
      </c>
      <c r="T146" s="2">
        <v>337.6</v>
      </c>
    </row>
    <row r="147" spans="1:20" x14ac:dyDescent="0.25">
      <c r="A147">
        <v>100146</v>
      </c>
      <c r="B147" s="6">
        <v>45881</v>
      </c>
      <c r="C147">
        <v>2025</v>
      </c>
      <c r="D147" t="s">
        <v>39</v>
      </c>
      <c r="E147">
        <v>8</v>
      </c>
      <c r="F147" t="s">
        <v>58</v>
      </c>
      <c r="G147" t="s">
        <v>35</v>
      </c>
      <c r="H147" t="s">
        <v>23</v>
      </c>
      <c r="I147" t="s">
        <v>80</v>
      </c>
      <c r="J147" t="s">
        <v>68</v>
      </c>
      <c r="K147" t="s">
        <v>51</v>
      </c>
      <c r="L147" t="s">
        <v>76</v>
      </c>
      <c r="M147" s="8">
        <v>81</v>
      </c>
      <c r="N147" s="10">
        <v>40</v>
      </c>
      <c r="O147" s="10">
        <v>3078</v>
      </c>
      <c r="P147" s="10">
        <v>1863</v>
      </c>
      <c r="Q147" s="2">
        <v>1215</v>
      </c>
      <c r="R147" s="3">
        <v>0.05</v>
      </c>
      <c r="S147" t="s">
        <v>38</v>
      </c>
      <c r="T147" s="2">
        <v>54.43</v>
      </c>
    </row>
    <row r="148" spans="1:20" x14ac:dyDescent="0.25">
      <c r="A148">
        <v>100147</v>
      </c>
      <c r="B148" s="6">
        <v>45899</v>
      </c>
      <c r="C148">
        <v>2025</v>
      </c>
      <c r="D148" t="s">
        <v>39</v>
      </c>
      <c r="E148">
        <v>8</v>
      </c>
      <c r="F148" t="s">
        <v>58</v>
      </c>
      <c r="G148" t="s">
        <v>29</v>
      </c>
      <c r="H148" t="s">
        <v>23</v>
      </c>
      <c r="I148" t="s">
        <v>73</v>
      </c>
      <c r="J148" t="s">
        <v>25</v>
      </c>
      <c r="K148" t="s">
        <v>55</v>
      </c>
      <c r="L148" t="s">
        <v>84</v>
      </c>
      <c r="M148" s="8">
        <v>49</v>
      </c>
      <c r="N148" s="10">
        <v>55</v>
      </c>
      <c r="O148" s="10">
        <v>2479.4</v>
      </c>
      <c r="P148" s="10">
        <v>1813</v>
      </c>
      <c r="Q148" s="2">
        <v>666.4</v>
      </c>
      <c r="R148" s="3">
        <v>0.08</v>
      </c>
      <c r="S148" t="s">
        <v>57</v>
      </c>
      <c r="T148" s="2">
        <v>107.57</v>
      </c>
    </row>
    <row r="149" spans="1:20" x14ac:dyDescent="0.25">
      <c r="A149">
        <v>100148</v>
      </c>
      <c r="B149" s="6">
        <v>45990</v>
      </c>
      <c r="C149">
        <v>2025</v>
      </c>
      <c r="D149" t="s">
        <v>43</v>
      </c>
      <c r="E149">
        <v>11</v>
      </c>
      <c r="F149" t="s">
        <v>87</v>
      </c>
      <c r="G149" t="s">
        <v>35</v>
      </c>
      <c r="H149" t="s">
        <v>23</v>
      </c>
      <c r="I149" t="s">
        <v>80</v>
      </c>
      <c r="J149" t="s">
        <v>31</v>
      </c>
      <c r="K149" t="s">
        <v>59</v>
      </c>
      <c r="L149" t="s">
        <v>60</v>
      </c>
      <c r="M149" s="8">
        <v>42</v>
      </c>
      <c r="N149" s="10">
        <v>45</v>
      </c>
      <c r="O149" s="10">
        <v>1738.8</v>
      </c>
      <c r="P149" s="10">
        <v>1134</v>
      </c>
      <c r="Q149" s="2">
        <v>604.79999999999995</v>
      </c>
      <c r="R149" s="3">
        <v>0.08</v>
      </c>
      <c r="S149" t="s">
        <v>38</v>
      </c>
      <c r="T149" s="2">
        <v>102.34</v>
      </c>
    </row>
    <row r="150" spans="1:20" x14ac:dyDescent="0.25">
      <c r="A150">
        <v>100149</v>
      </c>
      <c r="B150" s="6">
        <v>45497</v>
      </c>
      <c r="C150">
        <v>2024</v>
      </c>
      <c r="D150" t="s">
        <v>39</v>
      </c>
      <c r="E150">
        <v>7</v>
      </c>
      <c r="F150" t="s">
        <v>75</v>
      </c>
      <c r="G150" t="s">
        <v>22</v>
      </c>
      <c r="H150" t="s">
        <v>23</v>
      </c>
      <c r="I150" t="s">
        <v>65</v>
      </c>
      <c r="J150" t="s">
        <v>54</v>
      </c>
      <c r="K150" t="s">
        <v>26</v>
      </c>
      <c r="L150" t="s">
        <v>69</v>
      </c>
      <c r="M150" s="8">
        <v>54</v>
      </c>
      <c r="N150" s="10">
        <v>130</v>
      </c>
      <c r="O150" s="10">
        <v>6669</v>
      </c>
      <c r="P150" s="10">
        <v>4104</v>
      </c>
      <c r="Q150" s="2">
        <v>2565</v>
      </c>
      <c r="R150" s="3">
        <v>0.05</v>
      </c>
      <c r="S150" t="s">
        <v>57</v>
      </c>
      <c r="T150" s="2">
        <v>349.51</v>
      </c>
    </row>
    <row r="151" spans="1:20" x14ac:dyDescent="0.25">
      <c r="A151">
        <v>100150</v>
      </c>
      <c r="B151" s="6">
        <v>45626</v>
      </c>
      <c r="C151">
        <v>2024</v>
      </c>
      <c r="D151" t="s">
        <v>43</v>
      </c>
      <c r="E151">
        <v>11</v>
      </c>
      <c r="F151" t="s">
        <v>87</v>
      </c>
      <c r="G151" t="s">
        <v>22</v>
      </c>
      <c r="H151" t="s">
        <v>23</v>
      </c>
      <c r="I151" t="s">
        <v>71</v>
      </c>
      <c r="J151" t="s">
        <v>25</v>
      </c>
      <c r="K151" t="s">
        <v>55</v>
      </c>
      <c r="L151" t="s">
        <v>84</v>
      </c>
      <c r="M151" s="8">
        <v>40</v>
      </c>
      <c r="N151" s="10">
        <v>55</v>
      </c>
      <c r="O151" s="10">
        <v>2024</v>
      </c>
      <c r="P151" s="10">
        <v>1480</v>
      </c>
      <c r="Q151" s="2">
        <v>544</v>
      </c>
      <c r="R151" s="3">
        <v>0.08</v>
      </c>
      <c r="S151" t="s">
        <v>38</v>
      </c>
      <c r="T151" s="2">
        <v>44.71</v>
      </c>
    </row>
    <row r="152" spans="1:20" x14ac:dyDescent="0.25">
      <c r="A152">
        <v>100151</v>
      </c>
      <c r="B152" s="6">
        <v>45008</v>
      </c>
      <c r="C152">
        <v>2023</v>
      </c>
      <c r="D152" t="s">
        <v>63</v>
      </c>
      <c r="E152">
        <v>3</v>
      </c>
      <c r="F152" t="s">
        <v>64</v>
      </c>
      <c r="G152" t="s">
        <v>29</v>
      </c>
      <c r="H152" t="s">
        <v>23</v>
      </c>
      <c r="I152" t="s">
        <v>85</v>
      </c>
      <c r="J152" t="s">
        <v>66</v>
      </c>
      <c r="K152" t="s">
        <v>26</v>
      </c>
      <c r="L152" t="s">
        <v>27</v>
      </c>
      <c r="M152" s="8">
        <v>21</v>
      </c>
      <c r="N152" s="10">
        <v>110</v>
      </c>
      <c r="O152" s="10">
        <v>2310</v>
      </c>
      <c r="P152" s="10">
        <v>1428</v>
      </c>
      <c r="Q152" s="2">
        <v>882</v>
      </c>
      <c r="R152" s="3">
        <v>0</v>
      </c>
      <c r="S152" t="s">
        <v>38</v>
      </c>
      <c r="T152" s="2">
        <v>71.12</v>
      </c>
    </row>
    <row r="153" spans="1:20" x14ac:dyDescent="0.25">
      <c r="A153">
        <v>100152</v>
      </c>
      <c r="B153" s="6">
        <v>44943</v>
      </c>
      <c r="C153">
        <v>2023</v>
      </c>
      <c r="D153" t="s">
        <v>63</v>
      </c>
      <c r="E153">
        <v>1</v>
      </c>
      <c r="F153" t="s">
        <v>79</v>
      </c>
      <c r="G153" t="s">
        <v>29</v>
      </c>
      <c r="H153" t="s">
        <v>23</v>
      </c>
      <c r="I153" t="s">
        <v>30</v>
      </c>
      <c r="J153" t="s">
        <v>25</v>
      </c>
      <c r="K153" t="s">
        <v>51</v>
      </c>
      <c r="L153" t="s">
        <v>72</v>
      </c>
      <c r="M153" s="8">
        <v>97</v>
      </c>
      <c r="N153" s="10">
        <v>90</v>
      </c>
      <c r="O153" s="10">
        <v>8031.6</v>
      </c>
      <c r="P153" s="10">
        <v>5044</v>
      </c>
      <c r="Q153" s="2">
        <v>2987.6</v>
      </c>
      <c r="R153" s="3">
        <v>0.08</v>
      </c>
      <c r="S153" t="s">
        <v>57</v>
      </c>
      <c r="T153" s="2">
        <v>177.21</v>
      </c>
    </row>
    <row r="154" spans="1:20" x14ac:dyDescent="0.25">
      <c r="A154">
        <v>100153</v>
      </c>
      <c r="B154" s="6">
        <v>45512</v>
      </c>
      <c r="C154">
        <v>2024</v>
      </c>
      <c r="D154" t="s">
        <v>39</v>
      </c>
      <c r="E154">
        <v>8</v>
      </c>
      <c r="F154" t="s">
        <v>58</v>
      </c>
      <c r="G154" t="s">
        <v>45</v>
      </c>
      <c r="H154" t="s">
        <v>23</v>
      </c>
      <c r="I154" t="s">
        <v>62</v>
      </c>
      <c r="J154" t="s">
        <v>66</v>
      </c>
      <c r="K154" t="s">
        <v>26</v>
      </c>
      <c r="L154" t="s">
        <v>82</v>
      </c>
      <c r="M154" s="8">
        <v>69</v>
      </c>
      <c r="N154" s="10">
        <v>105</v>
      </c>
      <c r="O154" s="10">
        <v>7245</v>
      </c>
      <c r="P154" s="10">
        <v>4209</v>
      </c>
      <c r="Q154" s="2">
        <v>3036</v>
      </c>
      <c r="R154" s="3">
        <v>0</v>
      </c>
      <c r="S154" t="s">
        <v>28</v>
      </c>
      <c r="T154" s="2">
        <v>409.01</v>
      </c>
    </row>
    <row r="155" spans="1:20" x14ac:dyDescent="0.25">
      <c r="A155">
        <v>100154</v>
      </c>
      <c r="B155" s="6">
        <v>45410</v>
      </c>
      <c r="C155">
        <v>2024</v>
      </c>
      <c r="D155" t="s">
        <v>20</v>
      </c>
      <c r="E155">
        <v>4</v>
      </c>
      <c r="F155" t="s">
        <v>34</v>
      </c>
      <c r="G155" t="s">
        <v>35</v>
      </c>
      <c r="H155" t="s">
        <v>23</v>
      </c>
      <c r="I155" t="s">
        <v>80</v>
      </c>
      <c r="J155" t="s">
        <v>42</v>
      </c>
      <c r="K155" t="s">
        <v>51</v>
      </c>
      <c r="L155" t="s">
        <v>92</v>
      </c>
      <c r="M155" s="8">
        <v>21</v>
      </c>
      <c r="N155" s="10">
        <v>50</v>
      </c>
      <c r="O155" s="10">
        <v>1050</v>
      </c>
      <c r="P155" s="10">
        <v>609</v>
      </c>
      <c r="Q155" s="2">
        <v>441</v>
      </c>
      <c r="R155" s="3">
        <v>0</v>
      </c>
      <c r="S155" t="s">
        <v>38</v>
      </c>
      <c r="T155" s="2">
        <v>49.37</v>
      </c>
    </row>
    <row r="156" spans="1:20" x14ac:dyDescent="0.25">
      <c r="A156">
        <v>100155</v>
      </c>
      <c r="B156" s="6">
        <v>45136</v>
      </c>
      <c r="C156">
        <v>2023</v>
      </c>
      <c r="D156" t="s">
        <v>39</v>
      </c>
      <c r="E156">
        <v>7</v>
      </c>
      <c r="F156" t="s">
        <v>75</v>
      </c>
      <c r="G156" t="s">
        <v>35</v>
      </c>
      <c r="H156" t="s">
        <v>23</v>
      </c>
      <c r="I156" t="s">
        <v>36</v>
      </c>
      <c r="J156" t="s">
        <v>42</v>
      </c>
      <c r="K156" t="s">
        <v>55</v>
      </c>
      <c r="L156" t="s">
        <v>93</v>
      </c>
      <c r="M156" s="8">
        <v>134</v>
      </c>
      <c r="N156" s="10">
        <v>60</v>
      </c>
      <c r="O156" s="10">
        <v>7798.8</v>
      </c>
      <c r="P156" s="10">
        <v>5628</v>
      </c>
      <c r="Q156" s="2">
        <v>2170.8000000000002</v>
      </c>
      <c r="R156" s="3">
        <v>0.03</v>
      </c>
      <c r="S156" t="s">
        <v>38</v>
      </c>
      <c r="T156" s="2">
        <v>145.13</v>
      </c>
    </row>
    <row r="157" spans="1:20" x14ac:dyDescent="0.25">
      <c r="A157">
        <v>100156</v>
      </c>
      <c r="B157" s="6">
        <v>45005</v>
      </c>
      <c r="C157">
        <v>2023</v>
      </c>
      <c r="D157" t="s">
        <v>63</v>
      </c>
      <c r="E157">
        <v>3</v>
      </c>
      <c r="F157" t="s">
        <v>64</v>
      </c>
      <c r="G157" t="s">
        <v>29</v>
      </c>
      <c r="H157" t="s">
        <v>23</v>
      </c>
      <c r="I157" t="s">
        <v>30</v>
      </c>
      <c r="J157" t="s">
        <v>50</v>
      </c>
      <c r="K157" t="s">
        <v>51</v>
      </c>
      <c r="L157" t="s">
        <v>52</v>
      </c>
      <c r="M157" s="8">
        <v>35</v>
      </c>
      <c r="N157" s="10">
        <v>75</v>
      </c>
      <c r="O157" s="10">
        <v>2625</v>
      </c>
      <c r="P157" s="10">
        <v>1540</v>
      </c>
      <c r="Q157" s="2">
        <v>1085</v>
      </c>
      <c r="R157" s="3">
        <v>0</v>
      </c>
      <c r="S157" t="s">
        <v>70</v>
      </c>
      <c r="T157" s="2">
        <v>107.02</v>
      </c>
    </row>
    <row r="158" spans="1:20" x14ac:dyDescent="0.25">
      <c r="A158">
        <v>100157</v>
      </c>
      <c r="B158" s="6">
        <v>45323</v>
      </c>
      <c r="C158">
        <v>2024</v>
      </c>
      <c r="D158" t="s">
        <v>63</v>
      </c>
      <c r="E158">
        <v>2</v>
      </c>
      <c r="F158" t="s">
        <v>81</v>
      </c>
      <c r="G158" t="s">
        <v>45</v>
      </c>
      <c r="H158" t="s">
        <v>23</v>
      </c>
      <c r="I158" t="s">
        <v>90</v>
      </c>
      <c r="J158" t="s">
        <v>66</v>
      </c>
      <c r="K158" t="s">
        <v>59</v>
      </c>
      <c r="L158" t="s">
        <v>60</v>
      </c>
      <c r="M158" s="8">
        <v>84</v>
      </c>
      <c r="N158" s="10">
        <v>45</v>
      </c>
      <c r="O158" s="10">
        <v>3704.4</v>
      </c>
      <c r="P158" s="10">
        <v>2268</v>
      </c>
      <c r="Q158" s="2">
        <v>1436.4</v>
      </c>
      <c r="R158" s="3">
        <v>0.02</v>
      </c>
      <c r="S158" t="s">
        <v>38</v>
      </c>
      <c r="T158" s="2">
        <v>72.349999999999994</v>
      </c>
    </row>
    <row r="159" spans="1:20" x14ac:dyDescent="0.25">
      <c r="A159">
        <v>100158</v>
      </c>
      <c r="B159" s="6">
        <v>45775</v>
      </c>
      <c r="C159">
        <v>2025</v>
      </c>
      <c r="D159" t="s">
        <v>20</v>
      </c>
      <c r="E159">
        <v>4</v>
      </c>
      <c r="F159" t="s">
        <v>34</v>
      </c>
      <c r="G159" t="s">
        <v>35</v>
      </c>
      <c r="H159" t="s">
        <v>23</v>
      </c>
      <c r="I159" t="s">
        <v>80</v>
      </c>
      <c r="J159" t="s">
        <v>50</v>
      </c>
      <c r="K159" t="s">
        <v>32</v>
      </c>
      <c r="L159" t="s">
        <v>37</v>
      </c>
      <c r="M159" s="8">
        <v>30</v>
      </c>
      <c r="N159" s="10">
        <v>120</v>
      </c>
      <c r="O159" s="10">
        <v>3312</v>
      </c>
      <c r="P159" s="10">
        <v>2340</v>
      </c>
      <c r="Q159" s="2">
        <v>972</v>
      </c>
      <c r="R159" s="3">
        <v>0.08</v>
      </c>
      <c r="S159" t="s">
        <v>38</v>
      </c>
      <c r="T159" s="2">
        <v>205.86</v>
      </c>
    </row>
    <row r="160" spans="1:20" x14ac:dyDescent="0.25">
      <c r="A160">
        <v>100159</v>
      </c>
      <c r="B160" s="6">
        <v>45496</v>
      </c>
      <c r="C160">
        <v>2024</v>
      </c>
      <c r="D160" t="s">
        <v>39</v>
      </c>
      <c r="E160">
        <v>7</v>
      </c>
      <c r="F160" t="s">
        <v>75</v>
      </c>
      <c r="G160" t="s">
        <v>29</v>
      </c>
      <c r="H160" t="s">
        <v>23</v>
      </c>
      <c r="I160" t="s">
        <v>85</v>
      </c>
      <c r="J160" t="s">
        <v>68</v>
      </c>
      <c r="K160" t="s">
        <v>51</v>
      </c>
      <c r="L160" t="s">
        <v>92</v>
      </c>
      <c r="M160" s="8">
        <v>73</v>
      </c>
      <c r="N160" s="10">
        <v>50</v>
      </c>
      <c r="O160" s="10">
        <v>3358</v>
      </c>
      <c r="P160" s="10">
        <v>2117</v>
      </c>
      <c r="Q160" s="2">
        <v>1241</v>
      </c>
      <c r="R160" s="3">
        <v>0.08</v>
      </c>
      <c r="S160" t="s">
        <v>28</v>
      </c>
      <c r="T160" s="2">
        <v>182.41</v>
      </c>
    </row>
    <row r="161" spans="1:20" x14ac:dyDescent="0.25">
      <c r="A161">
        <v>100160</v>
      </c>
      <c r="B161" s="6">
        <v>45134</v>
      </c>
      <c r="C161">
        <v>2023</v>
      </c>
      <c r="D161" t="s">
        <v>39</v>
      </c>
      <c r="E161">
        <v>7</v>
      </c>
      <c r="F161" t="s">
        <v>75</v>
      </c>
      <c r="G161" t="s">
        <v>22</v>
      </c>
      <c r="H161" t="s">
        <v>23</v>
      </c>
      <c r="I161" t="s">
        <v>65</v>
      </c>
      <c r="J161" t="s">
        <v>66</v>
      </c>
      <c r="K161" t="s">
        <v>32</v>
      </c>
      <c r="L161" t="s">
        <v>37</v>
      </c>
      <c r="M161" s="8">
        <v>102</v>
      </c>
      <c r="N161" s="10">
        <v>120</v>
      </c>
      <c r="O161" s="10">
        <v>11628</v>
      </c>
      <c r="P161" s="10">
        <v>7956</v>
      </c>
      <c r="Q161" s="2">
        <v>3672</v>
      </c>
      <c r="R161" s="3">
        <v>0.05</v>
      </c>
      <c r="S161" t="s">
        <v>70</v>
      </c>
      <c r="T161" s="2">
        <v>667.46</v>
      </c>
    </row>
    <row r="162" spans="1:20" x14ac:dyDescent="0.25">
      <c r="A162">
        <v>100161</v>
      </c>
      <c r="B162" s="6">
        <v>45125</v>
      </c>
      <c r="C162">
        <v>2023</v>
      </c>
      <c r="D162" t="s">
        <v>39</v>
      </c>
      <c r="E162">
        <v>7</v>
      </c>
      <c r="F162" t="s">
        <v>75</v>
      </c>
      <c r="G162" t="s">
        <v>22</v>
      </c>
      <c r="H162" t="s">
        <v>23</v>
      </c>
      <c r="I162" t="s">
        <v>71</v>
      </c>
      <c r="J162" t="s">
        <v>66</v>
      </c>
      <c r="K162" t="s">
        <v>32</v>
      </c>
      <c r="L162" t="s">
        <v>37</v>
      </c>
      <c r="M162" s="8">
        <v>33</v>
      </c>
      <c r="N162" s="10">
        <v>120</v>
      </c>
      <c r="O162" s="10">
        <v>3564</v>
      </c>
      <c r="P162" s="10">
        <v>2574</v>
      </c>
      <c r="Q162" s="2">
        <v>990</v>
      </c>
      <c r="R162" s="3">
        <v>0.1</v>
      </c>
      <c r="S162" t="s">
        <v>70</v>
      </c>
      <c r="T162" s="2">
        <v>174.34</v>
      </c>
    </row>
    <row r="163" spans="1:20" x14ac:dyDescent="0.25">
      <c r="A163">
        <v>100162</v>
      </c>
      <c r="B163" s="6">
        <v>45660</v>
      </c>
      <c r="C163">
        <v>2025</v>
      </c>
      <c r="D163" t="s">
        <v>63</v>
      </c>
      <c r="E163">
        <v>1</v>
      </c>
      <c r="F163" t="s">
        <v>79</v>
      </c>
      <c r="G163" t="s">
        <v>35</v>
      </c>
      <c r="H163" t="s">
        <v>23</v>
      </c>
      <c r="I163" t="s">
        <v>53</v>
      </c>
      <c r="J163" t="s">
        <v>42</v>
      </c>
      <c r="K163" t="s">
        <v>32</v>
      </c>
      <c r="L163" t="s">
        <v>47</v>
      </c>
      <c r="M163" s="8">
        <v>93</v>
      </c>
      <c r="N163" s="10">
        <v>180</v>
      </c>
      <c r="O163" s="10">
        <v>16237.8</v>
      </c>
      <c r="P163" s="10">
        <v>10695</v>
      </c>
      <c r="Q163" s="2">
        <v>5542.8</v>
      </c>
      <c r="R163" s="3">
        <v>0.03</v>
      </c>
      <c r="S163" t="s">
        <v>38</v>
      </c>
      <c r="T163" s="2">
        <v>422.65</v>
      </c>
    </row>
    <row r="164" spans="1:20" x14ac:dyDescent="0.25">
      <c r="A164">
        <v>100163</v>
      </c>
      <c r="B164" s="6">
        <v>45652</v>
      </c>
      <c r="C164">
        <v>2024</v>
      </c>
      <c r="D164" t="s">
        <v>43</v>
      </c>
      <c r="E164">
        <v>12</v>
      </c>
      <c r="F164" t="s">
        <v>83</v>
      </c>
      <c r="G164" t="s">
        <v>35</v>
      </c>
      <c r="H164" t="s">
        <v>23</v>
      </c>
      <c r="I164" t="s">
        <v>77</v>
      </c>
      <c r="J164" t="s">
        <v>31</v>
      </c>
      <c r="K164" t="s">
        <v>51</v>
      </c>
      <c r="L164" t="s">
        <v>72</v>
      </c>
      <c r="M164" s="8">
        <v>81</v>
      </c>
      <c r="N164" s="10">
        <v>90</v>
      </c>
      <c r="O164" s="10">
        <v>7144.2</v>
      </c>
      <c r="P164" s="10">
        <v>4212</v>
      </c>
      <c r="Q164" s="2">
        <v>2932.2</v>
      </c>
      <c r="R164" s="3">
        <v>0.02</v>
      </c>
      <c r="S164" t="s">
        <v>70</v>
      </c>
      <c r="T164" s="2">
        <v>286.02999999999997</v>
      </c>
    </row>
    <row r="165" spans="1:20" x14ac:dyDescent="0.25">
      <c r="A165">
        <v>100164</v>
      </c>
      <c r="B165" s="6">
        <v>45264</v>
      </c>
      <c r="C165">
        <v>2023</v>
      </c>
      <c r="D165" t="s">
        <v>43</v>
      </c>
      <c r="E165">
        <v>12</v>
      </c>
      <c r="F165" t="s">
        <v>83</v>
      </c>
      <c r="G165" t="s">
        <v>35</v>
      </c>
      <c r="H165" t="s">
        <v>23</v>
      </c>
      <c r="I165" t="s">
        <v>53</v>
      </c>
      <c r="J165" t="s">
        <v>66</v>
      </c>
      <c r="K165" t="s">
        <v>59</v>
      </c>
      <c r="L165" t="s">
        <v>91</v>
      </c>
      <c r="M165" s="8">
        <v>20</v>
      </c>
      <c r="N165" s="10">
        <v>140</v>
      </c>
      <c r="O165" s="10">
        <v>2660</v>
      </c>
      <c r="P165" s="10">
        <v>1640</v>
      </c>
      <c r="Q165" s="2">
        <v>1020</v>
      </c>
      <c r="R165" s="3">
        <v>0.05</v>
      </c>
      <c r="S165" t="s">
        <v>28</v>
      </c>
      <c r="T165" s="2">
        <v>165.74</v>
      </c>
    </row>
    <row r="166" spans="1:20" x14ac:dyDescent="0.25">
      <c r="A166">
        <v>100165</v>
      </c>
      <c r="B166" s="6">
        <v>45705</v>
      </c>
      <c r="C166">
        <v>2025</v>
      </c>
      <c r="D166" t="s">
        <v>63</v>
      </c>
      <c r="E166">
        <v>2</v>
      </c>
      <c r="F166" t="s">
        <v>81</v>
      </c>
      <c r="G166" t="s">
        <v>35</v>
      </c>
      <c r="H166" t="s">
        <v>23</v>
      </c>
      <c r="I166" t="s">
        <v>53</v>
      </c>
      <c r="J166" t="s">
        <v>31</v>
      </c>
      <c r="K166" t="s">
        <v>32</v>
      </c>
      <c r="L166" t="s">
        <v>37</v>
      </c>
      <c r="M166" s="8">
        <v>85</v>
      </c>
      <c r="N166" s="10">
        <v>120</v>
      </c>
      <c r="O166" s="10">
        <v>9180</v>
      </c>
      <c r="P166" s="10">
        <v>6630</v>
      </c>
      <c r="Q166" s="2">
        <v>2550</v>
      </c>
      <c r="R166" s="3">
        <v>0.1</v>
      </c>
      <c r="S166" t="s">
        <v>70</v>
      </c>
      <c r="T166" s="2">
        <v>209.65</v>
      </c>
    </row>
    <row r="167" spans="1:20" x14ac:dyDescent="0.25">
      <c r="A167">
        <v>100166</v>
      </c>
      <c r="B167" s="6">
        <v>45018</v>
      </c>
      <c r="C167">
        <v>2023</v>
      </c>
      <c r="D167" t="s">
        <v>20</v>
      </c>
      <c r="E167">
        <v>4</v>
      </c>
      <c r="F167" t="s">
        <v>34</v>
      </c>
      <c r="G167" t="s">
        <v>29</v>
      </c>
      <c r="H167" t="s">
        <v>23</v>
      </c>
      <c r="I167" t="s">
        <v>73</v>
      </c>
      <c r="J167" t="s">
        <v>61</v>
      </c>
      <c r="K167" t="s">
        <v>59</v>
      </c>
      <c r="L167" t="s">
        <v>91</v>
      </c>
      <c r="M167" s="8">
        <v>106</v>
      </c>
      <c r="N167" s="10">
        <v>140</v>
      </c>
      <c r="O167" s="10">
        <v>14394.8</v>
      </c>
      <c r="P167" s="10">
        <v>8692</v>
      </c>
      <c r="Q167" s="2">
        <v>5702.8</v>
      </c>
      <c r="R167" s="3">
        <v>0.03</v>
      </c>
      <c r="S167" t="s">
        <v>38</v>
      </c>
      <c r="T167" s="2">
        <v>285.49</v>
      </c>
    </row>
    <row r="168" spans="1:20" x14ac:dyDescent="0.25">
      <c r="A168">
        <v>100167</v>
      </c>
      <c r="B168" s="6">
        <v>45515</v>
      </c>
      <c r="C168">
        <v>2024</v>
      </c>
      <c r="D168" t="s">
        <v>39</v>
      </c>
      <c r="E168">
        <v>8</v>
      </c>
      <c r="F168" t="s">
        <v>58</v>
      </c>
      <c r="G168" t="s">
        <v>29</v>
      </c>
      <c r="H168" t="s">
        <v>23</v>
      </c>
      <c r="I168" t="s">
        <v>85</v>
      </c>
      <c r="J168" t="s">
        <v>54</v>
      </c>
      <c r="K168" t="s">
        <v>51</v>
      </c>
      <c r="L168" t="s">
        <v>76</v>
      </c>
      <c r="M168" s="8">
        <v>112</v>
      </c>
      <c r="N168" s="10">
        <v>40</v>
      </c>
      <c r="O168" s="10">
        <v>4390.3999999999996</v>
      </c>
      <c r="P168" s="10">
        <v>2576</v>
      </c>
      <c r="Q168" s="2">
        <v>1814.4</v>
      </c>
      <c r="R168" s="3">
        <v>0.02</v>
      </c>
      <c r="S168" t="s">
        <v>38</v>
      </c>
      <c r="T168" s="2">
        <v>233.24</v>
      </c>
    </row>
    <row r="169" spans="1:20" x14ac:dyDescent="0.25">
      <c r="A169">
        <v>100168</v>
      </c>
      <c r="B169" s="6">
        <v>45813</v>
      </c>
      <c r="C169">
        <v>2025</v>
      </c>
      <c r="D169" t="s">
        <v>20</v>
      </c>
      <c r="E169">
        <v>6</v>
      </c>
      <c r="F169" t="s">
        <v>48</v>
      </c>
      <c r="G169" t="s">
        <v>29</v>
      </c>
      <c r="H169" t="s">
        <v>23</v>
      </c>
      <c r="I169" t="s">
        <v>73</v>
      </c>
      <c r="J169" t="s">
        <v>54</v>
      </c>
      <c r="K169" t="s">
        <v>55</v>
      </c>
      <c r="L169" t="s">
        <v>93</v>
      </c>
      <c r="M169" s="8">
        <v>132</v>
      </c>
      <c r="N169" s="10">
        <v>60</v>
      </c>
      <c r="O169" s="10">
        <v>7920</v>
      </c>
      <c r="P169" s="10">
        <v>5544</v>
      </c>
      <c r="Q169" s="2">
        <v>2376</v>
      </c>
      <c r="R169" s="3">
        <v>0</v>
      </c>
      <c r="S169" t="s">
        <v>70</v>
      </c>
      <c r="T169" s="2">
        <v>526.61</v>
      </c>
    </row>
    <row r="170" spans="1:20" x14ac:dyDescent="0.25">
      <c r="A170">
        <v>100169</v>
      </c>
      <c r="B170" s="6">
        <v>45479</v>
      </c>
      <c r="C170">
        <v>2024</v>
      </c>
      <c r="D170" t="s">
        <v>39</v>
      </c>
      <c r="E170">
        <v>7</v>
      </c>
      <c r="F170" t="s">
        <v>75</v>
      </c>
      <c r="G170" t="s">
        <v>35</v>
      </c>
      <c r="H170" t="s">
        <v>23</v>
      </c>
      <c r="I170" t="s">
        <v>80</v>
      </c>
      <c r="J170" t="s">
        <v>25</v>
      </c>
      <c r="K170" t="s">
        <v>55</v>
      </c>
      <c r="L170" t="s">
        <v>84</v>
      </c>
      <c r="M170" s="8">
        <v>101</v>
      </c>
      <c r="N170" s="10">
        <v>55</v>
      </c>
      <c r="O170" s="10">
        <v>5110.6000000000004</v>
      </c>
      <c r="P170" s="10">
        <v>3737</v>
      </c>
      <c r="Q170" s="2">
        <v>1373.6</v>
      </c>
      <c r="R170" s="3">
        <v>0.08</v>
      </c>
      <c r="S170" t="s">
        <v>70</v>
      </c>
      <c r="T170" s="2">
        <v>172.07</v>
      </c>
    </row>
    <row r="171" spans="1:20" x14ac:dyDescent="0.25">
      <c r="A171">
        <v>100170</v>
      </c>
      <c r="B171" s="6">
        <v>45385</v>
      </c>
      <c r="C171">
        <v>2024</v>
      </c>
      <c r="D171" t="s">
        <v>20</v>
      </c>
      <c r="E171">
        <v>4</v>
      </c>
      <c r="F171" t="s">
        <v>34</v>
      </c>
      <c r="G171" t="s">
        <v>29</v>
      </c>
      <c r="H171" t="s">
        <v>23</v>
      </c>
      <c r="I171" t="s">
        <v>49</v>
      </c>
      <c r="J171" t="s">
        <v>42</v>
      </c>
      <c r="K171" t="s">
        <v>59</v>
      </c>
      <c r="L171" t="s">
        <v>86</v>
      </c>
      <c r="M171" s="8">
        <v>31</v>
      </c>
      <c r="N171" s="10">
        <v>160</v>
      </c>
      <c r="O171" s="10">
        <v>4811.2</v>
      </c>
      <c r="P171" s="10">
        <v>2945</v>
      </c>
      <c r="Q171" s="2">
        <v>1866.2</v>
      </c>
      <c r="R171" s="3">
        <v>0.03</v>
      </c>
      <c r="S171" t="s">
        <v>38</v>
      </c>
      <c r="T171" s="2">
        <v>242.47</v>
      </c>
    </row>
    <row r="172" spans="1:20" x14ac:dyDescent="0.25">
      <c r="A172">
        <v>100171</v>
      </c>
      <c r="B172" s="6">
        <v>44940</v>
      </c>
      <c r="C172">
        <v>2023</v>
      </c>
      <c r="D172" t="s">
        <v>63</v>
      </c>
      <c r="E172">
        <v>1</v>
      </c>
      <c r="F172" t="s">
        <v>79</v>
      </c>
      <c r="G172" t="s">
        <v>22</v>
      </c>
      <c r="H172" t="s">
        <v>23</v>
      </c>
      <c r="I172" t="s">
        <v>41</v>
      </c>
      <c r="J172" t="s">
        <v>68</v>
      </c>
      <c r="K172" t="s">
        <v>32</v>
      </c>
      <c r="L172" t="s">
        <v>74</v>
      </c>
      <c r="M172" s="8">
        <v>21</v>
      </c>
      <c r="N172" s="10">
        <v>25</v>
      </c>
      <c r="O172" s="10">
        <v>525</v>
      </c>
      <c r="P172" s="10">
        <v>294</v>
      </c>
      <c r="Q172" s="2">
        <v>231</v>
      </c>
      <c r="R172" s="3">
        <v>0</v>
      </c>
      <c r="S172" t="s">
        <v>38</v>
      </c>
      <c r="T172" s="2">
        <v>33.049999999999997</v>
      </c>
    </row>
    <row r="173" spans="1:20" x14ac:dyDescent="0.25">
      <c r="A173">
        <v>100172</v>
      </c>
      <c r="B173" s="6">
        <v>45676</v>
      </c>
      <c r="C173">
        <v>2025</v>
      </c>
      <c r="D173" t="s">
        <v>63</v>
      </c>
      <c r="E173">
        <v>1</v>
      </c>
      <c r="F173" t="s">
        <v>79</v>
      </c>
      <c r="G173" t="s">
        <v>29</v>
      </c>
      <c r="H173" t="s">
        <v>23</v>
      </c>
      <c r="I173" t="s">
        <v>73</v>
      </c>
      <c r="J173" t="s">
        <v>68</v>
      </c>
      <c r="K173" t="s">
        <v>32</v>
      </c>
      <c r="L173" t="s">
        <v>74</v>
      </c>
      <c r="M173" s="8">
        <v>62</v>
      </c>
      <c r="N173" s="10">
        <v>25</v>
      </c>
      <c r="O173" s="10">
        <v>1472.5</v>
      </c>
      <c r="P173" s="10">
        <v>868</v>
      </c>
      <c r="Q173" s="2">
        <v>604.5</v>
      </c>
      <c r="R173" s="3">
        <v>0.05</v>
      </c>
      <c r="S173" t="s">
        <v>38</v>
      </c>
      <c r="T173" s="2">
        <v>62.44</v>
      </c>
    </row>
    <row r="174" spans="1:20" x14ac:dyDescent="0.25">
      <c r="A174">
        <v>100173</v>
      </c>
      <c r="B174" s="6">
        <v>45588</v>
      </c>
      <c r="C174">
        <v>2024</v>
      </c>
      <c r="D174" t="s">
        <v>43</v>
      </c>
      <c r="E174">
        <v>10</v>
      </c>
      <c r="F174" t="s">
        <v>44</v>
      </c>
      <c r="G174" t="s">
        <v>45</v>
      </c>
      <c r="H174" t="s">
        <v>23</v>
      </c>
      <c r="I174" t="s">
        <v>62</v>
      </c>
      <c r="J174" t="s">
        <v>61</v>
      </c>
      <c r="K174" t="s">
        <v>59</v>
      </c>
      <c r="L174" t="s">
        <v>67</v>
      </c>
      <c r="M174" s="8">
        <v>140</v>
      </c>
      <c r="N174" s="10">
        <v>95</v>
      </c>
      <c r="O174" s="10">
        <v>13300</v>
      </c>
      <c r="P174" s="10">
        <v>7840</v>
      </c>
      <c r="Q174" s="2">
        <v>5460</v>
      </c>
      <c r="R174" s="3">
        <v>0</v>
      </c>
      <c r="S174" t="s">
        <v>38</v>
      </c>
      <c r="T174" s="2">
        <v>494.49</v>
      </c>
    </row>
    <row r="175" spans="1:20" x14ac:dyDescent="0.25">
      <c r="A175">
        <v>100174</v>
      </c>
      <c r="B175" s="6">
        <v>45279</v>
      </c>
      <c r="C175">
        <v>2023</v>
      </c>
      <c r="D175" t="s">
        <v>43</v>
      </c>
      <c r="E175">
        <v>12</v>
      </c>
      <c r="F175" t="s">
        <v>83</v>
      </c>
      <c r="G175" t="s">
        <v>22</v>
      </c>
      <c r="H175" t="s">
        <v>23</v>
      </c>
      <c r="I175" t="s">
        <v>65</v>
      </c>
      <c r="J175" t="s">
        <v>50</v>
      </c>
      <c r="K175" t="s">
        <v>32</v>
      </c>
      <c r="L175" t="s">
        <v>37</v>
      </c>
      <c r="M175" s="8">
        <v>33</v>
      </c>
      <c r="N175" s="10">
        <v>120</v>
      </c>
      <c r="O175" s="10">
        <v>3841.2</v>
      </c>
      <c r="P175" s="10">
        <v>2574</v>
      </c>
      <c r="Q175" s="2">
        <v>1267.2</v>
      </c>
      <c r="R175" s="3">
        <v>0.03</v>
      </c>
      <c r="S175" t="s">
        <v>57</v>
      </c>
      <c r="T175" s="2">
        <v>130.69999999999999</v>
      </c>
    </row>
    <row r="176" spans="1:20" x14ac:dyDescent="0.25">
      <c r="A176">
        <v>100175</v>
      </c>
      <c r="B176" s="6">
        <v>45882</v>
      </c>
      <c r="C176">
        <v>2025</v>
      </c>
      <c r="D176" t="s">
        <v>39</v>
      </c>
      <c r="E176">
        <v>8</v>
      </c>
      <c r="F176" t="s">
        <v>58</v>
      </c>
      <c r="G176" t="s">
        <v>29</v>
      </c>
      <c r="H176" t="s">
        <v>23</v>
      </c>
      <c r="I176" t="s">
        <v>85</v>
      </c>
      <c r="J176" t="s">
        <v>31</v>
      </c>
      <c r="K176" t="s">
        <v>55</v>
      </c>
      <c r="L176" t="s">
        <v>56</v>
      </c>
      <c r="M176" s="8">
        <v>114</v>
      </c>
      <c r="N176" s="10">
        <v>320</v>
      </c>
      <c r="O176" s="10">
        <v>35385.599999999999</v>
      </c>
      <c r="P176" s="10">
        <v>26790</v>
      </c>
      <c r="Q176" s="2">
        <v>8595.6</v>
      </c>
      <c r="R176" s="3">
        <v>0.03</v>
      </c>
      <c r="S176" t="s">
        <v>70</v>
      </c>
      <c r="T176" s="2">
        <v>1942.29</v>
      </c>
    </row>
    <row r="177" spans="1:20" x14ac:dyDescent="0.25">
      <c r="A177">
        <v>100176</v>
      </c>
      <c r="B177" s="6">
        <v>45261</v>
      </c>
      <c r="C177">
        <v>2023</v>
      </c>
      <c r="D177" t="s">
        <v>43</v>
      </c>
      <c r="E177">
        <v>12</v>
      </c>
      <c r="F177" t="s">
        <v>83</v>
      </c>
      <c r="G177" t="s">
        <v>35</v>
      </c>
      <c r="H177" t="s">
        <v>23</v>
      </c>
      <c r="I177" t="s">
        <v>80</v>
      </c>
      <c r="J177" t="s">
        <v>25</v>
      </c>
      <c r="K177" t="s">
        <v>51</v>
      </c>
      <c r="L177" t="s">
        <v>76</v>
      </c>
      <c r="M177" s="8">
        <v>124</v>
      </c>
      <c r="N177" s="10">
        <v>40</v>
      </c>
      <c r="O177" s="10">
        <v>4860.8</v>
      </c>
      <c r="P177" s="10">
        <v>2852</v>
      </c>
      <c r="Q177" s="2">
        <v>2008.8</v>
      </c>
      <c r="R177" s="3">
        <v>0.02</v>
      </c>
      <c r="S177" t="s">
        <v>70</v>
      </c>
      <c r="T177" s="2">
        <v>168.93</v>
      </c>
    </row>
    <row r="178" spans="1:20" x14ac:dyDescent="0.25">
      <c r="A178">
        <v>100177</v>
      </c>
      <c r="B178" s="6">
        <v>44947</v>
      </c>
      <c r="C178">
        <v>2023</v>
      </c>
      <c r="D178" t="s">
        <v>63</v>
      </c>
      <c r="E178">
        <v>1</v>
      </c>
      <c r="F178" t="s">
        <v>79</v>
      </c>
      <c r="G178" t="s">
        <v>22</v>
      </c>
      <c r="H178" t="s">
        <v>23</v>
      </c>
      <c r="I178" t="s">
        <v>71</v>
      </c>
      <c r="J178" t="s">
        <v>50</v>
      </c>
      <c r="K178" t="s">
        <v>32</v>
      </c>
      <c r="L178" t="s">
        <v>47</v>
      </c>
      <c r="M178" s="8">
        <v>109</v>
      </c>
      <c r="N178" s="10">
        <v>180</v>
      </c>
      <c r="O178" s="10">
        <v>18050.400000000001</v>
      </c>
      <c r="P178" s="10">
        <v>12535</v>
      </c>
      <c r="Q178" s="2">
        <v>5515.4</v>
      </c>
      <c r="R178" s="3">
        <v>0.08</v>
      </c>
      <c r="S178" t="s">
        <v>38</v>
      </c>
      <c r="T178" s="2">
        <v>449.14</v>
      </c>
    </row>
    <row r="179" spans="1:20" x14ac:dyDescent="0.25">
      <c r="A179">
        <v>100178</v>
      </c>
      <c r="B179" s="6">
        <v>44928</v>
      </c>
      <c r="C179">
        <v>2023</v>
      </c>
      <c r="D179" t="s">
        <v>63</v>
      </c>
      <c r="E179">
        <v>1</v>
      </c>
      <c r="F179" t="s">
        <v>79</v>
      </c>
      <c r="G179" t="s">
        <v>22</v>
      </c>
      <c r="H179" t="s">
        <v>23</v>
      </c>
      <c r="I179" t="s">
        <v>71</v>
      </c>
      <c r="J179" t="s">
        <v>54</v>
      </c>
      <c r="K179" t="s">
        <v>55</v>
      </c>
      <c r="L179" t="s">
        <v>93</v>
      </c>
      <c r="M179" s="8">
        <v>50</v>
      </c>
      <c r="N179" s="10">
        <v>60</v>
      </c>
      <c r="O179" s="10">
        <v>2940</v>
      </c>
      <c r="P179" s="10">
        <v>2100</v>
      </c>
      <c r="Q179" s="2">
        <v>840</v>
      </c>
      <c r="R179" s="3">
        <v>0.02</v>
      </c>
      <c r="S179" t="s">
        <v>70</v>
      </c>
      <c r="T179" s="2">
        <v>184.9</v>
      </c>
    </row>
    <row r="180" spans="1:20" x14ac:dyDescent="0.25">
      <c r="A180">
        <v>100179</v>
      </c>
      <c r="B180" s="6">
        <v>45157</v>
      </c>
      <c r="C180">
        <v>2023</v>
      </c>
      <c r="D180" t="s">
        <v>39</v>
      </c>
      <c r="E180">
        <v>8</v>
      </c>
      <c r="F180" t="s">
        <v>58</v>
      </c>
      <c r="G180" t="s">
        <v>45</v>
      </c>
      <c r="H180" t="s">
        <v>23</v>
      </c>
      <c r="I180" t="s">
        <v>62</v>
      </c>
      <c r="J180" t="s">
        <v>25</v>
      </c>
      <c r="K180" t="s">
        <v>59</v>
      </c>
      <c r="L180" t="s">
        <v>86</v>
      </c>
      <c r="M180" s="8">
        <v>132</v>
      </c>
      <c r="N180" s="10">
        <v>160</v>
      </c>
      <c r="O180" s="10">
        <v>20697.599999999999</v>
      </c>
      <c r="P180" s="10">
        <v>12540</v>
      </c>
      <c r="Q180" s="2">
        <v>8157.6</v>
      </c>
      <c r="R180" s="3">
        <v>0.02</v>
      </c>
      <c r="S180" t="s">
        <v>57</v>
      </c>
      <c r="T180" s="2">
        <v>764.73</v>
      </c>
    </row>
    <row r="181" spans="1:20" x14ac:dyDescent="0.25">
      <c r="A181">
        <v>100180</v>
      </c>
      <c r="B181" s="6">
        <v>45386</v>
      </c>
      <c r="C181">
        <v>2024</v>
      </c>
      <c r="D181" t="s">
        <v>20</v>
      </c>
      <c r="E181">
        <v>4</v>
      </c>
      <c r="F181" t="s">
        <v>34</v>
      </c>
      <c r="G181" t="s">
        <v>29</v>
      </c>
      <c r="H181" t="s">
        <v>23</v>
      </c>
      <c r="I181" t="s">
        <v>49</v>
      </c>
      <c r="J181" t="s">
        <v>66</v>
      </c>
      <c r="K181" t="s">
        <v>55</v>
      </c>
      <c r="L181" t="s">
        <v>89</v>
      </c>
      <c r="M181" s="8">
        <v>40</v>
      </c>
      <c r="N181" s="10">
        <v>280</v>
      </c>
      <c r="O181" s="10">
        <v>10976</v>
      </c>
      <c r="P181" s="10">
        <v>8200</v>
      </c>
      <c r="Q181" s="2">
        <v>2776</v>
      </c>
      <c r="R181" s="3">
        <v>0.02</v>
      </c>
      <c r="S181" t="s">
        <v>38</v>
      </c>
      <c r="T181" s="2">
        <v>209.01</v>
      </c>
    </row>
    <row r="182" spans="1:20" x14ac:dyDescent="0.25">
      <c r="A182">
        <v>100181</v>
      </c>
      <c r="B182" s="6">
        <v>45770</v>
      </c>
      <c r="C182">
        <v>2025</v>
      </c>
      <c r="D182" t="s">
        <v>20</v>
      </c>
      <c r="E182">
        <v>4</v>
      </c>
      <c r="F182" t="s">
        <v>34</v>
      </c>
      <c r="G182" t="s">
        <v>35</v>
      </c>
      <c r="H182" t="s">
        <v>23</v>
      </c>
      <c r="I182" t="s">
        <v>77</v>
      </c>
      <c r="J182" t="s">
        <v>31</v>
      </c>
      <c r="K182" t="s">
        <v>51</v>
      </c>
      <c r="L182" t="s">
        <v>72</v>
      </c>
      <c r="M182" s="8">
        <v>17</v>
      </c>
      <c r="N182" s="10">
        <v>90</v>
      </c>
      <c r="O182" s="10">
        <v>1453.5</v>
      </c>
      <c r="P182" s="10">
        <v>884</v>
      </c>
      <c r="Q182" s="2">
        <v>569.5</v>
      </c>
      <c r="R182" s="3">
        <v>0.05</v>
      </c>
      <c r="S182" t="s">
        <v>38</v>
      </c>
      <c r="T182" s="2">
        <v>78.3</v>
      </c>
    </row>
    <row r="183" spans="1:20" x14ac:dyDescent="0.25">
      <c r="A183">
        <v>100182</v>
      </c>
      <c r="B183" s="6">
        <v>45613</v>
      </c>
      <c r="C183">
        <v>2024</v>
      </c>
      <c r="D183" t="s">
        <v>43</v>
      </c>
      <c r="E183">
        <v>11</v>
      </c>
      <c r="F183" t="s">
        <v>87</v>
      </c>
      <c r="G183" t="s">
        <v>45</v>
      </c>
      <c r="H183" t="s">
        <v>23</v>
      </c>
      <c r="I183" t="s">
        <v>62</v>
      </c>
      <c r="J183" t="s">
        <v>54</v>
      </c>
      <c r="K183" t="s">
        <v>59</v>
      </c>
      <c r="L183" t="s">
        <v>60</v>
      </c>
      <c r="M183" s="8">
        <v>129</v>
      </c>
      <c r="N183" s="10">
        <v>45</v>
      </c>
      <c r="O183" s="10">
        <v>5340.6</v>
      </c>
      <c r="P183" s="10">
        <v>3483</v>
      </c>
      <c r="Q183" s="2">
        <v>1857.6</v>
      </c>
      <c r="R183" s="3">
        <v>0.08</v>
      </c>
      <c r="S183" t="s">
        <v>70</v>
      </c>
      <c r="T183" s="2">
        <v>252.05</v>
      </c>
    </row>
    <row r="184" spans="1:20" x14ac:dyDescent="0.25">
      <c r="A184">
        <v>100183</v>
      </c>
      <c r="B184" s="6">
        <v>45883</v>
      </c>
      <c r="C184">
        <v>2025</v>
      </c>
      <c r="D184" t="s">
        <v>39</v>
      </c>
      <c r="E184">
        <v>8</v>
      </c>
      <c r="F184" t="s">
        <v>58</v>
      </c>
      <c r="G184" t="s">
        <v>29</v>
      </c>
      <c r="H184" t="s">
        <v>23</v>
      </c>
      <c r="I184" t="s">
        <v>85</v>
      </c>
      <c r="J184" t="s">
        <v>54</v>
      </c>
      <c r="K184" t="s">
        <v>55</v>
      </c>
      <c r="L184" t="s">
        <v>93</v>
      </c>
      <c r="M184" s="8">
        <v>46</v>
      </c>
      <c r="N184" s="10">
        <v>60</v>
      </c>
      <c r="O184" s="10">
        <v>2484</v>
      </c>
      <c r="P184" s="10">
        <v>1932</v>
      </c>
      <c r="Q184" s="2">
        <v>552</v>
      </c>
      <c r="R184" s="3">
        <v>0.1</v>
      </c>
      <c r="S184" t="s">
        <v>38</v>
      </c>
      <c r="T184" s="2">
        <v>42.64</v>
      </c>
    </row>
    <row r="185" spans="1:20" x14ac:dyDescent="0.25">
      <c r="A185">
        <v>100184</v>
      </c>
      <c r="B185" s="6">
        <v>45411</v>
      </c>
      <c r="C185">
        <v>2024</v>
      </c>
      <c r="D185" t="s">
        <v>20</v>
      </c>
      <c r="E185">
        <v>4</v>
      </c>
      <c r="F185" t="s">
        <v>34</v>
      </c>
      <c r="G185" t="s">
        <v>45</v>
      </c>
      <c r="H185" t="s">
        <v>23</v>
      </c>
      <c r="I185" t="s">
        <v>90</v>
      </c>
      <c r="J185" t="s">
        <v>31</v>
      </c>
      <c r="K185" t="s">
        <v>51</v>
      </c>
      <c r="L185" t="s">
        <v>92</v>
      </c>
      <c r="M185" s="8">
        <v>21</v>
      </c>
      <c r="N185" s="10">
        <v>50</v>
      </c>
      <c r="O185" s="10">
        <v>1050</v>
      </c>
      <c r="P185" s="10">
        <v>609</v>
      </c>
      <c r="Q185" s="2">
        <v>441</v>
      </c>
      <c r="R185" s="3">
        <v>0</v>
      </c>
      <c r="S185" t="s">
        <v>57</v>
      </c>
      <c r="T185" s="2">
        <v>72.73</v>
      </c>
    </row>
    <row r="186" spans="1:20" x14ac:dyDescent="0.25">
      <c r="A186">
        <v>100185</v>
      </c>
      <c r="B186" s="6">
        <v>45052</v>
      </c>
      <c r="C186">
        <v>2023</v>
      </c>
      <c r="D186" t="s">
        <v>20</v>
      </c>
      <c r="E186">
        <v>5</v>
      </c>
      <c r="F186" t="s">
        <v>21</v>
      </c>
      <c r="G186" t="s">
        <v>35</v>
      </c>
      <c r="H186" t="s">
        <v>23</v>
      </c>
      <c r="I186" t="s">
        <v>77</v>
      </c>
      <c r="J186" t="s">
        <v>68</v>
      </c>
      <c r="K186" t="s">
        <v>59</v>
      </c>
      <c r="L186" t="s">
        <v>60</v>
      </c>
      <c r="M186" s="8">
        <v>48</v>
      </c>
      <c r="N186" s="10">
        <v>45</v>
      </c>
      <c r="O186" s="10">
        <v>2095.1999999999998</v>
      </c>
      <c r="P186" s="10">
        <v>1296</v>
      </c>
      <c r="Q186" s="2">
        <v>799.2</v>
      </c>
      <c r="R186" s="3">
        <v>0.03</v>
      </c>
      <c r="S186" t="s">
        <v>38</v>
      </c>
      <c r="T186" s="2">
        <v>90.84</v>
      </c>
    </row>
    <row r="187" spans="1:20" x14ac:dyDescent="0.25">
      <c r="A187">
        <v>100186</v>
      </c>
      <c r="B187" s="6">
        <v>45077</v>
      </c>
      <c r="C187">
        <v>2023</v>
      </c>
      <c r="D187" t="s">
        <v>20</v>
      </c>
      <c r="E187">
        <v>5</v>
      </c>
      <c r="F187" t="s">
        <v>21</v>
      </c>
      <c r="G187" t="s">
        <v>29</v>
      </c>
      <c r="H187" t="s">
        <v>23</v>
      </c>
      <c r="I187" t="s">
        <v>85</v>
      </c>
      <c r="J187" t="s">
        <v>42</v>
      </c>
      <c r="K187" t="s">
        <v>51</v>
      </c>
      <c r="L187" t="s">
        <v>72</v>
      </c>
      <c r="M187" s="8">
        <v>133</v>
      </c>
      <c r="N187" s="10">
        <v>90</v>
      </c>
      <c r="O187" s="10">
        <v>11371.5</v>
      </c>
      <c r="P187" s="10">
        <v>6916</v>
      </c>
      <c r="Q187" s="2">
        <v>4455.5</v>
      </c>
      <c r="R187" s="3">
        <v>0.05</v>
      </c>
      <c r="S187" t="s">
        <v>57</v>
      </c>
      <c r="T187" s="2">
        <v>777.19</v>
      </c>
    </row>
    <row r="188" spans="1:20" x14ac:dyDescent="0.25">
      <c r="A188">
        <v>100187</v>
      </c>
      <c r="B188" s="6">
        <v>45595</v>
      </c>
      <c r="C188">
        <v>2024</v>
      </c>
      <c r="D188" t="s">
        <v>43</v>
      </c>
      <c r="E188">
        <v>10</v>
      </c>
      <c r="F188" t="s">
        <v>44</v>
      </c>
      <c r="G188" t="s">
        <v>29</v>
      </c>
      <c r="H188" t="s">
        <v>23</v>
      </c>
      <c r="I188" t="s">
        <v>85</v>
      </c>
      <c r="J188" t="s">
        <v>25</v>
      </c>
      <c r="K188" t="s">
        <v>55</v>
      </c>
      <c r="L188" t="s">
        <v>84</v>
      </c>
      <c r="M188" s="8">
        <v>43</v>
      </c>
      <c r="N188" s="10">
        <v>55</v>
      </c>
      <c r="O188" s="10">
        <v>2246.75</v>
      </c>
      <c r="P188" s="10">
        <v>1591</v>
      </c>
      <c r="Q188" s="2">
        <v>655.75</v>
      </c>
      <c r="R188" s="3">
        <v>0.05</v>
      </c>
      <c r="S188" t="s">
        <v>57</v>
      </c>
      <c r="T188" s="2">
        <v>154.63</v>
      </c>
    </row>
    <row r="189" spans="1:20" x14ac:dyDescent="0.25">
      <c r="A189">
        <v>100188</v>
      </c>
      <c r="B189" s="6">
        <v>45040</v>
      </c>
      <c r="C189">
        <v>2023</v>
      </c>
      <c r="D189" t="s">
        <v>20</v>
      </c>
      <c r="E189">
        <v>4</v>
      </c>
      <c r="F189" t="s">
        <v>34</v>
      </c>
      <c r="G189" t="s">
        <v>35</v>
      </c>
      <c r="H189" t="s">
        <v>23</v>
      </c>
      <c r="I189" t="s">
        <v>77</v>
      </c>
      <c r="J189" t="s">
        <v>66</v>
      </c>
      <c r="K189" t="s">
        <v>26</v>
      </c>
      <c r="L189" t="s">
        <v>69</v>
      </c>
      <c r="M189" s="8">
        <v>122</v>
      </c>
      <c r="N189" s="10">
        <v>130</v>
      </c>
      <c r="O189" s="10">
        <v>15860</v>
      </c>
      <c r="P189" s="10">
        <v>9272</v>
      </c>
      <c r="Q189" s="2">
        <v>6588</v>
      </c>
      <c r="R189" s="3">
        <v>0</v>
      </c>
      <c r="S189" t="s">
        <v>28</v>
      </c>
      <c r="T189" s="2">
        <v>1049.97</v>
      </c>
    </row>
    <row r="190" spans="1:20" x14ac:dyDescent="0.25">
      <c r="A190">
        <v>100189</v>
      </c>
      <c r="B190" s="6">
        <v>45951</v>
      </c>
      <c r="C190">
        <v>2025</v>
      </c>
      <c r="D190" t="s">
        <v>43</v>
      </c>
      <c r="E190">
        <v>10</v>
      </c>
      <c r="F190" t="s">
        <v>44</v>
      </c>
      <c r="G190" t="s">
        <v>22</v>
      </c>
      <c r="H190" t="s">
        <v>23</v>
      </c>
      <c r="I190" t="s">
        <v>24</v>
      </c>
      <c r="J190" t="s">
        <v>50</v>
      </c>
      <c r="K190" t="s">
        <v>59</v>
      </c>
      <c r="L190" t="s">
        <v>60</v>
      </c>
      <c r="M190" s="8">
        <v>57</v>
      </c>
      <c r="N190" s="10">
        <v>45</v>
      </c>
      <c r="O190" s="10">
        <v>2436.75</v>
      </c>
      <c r="P190" s="10">
        <v>1539</v>
      </c>
      <c r="Q190" s="2">
        <v>897.75</v>
      </c>
      <c r="R190" s="3">
        <v>0.05</v>
      </c>
      <c r="S190" t="s">
        <v>38</v>
      </c>
      <c r="T190" s="2">
        <v>50.84</v>
      </c>
    </row>
    <row r="191" spans="1:20" x14ac:dyDescent="0.25">
      <c r="A191">
        <v>100190</v>
      </c>
      <c r="B191" s="6">
        <v>45630</v>
      </c>
      <c r="C191">
        <v>2024</v>
      </c>
      <c r="D191" t="s">
        <v>43</v>
      </c>
      <c r="E191">
        <v>12</v>
      </c>
      <c r="F191" t="s">
        <v>83</v>
      </c>
      <c r="G191" t="s">
        <v>35</v>
      </c>
      <c r="H191" t="s">
        <v>23</v>
      </c>
      <c r="I191" t="s">
        <v>53</v>
      </c>
      <c r="J191" t="s">
        <v>61</v>
      </c>
      <c r="K191" t="s">
        <v>55</v>
      </c>
      <c r="L191" t="s">
        <v>93</v>
      </c>
      <c r="M191" s="8">
        <v>98</v>
      </c>
      <c r="N191" s="10">
        <v>60</v>
      </c>
      <c r="O191" s="10">
        <v>5409.6</v>
      </c>
      <c r="P191" s="10">
        <v>4116</v>
      </c>
      <c r="Q191" s="2">
        <v>1293.5999999999999</v>
      </c>
      <c r="R191" s="3">
        <v>0.08</v>
      </c>
      <c r="S191" t="s">
        <v>38</v>
      </c>
      <c r="T191" s="2">
        <v>313.93</v>
      </c>
    </row>
    <row r="192" spans="1:20" x14ac:dyDescent="0.25">
      <c r="A192">
        <v>100191</v>
      </c>
      <c r="B192" s="6">
        <v>45897</v>
      </c>
      <c r="C192">
        <v>2025</v>
      </c>
      <c r="D192" t="s">
        <v>39</v>
      </c>
      <c r="E192">
        <v>8</v>
      </c>
      <c r="F192" t="s">
        <v>58</v>
      </c>
      <c r="G192" t="s">
        <v>29</v>
      </c>
      <c r="H192" t="s">
        <v>23</v>
      </c>
      <c r="I192" t="s">
        <v>85</v>
      </c>
      <c r="J192" t="s">
        <v>68</v>
      </c>
      <c r="K192" t="s">
        <v>51</v>
      </c>
      <c r="L192" t="s">
        <v>76</v>
      </c>
      <c r="M192" s="8">
        <v>141</v>
      </c>
      <c r="N192" s="10">
        <v>40</v>
      </c>
      <c r="O192" s="10">
        <v>5358</v>
      </c>
      <c r="P192" s="10">
        <v>3243</v>
      </c>
      <c r="Q192" s="2">
        <v>2115</v>
      </c>
      <c r="R192" s="3">
        <v>0.05</v>
      </c>
      <c r="S192" t="s">
        <v>28</v>
      </c>
      <c r="T192" s="2">
        <v>318.43</v>
      </c>
    </row>
    <row r="193" spans="1:20" x14ac:dyDescent="0.25">
      <c r="A193">
        <v>100192</v>
      </c>
      <c r="B193" s="6">
        <v>45777</v>
      </c>
      <c r="C193">
        <v>2025</v>
      </c>
      <c r="D193" t="s">
        <v>20</v>
      </c>
      <c r="E193">
        <v>4</v>
      </c>
      <c r="F193" t="s">
        <v>34</v>
      </c>
      <c r="G193" t="s">
        <v>45</v>
      </c>
      <c r="H193" t="s">
        <v>23</v>
      </c>
      <c r="I193" t="s">
        <v>90</v>
      </c>
      <c r="J193" t="s">
        <v>42</v>
      </c>
      <c r="K193" t="s">
        <v>51</v>
      </c>
      <c r="L193" t="s">
        <v>76</v>
      </c>
      <c r="M193" s="8">
        <v>63</v>
      </c>
      <c r="N193" s="10">
        <v>40</v>
      </c>
      <c r="O193" s="10">
        <v>2394</v>
      </c>
      <c r="P193" s="10">
        <v>1449</v>
      </c>
      <c r="Q193" s="2">
        <v>945</v>
      </c>
      <c r="R193" s="3">
        <v>0.05</v>
      </c>
      <c r="S193" t="s">
        <v>38</v>
      </c>
      <c r="T193" s="2">
        <v>79.150000000000006</v>
      </c>
    </row>
    <row r="194" spans="1:20" x14ac:dyDescent="0.25">
      <c r="A194">
        <v>100193</v>
      </c>
      <c r="B194" s="6">
        <v>45637</v>
      </c>
      <c r="C194">
        <v>2024</v>
      </c>
      <c r="D194" t="s">
        <v>43</v>
      </c>
      <c r="E194">
        <v>12</v>
      </c>
      <c r="F194" t="s">
        <v>83</v>
      </c>
      <c r="G194" t="s">
        <v>22</v>
      </c>
      <c r="H194" t="s">
        <v>23</v>
      </c>
      <c r="I194" t="s">
        <v>71</v>
      </c>
      <c r="J194" t="s">
        <v>66</v>
      </c>
      <c r="K194" t="s">
        <v>51</v>
      </c>
      <c r="L194" t="s">
        <v>92</v>
      </c>
      <c r="M194" s="8">
        <v>58</v>
      </c>
      <c r="N194" s="10">
        <v>50</v>
      </c>
      <c r="O194" s="10">
        <v>2813</v>
      </c>
      <c r="P194" s="10">
        <v>1682</v>
      </c>
      <c r="Q194" s="2">
        <v>1131</v>
      </c>
      <c r="R194" s="3">
        <v>0.03</v>
      </c>
      <c r="S194" t="s">
        <v>38</v>
      </c>
      <c r="T194" s="2">
        <v>110.95</v>
      </c>
    </row>
    <row r="195" spans="1:20" x14ac:dyDescent="0.25">
      <c r="A195">
        <v>100194</v>
      </c>
      <c r="B195" s="6">
        <v>45793</v>
      </c>
      <c r="C195">
        <v>2025</v>
      </c>
      <c r="D195" t="s">
        <v>20</v>
      </c>
      <c r="E195">
        <v>5</v>
      </c>
      <c r="F195" t="s">
        <v>21</v>
      </c>
      <c r="G195" t="s">
        <v>29</v>
      </c>
      <c r="H195" t="s">
        <v>23</v>
      </c>
      <c r="I195" t="s">
        <v>85</v>
      </c>
      <c r="J195" t="s">
        <v>31</v>
      </c>
      <c r="K195" t="s">
        <v>59</v>
      </c>
      <c r="L195" t="s">
        <v>86</v>
      </c>
      <c r="M195" s="8">
        <v>18</v>
      </c>
      <c r="N195" s="10">
        <v>160</v>
      </c>
      <c r="O195" s="10">
        <v>2793.6</v>
      </c>
      <c r="P195" s="10">
        <v>1710</v>
      </c>
      <c r="Q195" s="2">
        <v>1083.5999999999999</v>
      </c>
      <c r="R195" s="3">
        <v>0.03</v>
      </c>
      <c r="S195" t="s">
        <v>57</v>
      </c>
      <c r="T195" s="2">
        <v>174.55</v>
      </c>
    </row>
    <row r="196" spans="1:20" x14ac:dyDescent="0.25">
      <c r="A196">
        <v>100195</v>
      </c>
      <c r="B196" s="6">
        <v>45555</v>
      </c>
      <c r="C196">
        <v>2024</v>
      </c>
      <c r="D196" t="s">
        <v>39</v>
      </c>
      <c r="E196">
        <v>9</v>
      </c>
      <c r="F196" t="s">
        <v>40</v>
      </c>
      <c r="G196" t="s">
        <v>45</v>
      </c>
      <c r="H196" t="s">
        <v>23</v>
      </c>
      <c r="I196" t="s">
        <v>88</v>
      </c>
      <c r="J196" t="s">
        <v>54</v>
      </c>
      <c r="K196" t="s">
        <v>32</v>
      </c>
      <c r="L196" t="s">
        <v>37</v>
      </c>
      <c r="M196" s="8">
        <v>57</v>
      </c>
      <c r="N196" s="10">
        <v>120</v>
      </c>
      <c r="O196" s="10">
        <v>6498</v>
      </c>
      <c r="P196" s="10">
        <v>4446</v>
      </c>
      <c r="Q196" s="2">
        <v>2052</v>
      </c>
      <c r="R196" s="3">
        <v>0.05</v>
      </c>
      <c r="S196" t="s">
        <v>38</v>
      </c>
      <c r="T196" s="2">
        <v>288.17</v>
      </c>
    </row>
    <row r="197" spans="1:20" x14ac:dyDescent="0.25">
      <c r="A197">
        <v>100196</v>
      </c>
      <c r="B197" s="6">
        <v>45269</v>
      </c>
      <c r="C197">
        <v>2023</v>
      </c>
      <c r="D197" t="s">
        <v>43</v>
      </c>
      <c r="E197">
        <v>12</v>
      </c>
      <c r="F197" t="s">
        <v>83</v>
      </c>
      <c r="G197" t="s">
        <v>35</v>
      </c>
      <c r="H197" t="s">
        <v>23</v>
      </c>
      <c r="I197" t="s">
        <v>36</v>
      </c>
      <c r="J197" t="s">
        <v>54</v>
      </c>
      <c r="K197" t="s">
        <v>26</v>
      </c>
      <c r="L197" t="s">
        <v>69</v>
      </c>
      <c r="M197" s="8">
        <v>30</v>
      </c>
      <c r="N197" s="10">
        <v>130</v>
      </c>
      <c r="O197" s="10">
        <v>3822</v>
      </c>
      <c r="P197" s="10">
        <v>2280</v>
      </c>
      <c r="Q197" s="2">
        <v>1542</v>
      </c>
      <c r="R197" s="3">
        <v>0.02</v>
      </c>
      <c r="S197" t="s">
        <v>38</v>
      </c>
      <c r="T197" s="2">
        <v>58.92</v>
      </c>
    </row>
    <row r="198" spans="1:20" x14ac:dyDescent="0.25">
      <c r="A198">
        <v>100197</v>
      </c>
      <c r="B198" s="6">
        <v>45325</v>
      </c>
      <c r="C198">
        <v>2024</v>
      </c>
      <c r="D198" t="s">
        <v>63</v>
      </c>
      <c r="E198">
        <v>2</v>
      </c>
      <c r="F198" t="s">
        <v>81</v>
      </c>
      <c r="G198" t="s">
        <v>45</v>
      </c>
      <c r="H198" t="s">
        <v>23</v>
      </c>
      <c r="I198" t="s">
        <v>62</v>
      </c>
      <c r="J198" t="s">
        <v>68</v>
      </c>
      <c r="K198" t="s">
        <v>55</v>
      </c>
      <c r="L198" t="s">
        <v>89</v>
      </c>
      <c r="M198" s="8">
        <v>77</v>
      </c>
      <c r="N198" s="10">
        <v>280</v>
      </c>
      <c r="O198" s="10">
        <v>19404</v>
      </c>
      <c r="P198" s="10">
        <v>15785</v>
      </c>
      <c r="Q198" s="2">
        <v>3619</v>
      </c>
      <c r="R198" s="3">
        <v>0.1</v>
      </c>
      <c r="S198" t="s">
        <v>38</v>
      </c>
      <c r="T198" s="2">
        <v>666.32</v>
      </c>
    </row>
    <row r="199" spans="1:20" x14ac:dyDescent="0.25">
      <c r="A199">
        <v>100198</v>
      </c>
      <c r="B199" s="6">
        <v>45890</v>
      </c>
      <c r="C199">
        <v>2025</v>
      </c>
      <c r="D199" t="s">
        <v>39</v>
      </c>
      <c r="E199">
        <v>8</v>
      </c>
      <c r="F199" t="s">
        <v>58</v>
      </c>
      <c r="G199" t="s">
        <v>29</v>
      </c>
      <c r="H199" t="s">
        <v>23</v>
      </c>
      <c r="I199" t="s">
        <v>73</v>
      </c>
      <c r="J199" t="s">
        <v>66</v>
      </c>
      <c r="K199" t="s">
        <v>51</v>
      </c>
      <c r="L199" t="s">
        <v>52</v>
      </c>
      <c r="M199" s="8">
        <v>44</v>
      </c>
      <c r="N199" s="10">
        <v>75</v>
      </c>
      <c r="O199" s="10">
        <v>3135</v>
      </c>
      <c r="P199" s="10">
        <v>1936</v>
      </c>
      <c r="Q199" s="2">
        <v>1199</v>
      </c>
      <c r="R199" s="3">
        <v>0.05</v>
      </c>
      <c r="S199" t="s">
        <v>57</v>
      </c>
      <c r="T199" s="2">
        <v>62.48</v>
      </c>
    </row>
    <row r="200" spans="1:20" x14ac:dyDescent="0.25">
      <c r="A200">
        <v>100199</v>
      </c>
      <c r="B200" s="6">
        <v>45515</v>
      </c>
      <c r="C200">
        <v>2024</v>
      </c>
      <c r="D200" t="s">
        <v>39</v>
      </c>
      <c r="E200">
        <v>8</v>
      </c>
      <c r="F200" t="s">
        <v>58</v>
      </c>
      <c r="G200" t="s">
        <v>29</v>
      </c>
      <c r="H200" t="s">
        <v>23</v>
      </c>
      <c r="I200" t="s">
        <v>85</v>
      </c>
      <c r="J200" t="s">
        <v>61</v>
      </c>
      <c r="K200" t="s">
        <v>32</v>
      </c>
      <c r="L200" t="s">
        <v>74</v>
      </c>
      <c r="M200" s="8">
        <v>16</v>
      </c>
      <c r="N200" s="10">
        <v>25</v>
      </c>
      <c r="O200" s="10">
        <v>380</v>
      </c>
      <c r="P200" s="10">
        <v>224</v>
      </c>
      <c r="Q200" s="2">
        <v>156</v>
      </c>
      <c r="R200" s="3">
        <v>0.05</v>
      </c>
      <c r="S200" t="s">
        <v>38</v>
      </c>
      <c r="T200" s="2">
        <v>9.49</v>
      </c>
    </row>
    <row r="201" spans="1:20" x14ac:dyDescent="0.25">
      <c r="A201">
        <v>100200</v>
      </c>
      <c r="B201" s="6">
        <v>45885</v>
      </c>
      <c r="C201">
        <v>2025</v>
      </c>
      <c r="D201" t="s">
        <v>39</v>
      </c>
      <c r="E201">
        <v>8</v>
      </c>
      <c r="F201" t="s">
        <v>58</v>
      </c>
      <c r="G201" t="s">
        <v>29</v>
      </c>
      <c r="H201" t="s">
        <v>23</v>
      </c>
      <c r="I201" t="s">
        <v>73</v>
      </c>
      <c r="J201" t="s">
        <v>66</v>
      </c>
      <c r="K201" t="s">
        <v>59</v>
      </c>
      <c r="L201" t="s">
        <v>86</v>
      </c>
      <c r="M201" s="8">
        <v>45</v>
      </c>
      <c r="N201" s="10">
        <v>160</v>
      </c>
      <c r="O201" s="10">
        <v>6984</v>
      </c>
      <c r="P201" s="10">
        <v>4275</v>
      </c>
      <c r="Q201" s="2">
        <v>2709</v>
      </c>
      <c r="R201" s="3">
        <v>0.03</v>
      </c>
      <c r="S201" t="s">
        <v>70</v>
      </c>
      <c r="T201" s="2">
        <v>138.19</v>
      </c>
    </row>
    <row r="202" spans="1:20" x14ac:dyDescent="0.25">
      <c r="A202">
        <v>100201</v>
      </c>
      <c r="B202" s="6">
        <v>45485</v>
      </c>
      <c r="C202">
        <v>2024</v>
      </c>
      <c r="D202" t="s">
        <v>39</v>
      </c>
      <c r="E202">
        <v>7</v>
      </c>
      <c r="F202" t="s">
        <v>75</v>
      </c>
      <c r="G202" t="s">
        <v>22</v>
      </c>
      <c r="H202" t="s">
        <v>23</v>
      </c>
      <c r="I202" t="s">
        <v>71</v>
      </c>
      <c r="J202" t="s">
        <v>42</v>
      </c>
      <c r="K202" t="s">
        <v>59</v>
      </c>
      <c r="L202" t="s">
        <v>86</v>
      </c>
      <c r="M202" s="8">
        <v>30</v>
      </c>
      <c r="N202" s="10">
        <v>160</v>
      </c>
      <c r="O202" s="10">
        <v>4416</v>
      </c>
      <c r="P202" s="10">
        <v>2850</v>
      </c>
      <c r="Q202" s="2">
        <v>1566</v>
      </c>
      <c r="R202" s="3">
        <v>0.08</v>
      </c>
      <c r="S202" t="s">
        <v>70</v>
      </c>
      <c r="T202" s="2">
        <v>121.64</v>
      </c>
    </row>
    <row r="203" spans="1:20" x14ac:dyDescent="0.25">
      <c r="A203">
        <v>100202</v>
      </c>
      <c r="B203" s="6">
        <v>45910</v>
      </c>
      <c r="C203">
        <v>2025</v>
      </c>
      <c r="D203" t="s">
        <v>39</v>
      </c>
      <c r="E203">
        <v>9</v>
      </c>
      <c r="F203" t="s">
        <v>40</v>
      </c>
      <c r="G203" t="s">
        <v>35</v>
      </c>
      <c r="H203" t="s">
        <v>23</v>
      </c>
      <c r="I203" t="s">
        <v>77</v>
      </c>
      <c r="J203" t="s">
        <v>68</v>
      </c>
      <c r="K203" t="s">
        <v>26</v>
      </c>
      <c r="L203" t="s">
        <v>82</v>
      </c>
      <c r="M203" s="8">
        <v>58</v>
      </c>
      <c r="N203" s="10">
        <v>105</v>
      </c>
      <c r="O203" s="10">
        <v>5968.2</v>
      </c>
      <c r="P203" s="10">
        <v>3538</v>
      </c>
      <c r="Q203" s="2">
        <v>2430.1999999999998</v>
      </c>
      <c r="R203" s="3">
        <v>0.02</v>
      </c>
      <c r="S203" t="s">
        <v>57</v>
      </c>
      <c r="T203" s="2">
        <v>345.73</v>
      </c>
    </row>
    <row r="204" spans="1:20" x14ac:dyDescent="0.25">
      <c r="A204">
        <v>100203</v>
      </c>
      <c r="B204" s="6">
        <v>46010</v>
      </c>
      <c r="C204">
        <v>2025</v>
      </c>
      <c r="D204" t="s">
        <v>43</v>
      </c>
      <c r="E204">
        <v>12</v>
      </c>
      <c r="F204" t="s">
        <v>83</v>
      </c>
      <c r="G204" t="s">
        <v>22</v>
      </c>
      <c r="H204" t="s">
        <v>23</v>
      </c>
      <c r="I204" t="s">
        <v>41</v>
      </c>
      <c r="J204" t="s">
        <v>68</v>
      </c>
      <c r="K204" t="s">
        <v>26</v>
      </c>
      <c r="L204" t="s">
        <v>69</v>
      </c>
      <c r="M204" s="8">
        <v>78</v>
      </c>
      <c r="N204" s="10">
        <v>130</v>
      </c>
      <c r="O204" s="10">
        <v>10140</v>
      </c>
      <c r="P204" s="10">
        <v>5928</v>
      </c>
      <c r="Q204" s="2">
        <v>4212</v>
      </c>
      <c r="R204" s="3">
        <v>0</v>
      </c>
      <c r="S204" t="s">
        <v>70</v>
      </c>
      <c r="T204" s="2">
        <v>563.04999999999995</v>
      </c>
    </row>
    <row r="205" spans="1:20" x14ac:dyDescent="0.25">
      <c r="A205">
        <v>100204</v>
      </c>
      <c r="B205" s="6">
        <v>45587</v>
      </c>
      <c r="C205">
        <v>2024</v>
      </c>
      <c r="D205" t="s">
        <v>43</v>
      </c>
      <c r="E205">
        <v>10</v>
      </c>
      <c r="F205" t="s">
        <v>44</v>
      </c>
      <c r="G205" t="s">
        <v>45</v>
      </c>
      <c r="H205" t="s">
        <v>23</v>
      </c>
      <c r="I205" t="s">
        <v>88</v>
      </c>
      <c r="J205" t="s">
        <v>61</v>
      </c>
      <c r="K205" t="s">
        <v>32</v>
      </c>
      <c r="L205" t="s">
        <v>74</v>
      </c>
      <c r="M205" s="8">
        <v>20</v>
      </c>
      <c r="N205" s="10">
        <v>25</v>
      </c>
      <c r="O205" s="10">
        <v>490</v>
      </c>
      <c r="P205" s="10">
        <v>280</v>
      </c>
      <c r="Q205" s="2">
        <v>210</v>
      </c>
      <c r="R205" s="3">
        <v>0.02</v>
      </c>
      <c r="S205" t="s">
        <v>38</v>
      </c>
      <c r="T205" s="2">
        <v>17.88</v>
      </c>
    </row>
    <row r="206" spans="1:20" x14ac:dyDescent="0.25">
      <c r="A206">
        <v>100205</v>
      </c>
      <c r="B206" s="6">
        <v>45847</v>
      </c>
      <c r="C206">
        <v>2025</v>
      </c>
      <c r="D206" t="s">
        <v>39</v>
      </c>
      <c r="E206">
        <v>7</v>
      </c>
      <c r="F206" t="s">
        <v>75</v>
      </c>
      <c r="G206" t="s">
        <v>35</v>
      </c>
      <c r="H206" t="s">
        <v>23</v>
      </c>
      <c r="I206" t="s">
        <v>80</v>
      </c>
      <c r="J206" t="s">
        <v>42</v>
      </c>
      <c r="K206" t="s">
        <v>32</v>
      </c>
      <c r="L206" t="s">
        <v>37</v>
      </c>
      <c r="M206" s="8">
        <v>76</v>
      </c>
      <c r="N206" s="10">
        <v>120</v>
      </c>
      <c r="O206" s="10">
        <v>8846.4</v>
      </c>
      <c r="P206" s="10">
        <v>5928</v>
      </c>
      <c r="Q206" s="2">
        <v>2918.4</v>
      </c>
      <c r="R206" s="3">
        <v>0.03</v>
      </c>
      <c r="S206" t="s">
        <v>57</v>
      </c>
      <c r="T206" s="2">
        <v>349.6</v>
      </c>
    </row>
    <row r="207" spans="1:20" x14ac:dyDescent="0.25">
      <c r="A207">
        <v>100206</v>
      </c>
      <c r="B207" s="6">
        <v>45925</v>
      </c>
      <c r="C207">
        <v>2025</v>
      </c>
      <c r="D207" t="s">
        <v>39</v>
      </c>
      <c r="E207">
        <v>9</v>
      </c>
      <c r="F207" t="s">
        <v>40</v>
      </c>
      <c r="G207" t="s">
        <v>29</v>
      </c>
      <c r="H207" t="s">
        <v>23</v>
      </c>
      <c r="I207" t="s">
        <v>49</v>
      </c>
      <c r="J207" t="s">
        <v>66</v>
      </c>
      <c r="K207" t="s">
        <v>26</v>
      </c>
      <c r="L207" t="s">
        <v>82</v>
      </c>
      <c r="M207" s="8">
        <v>111</v>
      </c>
      <c r="N207" s="10">
        <v>105</v>
      </c>
      <c r="O207" s="10">
        <v>11072.25</v>
      </c>
      <c r="P207" s="10">
        <v>6771</v>
      </c>
      <c r="Q207" s="2">
        <v>4301.25</v>
      </c>
      <c r="R207" s="3">
        <v>0.05</v>
      </c>
      <c r="S207" t="s">
        <v>38</v>
      </c>
      <c r="T207" s="2">
        <v>333.04</v>
      </c>
    </row>
    <row r="208" spans="1:20" x14ac:dyDescent="0.25">
      <c r="A208">
        <v>100207</v>
      </c>
      <c r="B208" s="6">
        <v>45279</v>
      </c>
      <c r="C208">
        <v>2023</v>
      </c>
      <c r="D208" t="s">
        <v>43</v>
      </c>
      <c r="E208">
        <v>12</v>
      </c>
      <c r="F208" t="s">
        <v>83</v>
      </c>
      <c r="G208" t="s">
        <v>29</v>
      </c>
      <c r="H208" t="s">
        <v>23</v>
      </c>
      <c r="I208" t="s">
        <v>30</v>
      </c>
      <c r="J208" t="s">
        <v>61</v>
      </c>
      <c r="K208" t="s">
        <v>51</v>
      </c>
      <c r="L208" t="s">
        <v>92</v>
      </c>
      <c r="M208" s="8">
        <v>132</v>
      </c>
      <c r="N208" s="10">
        <v>50</v>
      </c>
      <c r="O208" s="10">
        <v>6468</v>
      </c>
      <c r="P208" s="10">
        <v>3828</v>
      </c>
      <c r="Q208" s="2">
        <v>2640</v>
      </c>
      <c r="R208" s="3">
        <v>0.02</v>
      </c>
      <c r="S208" t="s">
        <v>70</v>
      </c>
      <c r="T208" s="2">
        <v>316.57</v>
      </c>
    </row>
    <row r="209" spans="1:20" x14ac:dyDescent="0.25">
      <c r="A209">
        <v>100208</v>
      </c>
      <c r="B209" s="6">
        <v>45882</v>
      </c>
      <c r="C209">
        <v>2025</v>
      </c>
      <c r="D209" t="s">
        <v>39</v>
      </c>
      <c r="E209">
        <v>8</v>
      </c>
      <c r="F209" t="s">
        <v>58</v>
      </c>
      <c r="G209" t="s">
        <v>45</v>
      </c>
      <c r="H209" t="s">
        <v>23</v>
      </c>
      <c r="I209" t="s">
        <v>62</v>
      </c>
      <c r="J209" t="s">
        <v>66</v>
      </c>
      <c r="K209" t="s">
        <v>51</v>
      </c>
      <c r="L209" t="s">
        <v>92</v>
      </c>
      <c r="M209" s="8">
        <v>17</v>
      </c>
      <c r="N209" s="10">
        <v>50</v>
      </c>
      <c r="O209" s="10">
        <v>782</v>
      </c>
      <c r="P209" s="10">
        <v>493</v>
      </c>
      <c r="Q209" s="2">
        <v>289</v>
      </c>
      <c r="R209" s="3">
        <v>0.08</v>
      </c>
      <c r="S209" t="s">
        <v>38</v>
      </c>
      <c r="T209" s="2">
        <v>39.72</v>
      </c>
    </row>
    <row r="210" spans="1:20" x14ac:dyDescent="0.25">
      <c r="A210">
        <v>100209</v>
      </c>
      <c r="B210" s="6">
        <v>44984</v>
      </c>
      <c r="C210">
        <v>2023</v>
      </c>
      <c r="D210" t="s">
        <v>63</v>
      </c>
      <c r="E210">
        <v>2</v>
      </c>
      <c r="F210" t="s">
        <v>81</v>
      </c>
      <c r="G210" t="s">
        <v>22</v>
      </c>
      <c r="H210" t="s">
        <v>23</v>
      </c>
      <c r="I210" t="s">
        <v>41</v>
      </c>
      <c r="J210" t="s">
        <v>54</v>
      </c>
      <c r="K210" t="s">
        <v>26</v>
      </c>
      <c r="L210" t="s">
        <v>69</v>
      </c>
      <c r="M210" s="8">
        <v>11</v>
      </c>
      <c r="N210" s="10">
        <v>130</v>
      </c>
      <c r="O210" s="10">
        <v>1387.1</v>
      </c>
      <c r="P210" s="10">
        <v>836</v>
      </c>
      <c r="Q210" s="2">
        <v>551.1</v>
      </c>
      <c r="R210" s="3">
        <v>0.03</v>
      </c>
      <c r="S210" t="s">
        <v>70</v>
      </c>
      <c r="T210" s="2">
        <v>96.75</v>
      </c>
    </row>
    <row r="211" spans="1:20" x14ac:dyDescent="0.25">
      <c r="A211">
        <v>100210</v>
      </c>
      <c r="B211" s="6">
        <v>45588</v>
      </c>
      <c r="C211">
        <v>2024</v>
      </c>
      <c r="D211" t="s">
        <v>43</v>
      </c>
      <c r="E211">
        <v>10</v>
      </c>
      <c r="F211" t="s">
        <v>44</v>
      </c>
      <c r="G211" t="s">
        <v>29</v>
      </c>
      <c r="H211" t="s">
        <v>23</v>
      </c>
      <c r="I211" t="s">
        <v>85</v>
      </c>
      <c r="J211" t="s">
        <v>68</v>
      </c>
      <c r="K211" t="s">
        <v>55</v>
      </c>
      <c r="L211" t="s">
        <v>93</v>
      </c>
      <c r="M211" s="8">
        <v>40</v>
      </c>
      <c r="N211" s="10">
        <v>60</v>
      </c>
      <c r="O211" s="10">
        <v>2280</v>
      </c>
      <c r="P211" s="10">
        <v>1680</v>
      </c>
      <c r="Q211" s="2">
        <v>600</v>
      </c>
      <c r="R211" s="3">
        <v>0.05</v>
      </c>
      <c r="S211" t="s">
        <v>38</v>
      </c>
      <c r="T211" s="2">
        <v>55.58</v>
      </c>
    </row>
    <row r="212" spans="1:20" x14ac:dyDescent="0.25">
      <c r="A212">
        <v>100211</v>
      </c>
      <c r="B212" s="6">
        <v>45559</v>
      </c>
      <c r="C212">
        <v>2024</v>
      </c>
      <c r="D212" t="s">
        <v>39</v>
      </c>
      <c r="E212">
        <v>9</v>
      </c>
      <c r="F212" t="s">
        <v>40</v>
      </c>
      <c r="G212" t="s">
        <v>22</v>
      </c>
      <c r="H212" t="s">
        <v>23</v>
      </c>
      <c r="I212" t="s">
        <v>65</v>
      </c>
      <c r="J212" t="s">
        <v>66</v>
      </c>
      <c r="K212" t="s">
        <v>32</v>
      </c>
      <c r="L212" t="s">
        <v>47</v>
      </c>
      <c r="M212" s="8">
        <v>149</v>
      </c>
      <c r="N212" s="10">
        <v>180</v>
      </c>
      <c r="O212" s="10">
        <v>24138</v>
      </c>
      <c r="P212" s="10">
        <v>17135</v>
      </c>
      <c r="Q212" s="2">
        <v>7003</v>
      </c>
      <c r="R212" s="3">
        <v>0.1</v>
      </c>
      <c r="S212" t="s">
        <v>38</v>
      </c>
      <c r="T212" s="2">
        <v>992.52</v>
      </c>
    </row>
    <row r="213" spans="1:20" x14ac:dyDescent="0.25">
      <c r="A213">
        <v>100212</v>
      </c>
      <c r="B213" s="6">
        <v>45274</v>
      </c>
      <c r="C213">
        <v>2023</v>
      </c>
      <c r="D213" t="s">
        <v>43</v>
      </c>
      <c r="E213">
        <v>12</v>
      </c>
      <c r="F213" t="s">
        <v>83</v>
      </c>
      <c r="G213" t="s">
        <v>22</v>
      </c>
      <c r="H213" t="s">
        <v>23</v>
      </c>
      <c r="I213" t="s">
        <v>65</v>
      </c>
      <c r="J213" t="s">
        <v>66</v>
      </c>
      <c r="K213" t="s">
        <v>32</v>
      </c>
      <c r="L213" t="s">
        <v>47</v>
      </c>
      <c r="M213" s="8">
        <v>113</v>
      </c>
      <c r="N213" s="10">
        <v>180</v>
      </c>
      <c r="O213" s="10">
        <v>19323</v>
      </c>
      <c r="P213" s="10">
        <v>12995</v>
      </c>
      <c r="Q213" s="2">
        <v>6328</v>
      </c>
      <c r="R213" s="3">
        <v>0.05</v>
      </c>
      <c r="S213" t="s">
        <v>70</v>
      </c>
      <c r="T213" s="2">
        <v>548.79</v>
      </c>
    </row>
    <row r="214" spans="1:20" x14ac:dyDescent="0.25">
      <c r="A214">
        <v>100213</v>
      </c>
      <c r="B214" s="6">
        <v>45332</v>
      </c>
      <c r="C214">
        <v>2024</v>
      </c>
      <c r="D214" t="s">
        <v>63</v>
      </c>
      <c r="E214">
        <v>2</v>
      </c>
      <c r="F214" t="s">
        <v>81</v>
      </c>
      <c r="G214" t="s">
        <v>35</v>
      </c>
      <c r="H214" t="s">
        <v>23</v>
      </c>
      <c r="I214" t="s">
        <v>80</v>
      </c>
      <c r="J214" t="s">
        <v>61</v>
      </c>
      <c r="K214" t="s">
        <v>26</v>
      </c>
      <c r="L214" t="s">
        <v>27</v>
      </c>
      <c r="M214" s="8">
        <v>25</v>
      </c>
      <c r="N214" s="10">
        <v>110</v>
      </c>
      <c r="O214" s="10">
        <v>2667.5</v>
      </c>
      <c r="P214" s="10">
        <v>1700</v>
      </c>
      <c r="Q214" s="2">
        <v>967.5</v>
      </c>
      <c r="R214" s="3">
        <v>0.03</v>
      </c>
      <c r="S214" t="s">
        <v>38</v>
      </c>
      <c r="T214" s="2">
        <v>63.38</v>
      </c>
    </row>
    <row r="215" spans="1:20" x14ac:dyDescent="0.25">
      <c r="A215">
        <v>100214</v>
      </c>
      <c r="B215" s="6">
        <v>45407</v>
      </c>
      <c r="C215">
        <v>2024</v>
      </c>
      <c r="D215" t="s">
        <v>20</v>
      </c>
      <c r="E215">
        <v>4</v>
      </c>
      <c r="F215" t="s">
        <v>34</v>
      </c>
      <c r="G215" t="s">
        <v>22</v>
      </c>
      <c r="H215" t="s">
        <v>23</v>
      </c>
      <c r="I215" t="s">
        <v>41</v>
      </c>
      <c r="J215" t="s">
        <v>42</v>
      </c>
      <c r="K215" t="s">
        <v>51</v>
      </c>
      <c r="L215" t="s">
        <v>92</v>
      </c>
      <c r="M215" s="8">
        <v>94</v>
      </c>
      <c r="N215" s="10">
        <v>50</v>
      </c>
      <c r="O215" s="10">
        <v>4606</v>
      </c>
      <c r="P215" s="10">
        <v>2726</v>
      </c>
      <c r="Q215" s="2">
        <v>1880</v>
      </c>
      <c r="R215" s="3">
        <v>0.02</v>
      </c>
      <c r="S215" t="s">
        <v>38</v>
      </c>
      <c r="T215" s="2">
        <v>129.65</v>
      </c>
    </row>
    <row r="216" spans="1:20" x14ac:dyDescent="0.25">
      <c r="A216">
        <v>100215</v>
      </c>
      <c r="B216" s="6">
        <v>45237</v>
      </c>
      <c r="C216">
        <v>2023</v>
      </c>
      <c r="D216" t="s">
        <v>43</v>
      </c>
      <c r="E216">
        <v>11</v>
      </c>
      <c r="F216" t="s">
        <v>87</v>
      </c>
      <c r="G216" t="s">
        <v>35</v>
      </c>
      <c r="H216" t="s">
        <v>23</v>
      </c>
      <c r="I216" t="s">
        <v>53</v>
      </c>
      <c r="J216" t="s">
        <v>50</v>
      </c>
      <c r="K216" t="s">
        <v>26</v>
      </c>
      <c r="L216" t="s">
        <v>69</v>
      </c>
      <c r="M216" s="8">
        <v>95</v>
      </c>
      <c r="N216" s="10">
        <v>130</v>
      </c>
      <c r="O216" s="10">
        <v>11732.5</v>
      </c>
      <c r="P216" s="10">
        <v>7220</v>
      </c>
      <c r="Q216" s="2">
        <v>4512.5</v>
      </c>
      <c r="R216" s="3">
        <v>0.05</v>
      </c>
      <c r="S216" t="s">
        <v>28</v>
      </c>
      <c r="T216" s="2">
        <v>428.32</v>
      </c>
    </row>
    <row r="217" spans="1:20" x14ac:dyDescent="0.25">
      <c r="A217">
        <v>100216</v>
      </c>
      <c r="B217" s="6">
        <v>44968</v>
      </c>
      <c r="C217">
        <v>2023</v>
      </c>
      <c r="D217" t="s">
        <v>63</v>
      </c>
      <c r="E217">
        <v>2</v>
      </c>
      <c r="F217" t="s">
        <v>81</v>
      </c>
      <c r="G217" t="s">
        <v>35</v>
      </c>
      <c r="H217" t="s">
        <v>23</v>
      </c>
      <c r="I217" t="s">
        <v>36</v>
      </c>
      <c r="J217" t="s">
        <v>66</v>
      </c>
      <c r="K217" t="s">
        <v>59</v>
      </c>
      <c r="L217" t="s">
        <v>86</v>
      </c>
      <c r="M217" s="8">
        <v>143</v>
      </c>
      <c r="N217" s="10">
        <v>160</v>
      </c>
      <c r="O217" s="10">
        <v>22880</v>
      </c>
      <c r="P217" s="10">
        <v>13585</v>
      </c>
      <c r="Q217" s="2">
        <v>9295</v>
      </c>
      <c r="R217" s="3">
        <v>0</v>
      </c>
      <c r="S217" t="s">
        <v>38</v>
      </c>
      <c r="T217" s="2">
        <v>609.96</v>
      </c>
    </row>
    <row r="218" spans="1:20" x14ac:dyDescent="0.25">
      <c r="A218">
        <v>100217</v>
      </c>
      <c r="B218" s="6">
        <v>45504</v>
      </c>
      <c r="C218">
        <v>2024</v>
      </c>
      <c r="D218" t="s">
        <v>39</v>
      </c>
      <c r="E218">
        <v>7</v>
      </c>
      <c r="F218" t="s">
        <v>75</v>
      </c>
      <c r="G218" t="s">
        <v>22</v>
      </c>
      <c r="H218" t="s">
        <v>23</v>
      </c>
      <c r="I218" t="s">
        <v>41</v>
      </c>
      <c r="J218" t="s">
        <v>68</v>
      </c>
      <c r="K218" t="s">
        <v>51</v>
      </c>
      <c r="L218" t="s">
        <v>76</v>
      </c>
      <c r="M218" s="8">
        <v>29</v>
      </c>
      <c r="N218" s="10">
        <v>40</v>
      </c>
      <c r="O218" s="10">
        <v>1102</v>
      </c>
      <c r="P218" s="10">
        <v>667</v>
      </c>
      <c r="Q218" s="2">
        <v>435</v>
      </c>
      <c r="R218" s="3">
        <v>0.05</v>
      </c>
      <c r="S218" t="s">
        <v>38</v>
      </c>
      <c r="T218" s="2">
        <v>73.06</v>
      </c>
    </row>
    <row r="219" spans="1:20" x14ac:dyDescent="0.25">
      <c r="A219">
        <v>100218</v>
      </c>
      <c r="B219" s="6">
        <v>45748</v>
      </c>
      <c r="C219">
        <v>2025</v>
      </c>
      <c r="D219" t="s">
        <v>20</v>
      </c>
      <c r="E219">
        <v>4</v>
      </c>
      <c r="F219" t="s">
        <v>34</v>
      </c>
      <c r="G219" t="s">
        <v>45</v>
      </c>
      <c r="H219" t="s">
        <v>23</v>
      </c>
      <c r="I219" t="s">
        <v>62</v>
      </c>
      <c r="J219" t="s">
        <v>50</v>
      </c>
      <c r="K219" t="s">
        <v>59</v>
      </c>
      <c r="L219" t="s">
        <v>60</v>
      </c>
      <c r="M219" s="8">
        <v>119</v>
      </c>
      <c r="N219" s="10">
        <v>45</v>
      </c>
      <c r="O219" s="10">
        <v>4926.6000000000004</v>
      </c>
      <c r="P219" s="10">
        <v>3213</v>
      </c>
      <c r="Q219" s="2">
        <v>1713.6</v>
      </c>
      <c r="R219" s="3">
        <v>0.08</v>
      </c>
      <c r="S219" t="s">
        <v>70</v>
      </c>
      <c r="T219" s="2">
        <v>298.62</v>
      </c>
    </row>
    <row r="220" spans="1:20" x14ac:dyDescent="0.25">
      <c r="A220">
        <v>100219</v>
      </c>
      <c r="B220" s="6">
        <v>45828</v>
      </c>
      <c r="C220">
        <v>2025</v>
      </c>
      <c r="D220" t="s">
        <v>20</v>
      </c>
      <c r="E220">
        <v>6</v>
      </c>
      <c r="F220" t="s">
        <v>48</v>
      </c>
      <c r="G220" t="s">
        <v>45</v>
      </c>
      <c r="H220" t="s">
        <v>23</v>
      </c>
      <c r="I220" t="s">
        <v>46</v>
      </c>
      <c r="J220" t="s">
        <v>50</v>
      </c>
      <c r="K220" t="s">
        <v>51</v>
      </c>
      <c r="L220" t="s">
        <v>72</v>
      </c>
      <c r="M220" s="8">
        <v>34</v>
      </c>
      <c r="N220" s="10">
        <v>90</v>
      </c>
      <c r="O220" s="10">
        <v>2998.8</v>
      </c>
      <c r="P220" s="10">
        <v>1768</v>
      </c>
      <c r="Q220" s="2">
        <v>1230.8</v>
      </c>
      <c r="R220" s="3">
        <v>0.02</v>
      </c>
      <c r="S220" t="s">
        <v>28</v>
      </c>
      <c r="T220" s="2">
        <v>58.17</v>
      </c>
    </row>
    <row r="221" spans="1:20" x14ac:dyDescent="0.25">
      <c r="A221">
        <v>100220</v>
      </c>
      <c r="B221" s="6">
        <v>45018</v>
      </c>
      <c r="C221">
        <v>2023</v>
      </c>
      <c r="D221" t="s">
        <v>20</v>
      </c>
      <c r="E221">
        <v>4</v>
      </c>
      <c r="F221" t="s">
        <v>34</v>
      </c>
      <c r="G221" t="s">
        <v>45</v>
      </c>
      <c r="H221" t="s">
        <v>23</v>
      </c>
      <c r="I221" t="s">
        <v>90</v>
      </c>
      <c r="J221" t="s">
        <v>25</v>
      </c>
      <c r="K221" t="s">
        <v>59</v>
      </c>
      <c r="L221" t="s">
        <v>86</v>
      </c>
      <c r="M221" s="8">
        <v>69</v>
      </c>
      <c r="N221" s="10">
        <v>160</v>
      </c>
      <c r="O221" s="10">
        <v>10156.799999999999</v>
      </c>
      <c r="P221" s="10">
        <v>6555</v>
      </c>
      <c r="Q221" s="2">
        <v>3601.8</v>
      </c>
      <c r="R221" s="3">
        <v>0.08</v>
      </c>
      <c r="S221" t="s">
        <v>70</v>
      </c>
      <c r="T221" s="2">
        <v>152.54</v>
      </c>
    </row>
    <row r="222" spans="1:20" x14ac:dyDescent="0.25">
      <c r="A222">
        <v>100221</v>
      </c>
      <c r="B222" s="6">
        <v>46010</v>
      </c>
      <c r="C222">
        <v>2025</v>
      </c>
      <c r="D222" t="s">
        <v>43</v>
      </c>
      <c r="E222">
        <v>12</v>
      </c>
      <c r="F222" t="s">
        <v>83</v>
      </c>
      <c r="G222" t="s">
        <v>22</v>
      </c>
      <c r="H222" t="s">
        <v>23</v>
      </c>
      <c r="I222" t="s">
        <v>24</v>
      </c>
      <c r="J222" t="s">
        <v>68</v>
      </c>
      <c r="K222" t="s">
        <v>51</v>
      </c>
      <c r="L222" t="s">
        <v>92</v>
      </c>
      <c r="M222" s="8">
        <v>19</v>
      </c>
      <c r="N222" s="10">
        <v>50</v>
      </c>
      <c r="O222" s="10">
        <v>931</v>
      </c>
      <c r="P222" s="10">
        <v>551</v>
      </c>
      <c r="Q222" s="2">
        <v>380</v>
      </c>
      <c r="R222" s="3">
        <v>0.02</v>
      </c>
      <c r="S222" t="s">
        <v>38</v>
      </c>
      <c r="T222" s="2">
        <v>38.78</v>
      </c>
    </row>
    <row r="223" spans="1:20" x14ac:dyDescent="0.25">
      <c r="A223">
        <v>100222</v>
      </c>
      <c r="B223" s="6">
        <v>46006</v>
      </c>
      <c r="C223">
        <v>2025</v>
      </c>
      <c r="D223" t="s">
        <v>43</v>
      </c>
      <c r="E223">
        <v>12</v>
      </c>
      <c r="F223" t="s">
        <v>83</v>
      </c>
      <c r="G223" t="s">
        <v>22</v>
      </c>
      <c r="H223" t="s">
        <v>23</v>
      </c>
      <c r="I223" t="s">
        <v>71</v>
      </c>
      <c r="J223" t="s">
        <v>66</v>
      </c>
      <c r="K223" t="s">
        <v>51</v>
      </c>
      <c r="L223" t="s">
        <v>92</v>
      </c>
      <c r="M223" s="8">
        <v>108</v>
      </c>
      <c r="N223" s="10">
        <v>50</v>
      </c>
      <c r="O223" s="10">
        <v>5400</v>
      </c>
      <c r="P223" s="10">
        <v>3132</v>
      </c>
      <c r="Q223" s="2">
        <v>2268</v>
      </c>
      <c r="R223" s="3">
        <v>0</v>
      </c>
      <c r="S223" t="s">
        <v>38</v>
      </c>
      <c r="T223" s="2">
        <v>313.45999999999998</v>
      </c>
    </row>
    <row r="224" spans="1:20" x14ac:dyDescent="0.25">
      <c r="A224">
        <v>100223</v>
      </c>
      <c r="B224" s="6">
        <v>45326</v>
      </c>
      <c r="C224">
        <v>2024</v>
      </c>
      <c r="D224" t="s">
        <v>63</v>
      </c>
      <c r="E224">
        <v>2</v>
      </c>
      <c r="F224" t="s">
        <v>81</v>
      </c>
      <c r="G224" t="s">
        <v>29</v>
      </c>
      <c r="H224" t="s">
        <v>23</v>
      </c>
      <c r="I224" t="s">
        <v>73</v>
      </c>
      <c r="J224" t="s">
        <v>50</v>
      </c>
      <c r="K224" t="s">
        <v>59</v>
      </c>
      <c r="L224" t="s">
        <v>67</v>
      </c>
      <c r="M224" s="8">
        <v>49</v>
      </c>
      <c r="N224" s="10">
        <v>95</v>
      </c>
      <c r="O224" s="10">
        <v>4282.6000000000004</v>
      </c>
      <c r="P224" s="10">
        <v>2744</v>
      </c>
      <c r="Q224" s="2">
        <v>1538.6</v>
      </c>
      <c r="R224" s="3">
        <v>0.08</v>
      </c>
      <c r="S224" t="s">
        <v>38</v>
      </c>
      <c r="T224" s="2">
        <v>209.15</v>
      </c>
    </row>
    <row r="225" spans="1:20" x14ac:dyDescent="0.25">
      <c r="A225">
        <v>100224</v>
      </c>
      <c r="B225" s="6">
        <v>45346</v>
      </c>
      <c r="C225">
        <v>2024</v>
      </c>
      <c r="D225" t="s">
        <v>63</v>
      </c>
      <c r="E225">
        <v>2</v>
      </c>
      <c r="F225" t="s">
        <v>81</v>
      </c>
      <c r="G225" t="s">
        <v>29</v>
      </c>
      <c r="H225" t="s">
        <v>23</v>
      </c>
      <c r="I225" t="s">
        <v>85</v>
      </c>
      <c r="J225" t="s">
        <v>25</v>
      </c>
      <c r="K225" t="s">
        <v>51</v>
      </c>
      <c r="L225" t="s">
        <v>52</v>
      </c>
      <c r="M225" s="8">
        <v>125</v>
      </c>
      <c r="N225" s="10">
        <v>75</v>
      </c>
      <c r="O225" s="10">
        <v>9093.75</v>
      </c>
      <c r="P225" s="10">
        <v>5500</v>
      </c>
      <c r="Q225" s="2">
        <v>3593.75</v>
      </c>
      <c r="R225" s="3">
        <v>0.03</v>
      </c>
      <c r="S225" t="s">
        <v>38</v>
      </c>
      <c r="T225" s="2">
        <v>463.55</v>
      </c>
    </row>
    <row r="226" spans="1:20" x14ac:dyDescent="0.25">
      <c r="A226">
        <v>100225</v>
      </c>
      <c r="B226" s="6">
        <v>45018</v>
      </c>
      <c r="C226">
        <v>2023</v>
      </c>
      <c r="D226" t="s">
        <v>20</v>
      </c>
      <c r="E226">
        <v>4</v>
      </c>
      <c r="F226" t="s">
        <v>34</v>
      </c>
      <c r="G226" t="s">
        <v>35</v>
      </c>
      <c r="H226" t="s">
        <v>23</v>
      </c>
      <c r="I226" t="s">
        <v>36</v>
      </c>
      <c r="J226" t="s">
        <v>66</v>
      </c>
      <c r="K226" t="s">
        <v>32</v>
      </c>
      <c r="L226" t="s">
        <v>37</v>
      </c>
      <c r="M226" s="8">
        <v>95</v>
      </c>
      <c r="N226" s="10">
        <v>120</v>
      </c>
      <c r="O226" s="10">
        <v>10260</v>
      </c>
      <c r="P226" s="10">
        <v>7410</v>
      </c>
      <c r="Q226" s="2">
        <v>2850</v>
      </c>
      <c r="R226" s="3">
        <v>0.1</v>
      </c>
      <c r="S226" t="s">
        <v>70</v>
      </c>
      <c r="T226" s="2">
        <v>294.17</v>
      </c>
    </row>
    <row r="227" spans="1:20" x14ac:dyDescent="0.25">
      <c r="A227">
        <v>100226</v>
      </c>
      <c r="B227" s="6">
        <v>45172</v>
      </c>
      <c r="C227">
        <v>2023</v>
      </c>
      <c r="D227" t="s">
        <v>39</v>
      </c>
      <c r="E227">
        <v>9</v>
      </c>
      <c r="F227" t="s">
        <v>40</v>
      </c>
      <c r="G227" t="s">
        <v>35</v>
      </c>
      <c r="H227" t="s">
        <v>23</v>
      </c>
      <c r="I227" t="s">
        <v>53</v>
      </c>
      <c r="J227" t="s">
        <v>61</v>
      </c>
      <c r="K227" t="s">
        <v>59</v>
      </c>
      <c r="L227" t="s">
        <v>67</v>
      </c>
      <c r="M227" s="8">
        <v>67</v>
      </c>
      <c r="N227" s="10">
        <v>95</v>
      </c>
      <c r="O227" s="10">
        <v>6237.7</v>
      </c>
      <c r="P227" s="10">
        <v>3752</v>
      </c>
      <c r="Q227" s="2">
        <v>2485.6999999999998</v>
      </c>
      <c r="R227" s="3">
        <v>0.02</v>
      </c>
      <c r="S227" t="s">
        <v>38</v>
      </c>
      <c r="T227" s="2">
        <v>305.91000000000003</v>
      </c>
    </row>
    <row r="228" spans="1:20" x14ac:dyDescent="0.25">
      <c r="A228">
        <v>100227</v>
      </c>
      <c r="B228" s="6">
        <v>45168</v>
      </c>
      <c r="C228">
        <v>2023</v>
      </c>
      <c r="D228" t="s">
        <v>39</v>
      </c>
      <c r="E228">
        <v>8</v>
      </c>
      <c r="F228" t="s">
        <v>58</v>
      </c>
      <c r="G228" t="s">
        <v>45</v>
      </c>
      <c r="H228" t="s">
        <v>23</v>
      </c>
      <c r="I228" t="s">
        <v>46</v>
      </c>
      <c r="J228" t="s">
        <v>54</v>
      </c>
      <c r="K228" t="s">
        <v>32</v>
      </c>
      <c r="L228" t="s">
        <v>37</v>
      </c>
      <c r="M228" s="8">
        <v>148</v>
      </c>
      <c r="N228" s="10">
        <v>120</v>
      </c>
      <c r="O228" s="10">
        <v>17227.2</v>
      </c>
      <c r="P228" s="10">
        <v>11544</v>
      </c>
      <c r="Q228" s="2">
        <v>5683.2</v>
      </c>
      <c r="R228" s="3">
        <v>0.03</v>
      </c>
      <c r="S228" t="s">
        <v>38</v>
      </c>
      <c r="T228" s="2">
        <v>1058.43</v>
      </c>
    </row>
    <row r="229" spans="1:20" x14ac:dyDescent="0.25">
      <c r="A229">
        <v>100228</v>
      </c>
      <c r="B229" s="6">
        <v>45436</v>
      </c>
      <c r="C229">
        <v>2024</v>
      </c>
      <c r="D229" t="s">
        <v>20</v>
      </c>
      <c r="E229">
        <v>5</v>
      </c>
      <c r="F229" t="s">
        <v>21</v>
      </c>
      <c r="G229" t="s">
        <v>29</v>
      </c>
      <c r="H229" t="s">
        <v>23</v>
      </c>
      <c r="I229" t="s">
        <v>85</v>
      </c>
      <c r="J229" t="s">
        <v>50</v>
      </c>
      <c r="K229" t="s">
        <v>51</v>
      </c>
      <c r="L229" t="s">
        <v>72</v>
      </c>
      <c r="M229" s="8">
        <v>91</v>
      </c>
      <c r="N229" s="10">
        <v>90</v>
      </c>
      <c r="O229" s="10">
        <v>7944.3</v>
      </c>
      <c r="P229" s="10">
        <v>4732</v>
      </c>
      <c r="Q229" s="2">
        <v>3212.3</v>
      </c>
      <c r="R229" s="3">
        <v>0.03</v>
      </c>
      <c r="S229" t="s">
        <v>28</v>
      </c>
      <c r="T229" s="2">
        <v>283.39999999999998</v>
      </c>
    </row>
    <row r="230" spans="1:20" x14ac:dyDescent="0.25">
      <c r="A230">
        <v>100229</v>
      </c>
      <c r="B230" s="6">
        <v>45480</v>
      </c>
      <c r="C230">
        <v>2024</v>
      </c>
      <c r="D230" t="s">
        <v>39</v>
      </c>
      <c r="E230">
        <v>7</v>
      </c>
      <c r="F230" t="s">
        <v>75</v>
      </c>
      <c r="G230" t="s">
        <v>45</v>
      </c>
      <c r="H230" t="s">
        <v>23</v>
      </c>
      <c r="I230" t="s">
        <v>88</v>
      </c>
      <c r="J230" t="s">
        <v>68</v>
      </c>
      <c r="K230" t="s">
        <v>55</v>
      </c>
      <c r="L230" t="s">
        <v>93</v>
      </c>
      <c r="M230" s="8">
        <v>26</v>
      </c>
      <c r="N230" s="10">
        <v>60</v>
      </c>
      <c r="O230" s="10">
        <v>1482</v>
      </c>
      <c r="P230" s="10">
        <v>1092</v>
      </c>
      <c r="Q230" s="2">
        <v>390</v>
      </c>
      <c r="R230" s="3">
        <v>0.05</v>
      </c>
      <c r="S230" t="s">
        <v>70</v>
      </c>
      <c r="T230" s="2">
        <v>99.08</v>
      </c>
    </row>
    <row r="231" spans="1:20" x14ac:dyDescent="0.25">
      <c r="A231">
        <v>100230</v>
      </c>
      <c r="B231" s="6">
        <v>44955</v>
      </c>
      <c r="C231">
        <v>2023</v>
      </c>
      <c r="D231" t="s">
        <v>63</v>
      </c>
      <c r="E231">
        <v>1</v>
      </c>
      <c r="F231" t="s">
        <v>79</v>
      </c>
      <c r="G231" t="s">
        <v>45</v>
      </c>
      <c r="H231" t="s">
        <v>23</v>
      </c>
      <c r="I231" t="s">
        <v>88</v>
      </c>
      <c r="J231" t="s">
        <v>31</v>
      </c>
      <c r="K231" t="s">
        <v>55</v>
      </c>
      <c r="L231" t="s">
        <v>56</v>
      </c>
      <c r="M231" s="8">
        <v>30</v>
      </c>
      <c r="N231" s="10">
        <v>320</v>
      </c>
      <c r="O231" s="10">
        <v>8832</v>
      </c>
      <c r="P231" s="10">
        <v>7050</v>
      </c>
      <c r="Q231" s="2">
        <v>1782</v>
      </c>
      <c r="R231" s="3">
        <v>0.08</v>
      </c>
      <c r="S231" t="s">
        <v>28</v>
      </c>
      <c r="T231" s="2">
        <v>373.15</v>
      </c>
    </row>
    <row r="232" spans="1:20" x14ac:dyDescent="0.25">
      <c r="A232">
        <v>100231</v>
      </c>
      <c r="B232" s="6">
        <v>45126</v>
      </c>
      <c r="C232">
        <v>2023</v>
      </c>
      <c r="D232" t="s">
        <v>39</v>
      </c>
      <c r="E232">
        <v>7</v>
      </c>
      <c r="F232" t="s">
        <v>75</v>
      </c>
      <c r="G232" t="s">
        <v>45</v>
      </c>
      <c r="H232" t="s">
        <v>23</v>
      </c>
      <c r="I232" t="s">
        <v>90</v>
      </c>
      <c r="J232" t="s">
        <v>50</v>
      </c>
      <c r="K232" t="s">
        <v>55</v>
      </c>
      <c r="L232" t="s">
        <v>89</v>
      </c>
      <c r="M232" s="8">
        <v>97</v>
      </c>
      <c r="N232" s="10">
        <v>280</v>
      </c>
      <c r="O232" s="10">
        <v>24987.200000000001</v>
      </c>
      <c r="P232" s="10">
        <v>19885</v>
      </c>
      <c r="Q232" s="2">
        <v>5102.2</v>
      </c>
      <c r="R232" s="3">
        <v>0.08</v>
      </c>
      <c r="S232" t="s">
        <v>70</v>
      </c>
      <c r="T232" s="2">
        <v>520.05999999999995</v>
      </c>
    </row>
    <row r="233" spans="1:20" x14ac:dyDescent="0.25">
      <c r="A233">
        <v>100232</v>
      </c>
      <c r="B233" s="6">
        <v>45027</v>
      </c>
      <c r="C233">
        <v>2023</v>
      </c>
      <c r="D233" t="s">
        <v>20</v>
      </c>
      <c r="E233">
        <v>4</v>
      </c>
      <c r="F233" t="s">
        <v>34</v>
      </c>
      <c r="G233" t="s">
        <v>29</v>
      </c>
      <c r="H233" t="s">
        <v>23</v>
      </c>
      <c r="I233" t="s">
        <v>73</v>
      </c>
      <c r="J233" t="s">
        <v>25</v>
      </c>
      <c r="K233" t="s">
        <v>32</v>
      </c>
      <c r="L233" t="s">
        <v>74</v>
      </c>
      <c r="M233" s="8">
        <v>52</v>
      </c>
      <c r="N233" s="10">
        <v>25</v>
      </c>
      <c r="O233" s="10">
        <v>1235</v>
      </c>
      <c r="P233" s="10">
        <v>728</v>
      </c>
      <c r="Q233" s="2">
        <v>507</v>
      </c>
      <c r="R233" s="3">
        <v>0.05</v>
      </c>
      <c r="S233" t="s">
        <v>38</v>
      </c>
      <c r="T233" s="2">
        <v>73.010000000000005</v>
      </c>
    </row>
    <row r="234" spans="1:20" x14ac:dyDescent="0.25">
      <c r="A234">
        <v>100233</v>
      </c>
      <c r="B234" s="6">
        <v>45074</v>
      </c>
      <c r="C234">
        <v>2023</v>
      </c>
      <c r="D234" t="s">
        <v>20</v>
      </c>
      <c r="E234">
        <v>5</v>
      </c>
      <c r="F234" t="s">
        <v>21</v>
      </c>
      <c r="G234" t="s">
        <v>45</v>
      </c>
      <c r="H234" t="s">
        <v>23</v>
      </c>
      <c r="I234" t="s">
        <v>62</v>
      </c>
      <c r="J234" t="s">
        <v>25</v>
      </c>
      <c r="K234" t="s">
        <v>51</v>
      </c>
      <c r="L234" t="s">
        <v>76</v>
      </c>
      <c r="M234" s="8">
        <v>148</v>
      </c>
      <c r="N234" s="10">
        <v>40</v>
      </c>
      <c r="O234" s="10">
        <v>5328</v>
      </c>
      <c r="P234" s="10">
        <v>3404</v>
      </c>
      <c r="Q234" s="2">
        <v>1924</v>
      </c>
      <c r="R234" s="3">
        <v>0.1</v>
      </c>
      <c r="S234" t="s">
        <v>38</v>
      </c>
      <c r="T234" s="2">
        <v>356.06</v>
      </c>
    </row>
    <row r="235" spans="1:20" x14ac:dyDescent="0.25">
      <c r="A235">
        <v>100234</v>
      </c>
      <c r="B235" s="6">
        <v>45368</v>
      </c>
      <c r="C235">
        <v>2024</v>
      </c>
      <c r="D235" t="s">
        <v>63</v>
      </c>
      <c r="E235">
        <v>3</v>
      </c>
      <c r="F235" t="s">
        <v>64</v>
      </c>
      <c r="G235" t="s">
        <v>45</v>
      </c>
      <c r="H235" t="s">
        <v>23</v>
      </c>
      <c r="I235" t="s">
        <v>46</v>
      </c>
      <c r="J235" t="s">
        <v>31</v>
      </c>
      <c r="K235" t="s">
        <v>26</v>
      </c>
      <c r="L235" t="s">
        <v>82</v>
      </c>
      <c r="M235" s="8">
        <v>17</v>
      </c>
      <c r="N235" s="10">
        <v>105</v>
      </c>
      <c r="O235" s="10">
        <v>1749.3</v>
      </c>
      <c r="P235" s="10">
        <v>1037</v>
      </c>
      <c r="Q235" s="2">
        <v>712.3</v>
      </c>
      <c r="R235" s="3">
        <v>0.02</v>
      </c>
      <c r="S235" t="s">
        <v>70</v>
      </c>
      <c r="T235" s="2">
        <v>28.25</v>
      </c>
    </row>
    <row r="236" spans="1:20" x14ac:dyDescent="0.25">
      <c r="A236">
        <v>100235</v>
      </c>
      <c r="B236" s="6">
        <v>45286</v>
      </c>
      <c r="C236">
        <v>2023</v>
      </c>
      <c r="D236" t="s">
        <v>43</v>
      </c>
      <c r="E236">
        <v>12</v>
      </c>
      <c r="F236" t="s">
        <v>83</v>
      </c>
      <c r="G236" t="s">
        <v>45</v>
      </c>
      <c r="H236" t="s">
        <v>23</v>
      </c>
      <c r="I236" t="s">
        <v>46</v>
      </c>
      <c r="J236" t="s">
        <v>42</v>
      </c>
      <c r="K236" t="s">
        <v>51</v>
      </c>
      <c r="L236" t="s">
        <v>76</v>
      </c>
      <c r="M236" s="8">
        <v>58</v>
      </c>
      <c r="N236" s="10">
        <v>40</v>
      </c>
      <c r="O236" s="10">
        <v>2273.6</v>
      </c>
      <c r="P236" s="10">
        <v>1334</v>
      </c>
      <c r="Q236" s="2">
        <v>939.6</v>
      </c>
      <c r="R236" s="3">
        <v>0.02</v>
      </c>
      <c r="S236" t="s">
        <v>70</v>
      </c>
      <c r="T236" s="2">
        <v>66.709999999999994</v>
      </c>
    </row>
    <row r="237" spans="1:20" x14ac:dyDescent="0.25">
      <c r="A237">
        <v>100236</v>
      </c>
      <c r="B237" s="6">
        <v>45304</v>
      </c>
      <c r="C237">
        <v>2024</v>
      </c>
      <c r="D237" t="s">
        <v>63</v>
      </c>
      <c r="E237">
        <v>1</v>
      </c>
      <c r="F237" t="s">
        <v>79</v>
      </c>
      <c r="G237" t="s">
        <v>22</v>
      </c>
      <c r="H237" t="s">
        <v>23</v>
      </c>
      <c r="I237" t="s">
        <v>41</v>
      </c>
      <c r="J237" t="s">
        <v>61</v>
      </c>
      <c r="K237" t="s">
        <v>55</v>
      </c>
      <c r="L237" t="s">
        <v>84</v>
      </c>
      <c r="M237" s="8">
        <v>149</v>
      </c>
      <c r="N237" s="10">
        <v>55</v>
      </c>
      <c r="O237" s="10">
        <v>7949.15</v>
      </c>
      <c r="P237" s="10">
        <v>5513</v>
      </c>
      <c r="Q237" s="2">
        <v>2436.15</v>
      </c>
      <c r="R237" s="3">
        <v>0.03</v>
      </c>
      <c r="S237" t="s">
        <v>70</v>
      </c>
      <c r="T237" s="2">
        <v>169.06</v>
      </c>
    </row>
    <row r="238" spans="1:20" x14ac:dyDescent="0.25">
      <c r="A238">
        <v>100237</v>
      </c>
      <c r="B238" s="6">
        <v>45277</v>
      </c>
      <c r="C238">
        <v>2023</v>
      </c>
      <c r="D238" t="s">
        <v>43</v>
      </c>
      <c r="E238">
        <v>12</v>
      </c>
      <c r="F238" t="s">
        <v>83</v>
      </c>
      <c r="G238" t="s">
        <v>29</v>
      </c>
      <c r="H238" t="s">
        <v>23</v>
      </c>
      <c r="I238" t="s">
        <v>49</v>
      </c>
      <c r="J238" t="s">
        <v>68</v>
      </c>
      <c r="K238" t="s">
        <v>59</v>
      </c>
      <c r="L238" t="s">
        <v>86</v>
      </c>
      <c r="M238" s="8">
        <v>20</v>
      </c>
      <c r="N238" s="10">
        <v>160</v>
      </c>
      <c r="O238" s="10">
        <v>3200</v>
      </c>
      <c r="P238" s="10">
        <v>1900</v>
      </c>
      <c r="Q238" s="2">
        <v>1300</v>
      </c>
      <c r="R238" s="3">
        <v>0</v>
      </c>
      <c r="S238" t="s">
        <v>38</v>
      </c>
      <c r="T238" s="2">
        <v>67.5</v>
      </c>
    </row>
    <row r="239" spans="1:20" x14ac:dyDescent="0.25">
      <c r="A239">
        <v>100238</v>
      </c>
      <c r="B239" s="6">
        <v>45414</v>
      </c>
      <c r="C239">
        <v>2024</v>
      </c>
      <c r="D239" t="s">
        <v>20</v>
      </c>
      <c r="E239">
        <v>5</v>
      </c>
      <c r="F239" t="s">
        <v>21</v>
      </c>
      <c r="G239" t="s">
        <v>22</v>
      </c>
      <c r="H239" t="s">
        <v>23</v>
      </c>
      <c r="I239" t="s">
        <v>41</v>
      </c>
      <c r="J239" t="s">
        <v>61</v>
      </c>
      <c r="K239" t="s">
        <v>51</v>
      </c>
      <c r="L239" t="s">
        <v>92</v>
      </c>
      <c r="M239" s="8">
        <v>123</v>
      </c>
      <c r="N239" s="10">
        <v>50</v>
      </c>
      <c r="O239" s="10">
        <v>5535</v>
      </c>
      <c r="P239" s="10">
        <v>3567</v>
      </c>
      <c r="Q239" s="2">
        <v>1968</v>
      </c>
      <c r="R239" s="3">
        <v>0.1</v>
      </c>
      <c r="S239" t="s">
        <v>57</v>
      </c>
      <c r="T239" s="2">
        <v>156.30000000000001</v>
      </c>
    </row>
    <row r="240" spans="1:20" x14ac:dyDescent="0.25">
      <c r="A240">
        <v>100239</v>
      </c>
      <c r="B240" s="6">
        <v>45612</v>
      </c>
      <c r="C240">
        <v>2024</v>
      </c>
      <c r="D240" t="s">
        <v>43</v>
      </c>
      <c r="E240">
        <v>11</v>
      </c>
      <c r="F240" t="s">
        <v>87</v>
      </c>
      <c r="G240" t="s">
        <v>45</v>
      </c>
      <c r="H240" t="s">
        <v>23</v>
      </c>
      <c r="I240" t="s">
        <v>62</v>
      </c>
      <c r="J240" t="s">
        <v>50</v>
      </c>
      <c r="K240" t="s">
        <v>55</v>
      </c>
      <c r="L240" t="s">
        <v>84</v>
      </c>
      <c r="M240" s="8">
        <v>41</v>
      </c>
      <c r="N240" s="10">
        <v>55</v>
      </c>
      <c r="O240" s="10">
        <v>2209.9</v>
      </c>
      <c r="P240" s="10">
        <v>1517</v>
      </c>
      <c r="Q240" s="2">
        <v>692.9</v>
      </c>
      <c r="R240" s="3">
        <v>0.02</v>
      </c>
      <c r="S240" t="s">
        <v>28</v>
      </c>
      <c r="T240" s="2">
        <v>140.02000000000001</v>
      </c>
    </row>
    <row r="241" spans="1:20" x14ac:dyDescent="0.25">
      <c r="A241">
        <v>100240</v>
      </c>
      <c r="B241" s="6">
        <v>45075</v>
      </c>
      <c r="C241">
        <v>2023</v>
      </c>
      <c r="D241" t="s">
        <v>20</v>
      </c>
      <c r="E241">
        <v>5</v>
      </c>
      <c r="F241" t="s">
        <v>21</v>
      </c>
      <c r="G241" t="s">
        <v>45</v>
      </c>
      <c r="H241" t="s">
        <v>23</v>
      </c>
      <c r="I241" t="s">
        <v>88</v>
      </c>
      <c r="J241" t="s">
        <v>50</v>
      </c>
      <c r="K241" t="s">
        <v>59</v>
      </c>
      <c r="L241" t="s">
        <v>91</v>
      </c>
      <c r="M241" s="8">
        <v>55</v>
      </c>
      <c r="N241" s="10">
        <v>140</v>
      </c>
      <c r="O241" s="10">
        <v>7315</v>
      </c>
      <c r="P241" s="10">
        <v>4510</v>
      </c>
      <c r="Q241" s="2">
        <v>2805</v>
      </c>
      <c r="R241" s="3">
        <v>0.05</v>
      </c>
      <c r="S241" t="s">
        <v>38</v>
      </c>
      <c r="T241" s="2">
        <v>422.11</v>
      </c>
    </row>
    <row r="242" spans="1:20" x14ac:dyDescent="0.25">
      <c r="A242">
        <v>100241</v>
      </c>
      <c r="B242" s="6">
        <v>45182</v>
      </c>
      <c r="C242">
        <v>2023</v>
      </c>
      <c r="D242" t="s">
        <v>39</v>
      </c>
      <c r="E242">
        <v>9</v>
      </c>
      <c r="F242" t="s">
        <v>40</v>
      </c>
      <c r="G242" t="s">
        <v>35</v>
      </c>
      <c r="H242" t="s">
        <v>23</v>
      </c>
      <c r="I242" t="s">
        <v>36</v>
      </c>
      <c r="J242" t="s">
        <v>61</v>
      </c>
      <c r="K242" t="s">
        <v>55</v>
      </c>
      <c r="L242" t="s">
        <v>84</v>
      </c>
      <c r="M242" s="8">
        <v>101</v>
      </c>
      <c r="N242" s="10">
        <v>55</v>
      </c>
      <c r="O242" s="10">
        <v>5555</v>
      </c>
      <c r="P242" s="10">
        <v>3737</v>
      </c>
      <c r="Q242" s="2">
        <v>1818</v>
      </c>
      <c r="R242" s="3">
        <v>0</v>
      </c>
      <c r="S242" t="s">
        <v>57</v>
      </c>
      <c r="T242" s="2">
        <v>133.68</v>
      </c>
    </row>
    <row r="243" spans="1:20" x14ac:dyDescent="0.25">
      <c r="A243">
        <v>100242</v>
      </c>
      <c r="B243" s="6">
        <v>45362</v>
      </c>
      <c r="C243">
        <v>2024</v>
      </c>
      <c r="D243" t="s">
        <v>63</v>
      </c>
      <c r="E243">
        <v>3</v>
      </c>
      <c r="F243" t="s">
        <v>64</v>
      </c>
      <c r="G243" t="s">
        <v>22</v>
      </c>
      <c r="H243" t="s">
        <v>23</v>
      </c>
      <c r="I243" t="s">
        <v>41</v>
      </c>
      <c r="J243" t="s">
        <v>61</v>
      </c>
      <c r="K243" t="s">
        <v>32</v>
      </c>
      <c r="L243" t="s">
        <v>74</v>
      </c>
      <c r="M243" s="8">
        <v>97</v>
      </c>
      <c r="N243" s="10">
        <v>25</v>
      </c>
      <c r="O243" s="10">
        <v>2376.5</v>
      </c>
      <c r="P243" s="10">
        <v>1358</v>
      </c>
      <c r="Q243" s="2">
        <v>1018.5</v>
      </c>
      <c r="R243" s="3">
        <v>0.02</v>
      </c>
      <c r="S243" t="s">
        <v>70</v>
      </c>
      <c r="T243" s="2">
        <v>89.68</v>
      </c>
    </row>
    <row r="244" spans="1:20" x14ac:dyDescent="0.25">
      <c r="A244">
        <v>100243</v>
      </c>
      <c r="B244" s="6">
        <v>45622</v>
      </c>
      <c r="C244">
        <v>2024</v>
      </c>
      <c r="D244" t="s">
        <v>43</v>
      </c>
      <c r="E244">
        <v>11</v>
      </c>
      <c r="F244" t="s">
        <v>87</v>
      </c>
      <c r="G244" t="s">
        <v>22</v>
      </c>
      <c r="H244" t="s">
        <v>23</v>
      </c>
      <c r="I244" t="s">
        <v>24</v>
      </c>
      <c r="J244" t="s">
        <v>31</v>
      </c>
      <c r="K244" t="s">
        <v>32</v>
      </c>
      <c r="L244" t="s">
        <v>74</v>
      </c>
      <c r="M244" s="8">
        <v>39</v>
      </c>
      <c r="N244" s="10">
        <v>25</v>
      </c>
      <c r="O244" s="10">
        <v>897</v>
      </c>
      <c r="P244" s="10">
        <v>546</v>
      </c>
      <c r="Q244" s="2">
        <v>351</v>
      </c>
      <c r="R244" s="3">
        <v>0.08</v>
      </c>
      <c r="S244" t="s">
        <v>70</v>
      </c>
      <c r="T244" s="2">
        <v>44.85</v>
      </c>
    </row>
    <row r="245" spans="1:20" x14ac:dyDescent="0.25">
      <c r="A245">
        <v>100244</v>
      </c>
      <c r="B245" s="6">
        <v>45062</v>
      </c>
      <c r="C245">
        <v>2023</v>
      </c>
      <c r="D245" t="s">
        <v>20</v>
      </c>
      <c r="E245">
        <v>5</v>
      </c>
      <c r="F245" t="s">
        <v>21</v>
      </c>
      <c r="G245" t="s">
        <v>35</v>
      </c>
      <c r="H245" t="s">
        <v>23</v>
      </c>
      <c r="I245" t="s">
        <v>36</v>
      </c>
      <c r="J245" t="s">
        <v>31</v>
      </c>
      <c r="K245" t="s">
        <v>32</v>
      </c>
      <c r="L245" t="s">
        <v>37</v>
      </c>
      <c r="M245" s="8">
        <v>117</v>
      </c>
      <c r="N245" s="10">
        <v>120</v>
      </c>
      <c r="O245" s="10">
        <v>13338</v>
      </c>
      <c r="P245" s="10">
        <v>9126</v>
      </c>
      <c r="Q245" s="2">
        <v>4212</v>
      </c>
      <c r="R245" s="3">
        <v>0.05</v>
      </c>
      <c r="S245" t="s">
        <v>38</v>
      </c>
      <c r="T245" s="2">
        <v>927.65</v>
      </c>
    </row>
    <row r="246" spans="1:20" x14ac:dyDescent="0.25">
      <c r="A246">
        <v>100245</v>
      </c>
      <c r="B246" s="6">
        <v>45800</v>
      </c>
      <c r="C246">
        <v>2025</v>
      </c>
      <c r="D246" t="s">
        <v>20</v>
      </c>
      <c r="E246">
        <v>5</v>
      </c>
      <c r="F246" t="s">
        <v>21</v>
      </c>
      <c r="G246" t="s">
        <v>35</v>
      </c>
      <c r="H246" t="s">
        <v>23</v>
      </c>
      <c r="I246" t="s">
        <v>53</v>
      </c>
      <c r="J246" t="s">
        <v>68</v>
      </c>
      <c r="K246" t="s">
        <v>51</v>
      </c>
      <c r="L246" t="s">
        <v>92</v>
      </c>
      <c r="M246" s="8">
        <v>137</v>
      </c>
      <c r="N246" s="10">
        <v>50</v>
      </c>
      <c r="O246" s="10">
        <v>6302</v>
      </c>
      <c r="P246" s="10">
        <v>3973</v>
      </c>
      <c r="Q246" s="2">
        <v>2329</v>
      </c>
      <c r="R246" s="3">
        <v>0.08</v>
      </c>
      <c r="S246" t="s">
        <v>38</v>
      </c>
      <c r="T246" s="2">
        <v>307.69</v>
      </c>
    </row>
    <row r="247" spans="1:20" x14ac:dyDescent="0.25">
      <c r="A247">
        <v>100246</v>
      </c>
      <c r="B247" s="6">
        <v>45963</v>
      </c>
      <c r="C247">
        <v>2025</v>
      </c>
      <c r="D247" t="s">
        <v>43</v>
      </c>
      <c r="E247">
        <v>11</v>
      </c>
      <c r="F247" t="s">
        <v>87</v>
      </c>
      <c r="G247" t="s">
        <v>45</v>
      </c>
      <c r="H247" t="s">
        <v>23</v>
      </c>
      <c r="I247" t="s">
        <v>62</v>
      </c>
      <c r="J247" t="s">
        <v>66</v>
      </c>
      <c r="K247" t="s">
        <v>59</v>
      </c>
      <c r="L247" t="s">
        <v>86</v>
      </c>
      <c r="M247" s="8">
        <v>99</v>
      </c>
      <c r="N247" s="10">
        <v>160</v>
      </c>
      <c r="O247" s="10">
        <v>14572.8</v>
      </c>
      <c r="P247" s="10">
        <v>9405</v>
      </c>
      <c r="Q247" s="2">
        <v>5167.8</v>
      </c>
      <c r="R247" s="3">
        <v>0.08</v>
      </c>
      <c r="S247" t="s">
        <v>38</v>
      </c>
      <c r="T247" s="2">
        <v>885.99</v>
      </c>
    </row>
    <row r="248" spans="1:20" x14ac:dyDescent="0.25">
      <c r="A248">
        <v>100247</v>
      </c>
      <c r="B248" s="6">
        <v>45970</v>
      </c>
      <c r="C248">
        <v>2025</v>
      </c>
      <c r="D248" t="s">
        <v>43</v>
      </c>
      <c r="E248">
        <v>11</v>
      </c>
      <c r="F248" t="s">
        <v>87</v>
      </c>
      <c r="G248" t="s">
        <v>22</v>
      </c>
      <c r="H248" t="s">
        <v>23</v>
      </c>
      <c r="I248" t="s">
        <v>65</v>
      </c>
      <c r="J248" t="s">
        <v>50</v>
      </c>
      <c r="K248" t="s">
        <v>32</v>
      </c>
      <c r="L248" t="s">
        <v>74</v>
      </c>
      <c r="M248" s="8">
        <v>79</v>
      </c>
      <c r="N248" s="10">
        <v>25</v>
      </c>
      <c r="O248" s="10">
        <v>1817</v>
      </c>
      <c r="P248" s="10">
        <v>1106</v>
      </c>
      <c r="Q248" s="2">
        <v>711</v>
      </c>
      <c r="R248" s="3">
        <v>0.08</v>
      </c>
      <c r="S248" t="s">
        <v>38</v>
      </c>
      <c r="T248" s="2">
        <v>126.82</v>
      </c>
    </row>
    <row r="249" spans="1:20" x14ac:dyDescent="0.25">
      <c r="A249">
        <v>100248</v>
      </c>
      <c r="B249" s="6">
        <v>45970</v>
      </c>
      <c r="C249">
        <v>2025</v>
      </c>
      <c r="D249" t="s">
        <v>43</v>
      </c>
      <c r="E249">
        <v>11</v>
      </c>
      <c r="F249" t="s">
        <v>87</v>
      </c>
      <c r="G249" t="s">
        <v>35</v>
      </c>
      <c r="H249" t="s">
        <v>23</v>
      </c>
      <c r="I249" t="s">
        <v>80</v>
      </c>
      <c r="J249" t="s">
        <v>54</v>
      </c>
      <c r="K249" t="s">
        <v>32</v>
      </c>
      <c r="L249" t="s">
        <v>33</v>
      </c>
      <c r="M249" s="8">
        <v>46</v>
      </c>
      <c r="N249" s="10">
        <v>60</v>
      </c>
      <c r="O249" s="10">
        <v>2622</v>
      </c>
      <c r="P249" s="10">
        <v>1748</v>
      </c>
      <c r="Q249" s="2">
        <v>874</v>
      </c>
      <c r="R249" s="3">
        <v>0.05</v>
      </c>
      <c r="S249" t="s">
        <v>38</v>
      </c>
      <c r="T249" s="2">
        <v>39.6</v>
      </c>
    </row>
    <row r="250" spans="1:20" x14ac:dyDescent="0.25">
      <c r="A250">
        <v>100249</v>
      </c>
      <c r="B250" s="6">
        <v>44964</v>
      </c>
      <c r="C250">
        <v>2023</v>
      </c>
      <c r="D250" t="s">
        <v>63</v>
      </c>
      <c r="E250">
        <v>2</v>
      </c>
      <c r="F250" t="s">
        <v>81</v>
      </c>
      <c r="G250" t="s">
        <v>35</v>
      </c>
      <c r="H250" t="s">
        <v>23</v>
      </c>
      <c r="I250" t="s">
        <v>80</v>
      </c>
      <c r="J250" t="s">
        <v>61</v>
      </c>
      <c r="K250" t="s">
        <v>32</v>
      </c>
      <c r="L250" t="s">
        <v>37</v>
      </c>
      <c r="M250" s="8">
        <v>29</v>
      </c>
      <c r="N250" s="10">
        <v>120</v>
      </c>
      <c r="O250" s="10">
        <v>3375.6</v>
      </c>
      <c r="P250" s="10">
        <v>2262</v>
      </c>
      <c r="Q250" s="2">
        <v>1113.5999999999999</v>
      </c>
      <c r="R250" s="3">
        <v>0.03</v>
      </c>
      <c r="S250" t="s">
        <v>70</v>
      </c>
      <c r="T250" s="2">
        <v>212.95</v>
      </c>
    </row>
    <row r="251" spans="1:20" x14ac:dyDescent="0.25">
      <c r="A251">
        <v>100250</v>
      </c>
      <c r="B251" s="6">
        <v>45262</v>
      </c>
      <c r="C251">
        <v>2023</v>
      </c>
      <c r="D251" t="s">
        <v>43</v>
      </c>
      <c r="E251">
        <v>12</v>
      </c>
      <c r="F251" t="s">
        <v>83</v>
      </c>
      <c r="G251" t="s">
        <v>35</v>
      </c>
      <c r="H251" t="s">
        <v>23</v>
      </c>
      <c r="I251" t="s">
        <v>53</v>
      </c>
      <c r="J251" t="s">
        <v>54</v>
      </c>
      <c r="K251" t="s">
        <v>26</v>
      </c>
      <c r="L251" t="s">
        <v>82</v>
      </c>
      <c r="M251" s="8">
        <v>33</v>
      </c>
      <c r="N251" s="10">
        <v>105</v>
      </c>
      <c r="O251" s="10">
        <v>3291.75</v>
      </c>
      <c r="P251" s="10">
        <v>2013</v>
      </c>
      <c r="Q251" s="2">
        <v>1278.75</v>
      </c>
      <c r="R251" s="3">
        <v>0.05</v>
      </c>
      <c r="S251" t="s">
        <v>38</v>
      </c>
      <c r="T251" s="2">
        <v>195.12</v>
      </c>
    </row>
    <row r="252" spans="1:20" x14ac:dyDescent="0.25">
      <c r="A252">
        <v>100251</v>
      </c>
      <c r="B252" s="6">
        <v>45841</v>
      </c>
      <c r="C252">
        <v>2025</v>
      </c>
      <c r="D252" t="s">
        <v>39</v>
      </c>
      <c r="E252">
        <v>7</v>
      </c>
      <c r="F252" t="s">
        <v>75</v>
      </c>
      <c r="G252" t="s">
        <v>45</v>
      </c>
      <c r="H252" t="s">
        <v>23</v>
      </c>
      <c r="I252" t="s">
        <v>90</v>
      </c>
      <c r="J252" t="s">
        <v>61</v>
      </c>
      <c r="K252" t="s">
        <v>32</v>
      </c>
      <c r="L252" t="s">
        <v>33</v>
      </c>
      <c r="M252" s="8">
        <v>118</v>
      </c>
      <c r="N252" s="10">
        <v>60</v>
      </c>
      <c r="O252" s="10">
        <v>6726</v>
      </c>
      <c r="P252" s="10">
        <v>4484</v>
      </c>
      <c r="Q252" s="2">
        <v>2242</v>
      </c>
      <c r="R252" s="3">
        <v>0.05</v>
      </c>
      <c r="S252" t="s">
        <v>57</v>
      </c>
      <c r="T252" s="2">
        <v>464.15</v>
      </c>
    </row>
    <row r="253" spans="1:20" x14ac:dyDescent="0.25">
      <c r="A253">
        <v>100252</v>
      </c>
      <c r="B253" s="6">
        <v>44945</v>
      </c>
      <c r="C253">
        <v>2023</v>
      </c>
      <c r="D253" t="s">
        <v>63</v>
      </c>
      <c r="E253">
        <v>1</v>
      </c>
      <c r="F253" t="s">
        <v>79</v>
      </c>
      <c r="G253" t="s">
        <v>29</v>
      </c>
      <c r="H253" t="s">
        <v>23</v>
      </c>
      <c r="I253" t="s">
        <v>73</v>
      </c>
      <c r="J253" t="s">
        <v>50</v>
      </c>
      <c r="K253" t="s">
        <v>32</v>
      </c>
      <c r="L253" t="s">
        <v>74</v>
      </c>
      <c r="M253" s="8">
        <v>122</v>
      </c>
      <c r="N253" s="10">
        <v>25</v>
      </c>
      <c r="O253" s="10">
        <v>2958.5</v>
      </c>
      <c r="P253" s="10">
        <v>1708</v>
      </c>
      <c r="Q253" s="2">
        <v>1250.5</v>
      </c>
      <c r="R253" s="3">
        <v>0.03</v>
      </c>
      <c r="S253" t="s">
        <v>38</v>
      </c>
      <c r="T253" s="2">
        <v>58.79</v>
      </c>
    </row>
    <row r="254" spans="1:20" x14ac:dyDescent="0.25">
      <c r="A254">
        <v>100253</v>
      </c>
      <c r="B254" s="6">
        <v>45402</v>
      </c>
      <c r="C254">
        <v>2024</v>
      </c>
      <c r="D254" t="s">
        <v>20</v>
      </c>
      <c r="E254">
        <v>4</v>
      </c>
      <c r="F254" t="s">
        <v>34</v>
      </c>
      <c r="G254" t="s">
        <v>22</v>
      </c>
      <c r="H254" t="s">
        <v>23</v>
      </c>
      <c r="I254" t="s">
        <v>24</v>
      </c>
      <c r="J254" t="s">
        <v>50</v>
      </c>
      <c r="K254" t="s">
        <v>55</v>
      </c>
      <c r="L254" t="s">
        <v>56</v>
      </c>
      <c r="M254" s="8">
        <v>127</v>
      </c>
      <c r="N254" s="10">
        <v>320</v>
      </c>
      <c r="O254" s="10">
        <v>38608</v>
      </c>
      <c r="P254" s="10">
        <v>29845</v>
      </c>
      <c r="Q254" s="2">
        <v>8763</v>
      </c>
      <c r="R254" s="3">
        <v>0.05</v>
      </c>
      <c r="S254" t="s">
        <v>70</v>
      </c>
      <c r="T254" s="2">
        <v>1473.61</v>
      </c>
    </row>
    <row r="255" spans="1:20" x14ac:dyDescent="0.25">
      <c r="A255">
        <v>100254</v>
      </c>
      <c r="B255" s="6">
        <v>45997</v>
      </c>
      <c r="C255">
        <v>2025</v>
      </c>
      <c r="D255" t="s">
        <v>43</v>
      </c>
      <c r="E255">
        <v>12</v>
      </c>
      <c r="F255" t="s">
        <v>83</v>
      </c>
      <c r="G255" t="s">
        <v>22</v>
      </c>
      <c r="H255" t="s">
        <v>23</v>
      </c>
      <c r="I255" t="s">
        <v>24</v>
      </c>
      <c r="J255" t="s">
        <v>31</v>
      </c>
      <c r="K255" t="s">
        <v>51</v>
      </c>
      <c r="L255" t="s">
        <v>76</v>
      </c>
      <c r="M255" s="8">
        <v>133</v>
      </c>
      <c r="N255" s="10">
        <v>40</v>
      </c>
      <c r="O255" s="10">
        <v>5160.3999999999996</v>
      </c>
      <c r="P255" s="10">
        <v>3059</v>
      </c>
      <c r="Q255" s="2">
        <v>2101.4</v>
      </c>
      <c r="R255" s="3">
        <v>0.03</v>
      </c>
      <c r="S255" t="s">
        <v>38</v>
      </c>
      <c r="T255" s="2">
        <v>239.72</v>
      </c>
    </row>
    <row r="256" spans="1:20" x14ac:dyDescent="0.25">
      <c r="A256">
        <v>100255</v>
      </c>
      <c r="B256" s="6">
        <v>45426</v>
      </c>
      <c r="C256">
        <v>2024</v>
      </c>
      <c r="D256" t="s">
        <v>20</v>
      </c>
      <c r="E256">
        <v>5</v>
      </c>
      <c r="F256" t="s">
        <v>21</v>
      </c>
      <c r="G256" t="s">
        <v>45</v>
      </c>
      <c r="H256" t="s">
        <v>23</v>
      </c>
      <c r="I256" t="s">
        <v>88</v>
      </c>
      <c r="J256" t="s">
        <v>61</v>
      </c>
      <c r="K256" t="s">
        <v>51</v>
      </c>
      <c r="L256" t="s">
        <v>92</v>
      </c>
      <c r="M256" s="8">
        <v>116</v>
      </c>
      <c r="N256" s="10">
        <v>50</v>
      </c>
      <c r="O256" s="10">
        <v>5800</v>
      </c>
      <c r="P256" s="10">
        <v>3364</v>
      </c>
      <c r="Q256" s="2">
        <v>2436</v>
      </c>
      <c r="R256" s="3">
        <v>0</v>
      </c>
      <c r="S256" t="s">
        <v>57</v>
      </c>
      <c r="T256" s="2">
        <v>352.31</v>
      </c>
    </row>
    <row r="257" spans="1:20" x14ac:dyDescent="0.25">
      <c r="A257">
        <v>100256</v>
      </c>
      <c r="B257" s="6">
        <v>45489</v>
      </c>
      <c r="C257">
        <v>2024</v>
      </c>
      <c r="D257" t="s">
        <v>39</v>
      </c>
      <c r="E257">
        <v>7</v>
      </c>
      <c r="F257" t="s">
        <v>75</v>
      </c>
      <c r="G257" t="s">
        <v>45</v>
      </c>
      <c r="H257" t="s">
        <v>23</v>
      </c>
      <c r="I257" t="s">
        <v>90</v>
      </c>
      <c r="J257" t="s">
        <v>42</v>
      </c>
      <c r="K257" t="s">
        <v>51</v>
      </c>
      <c r="L257" t="s">
        <v>76</v>
      </c>
      <c r="M257" s="8">
        <v>78</v>
      </c>
      <c r="N257" s="10">
        <v>40</v>
      </c>
      <c r="O257" s="10">
        <v>2870.4</v>
      </c>
      <c r="P257" s="10">
        <v>1794</v>
      </c>
      <c r="Q257" s="2">
        <v>1076.4000000000001</v>
      </c>
      <c r="R257" s="3">
        <v>0.08</v>
      </c>
      <c r="S257" t="s">
        <v>70</v>
      </c>
      <c r="T257" s="2">
        <v>72.44</v>
      </c>
    </row>
    <row r="258" spans="1:20" x14ac:dyDescent="0.25">
      <c r="A258">
        <v>100257</v>
      </c>
      <c r="B258" s="6">
        <v>45630</v>
      </c>
      <c r="C258">
        <v>2024</v>
      </c>
      <c r="D258" t="s">
        <v>43</v>
      </c>
      <c r="E258">
        <v>12</v>
      </c>
      <c r="F258" t="s">
        <v>83</v>
      </c>
      <c r="G258" t="s">
        <v>45</v>
      </c>
      <c r="H258" t="s">
        <v>23</v>
      </c>
      <c r="I258" t="s">
        <v>62</v>
      </c>
      <c r="J258" t="s">
        <v>42</v>
      </c>
      <c r="K258" t="s">
        <v>32</v>
      </c>
      <c r="L258" t="s">
        <v>47</v>
      </c>
      <c r="M258" s="8">
        <v>135</v>
      </c>
      <c r="N258" s="10">
        <v>180</v>
      </c>
      <c r="O258" s="10">
        <v>23085</v>
      </c>
      <c r="P258" s="10">
        <v>15525</v>
      </c>
      <c r="Q258" s="2">
        <v>7560</v>
      </c>
      <c r="R258" s="3">
        <v>0.05</v>
      </c>
      <c r="S258" t="s">
        <v>57</v>
      </c>
      <c r="T258" s="2">
        <v>976.62</v>
      </c>
    </row>
    <row r="259" spans="1:20" x14ac:dyDescent="0.25">
      <c r="A259">
        <v>100258</v>
      </c>
      <c r="B259" s="6">
        <v>45538</v>
      </c>
      <c r="C259">
        <v>2024</v>
      </c>
      <c r="D259" t="s">
        <v>39</v>
      </c>
      <c r="E259">
        <v>9</v>
      </c>
      <c r="F259" t="s">
        <v>40</v>
      </c>
      <c r="G259" t="s">
        <v>35</v>
      </c>
      <c r="H259" t="s">
        <v>23</v>
      </c>
      <c r="I259" t="s">
        <v>77</v>
      </c>
      <c r="J259" t="s">
        <v>31</v>
      </c>
      <c r="K259" t="s">
        <v>32</v>
      </c>
      <c r="L259" t="s">
        <v>47</v>
      </c>
      <c r="M259" s="8">
        <v>117</v>
      </c>
      <c r="N259" s="10">
        <v>180</v>
      </c>
      <c r="O259" s="10">
        <v>21060</v>
      </c>
      <c r="P259" s="10">
        <v>13455</v>
      </c>
      <c r="Q259" s="2">
        <v>7605</v>
      </c>
      <c r="R259" s="3">
        <v>0</v>
      </c>
      <c r="S259" t="s">
        <v>70</v>
      </c>
      <c r="T259" s="2">
        <v>1186.22</v>
      </c>
    </row>
    <row r="260" spans="1:20" x14ac:dyDescent="0.25">
      <c r="A260">
        <v>100259</v>
      </c>
      <c r="B260" s="6">
        <v>45651</v>
      </c>
      <c r="C260">
        <v>2024</v>
      </c>
      <c r="D260" t="s">
        <v>43</v>
      </c>
      <c r="E260">
        <v>12</v>
      </c>
      <c r="F260" t="s">
        <v>83</v>
      </c>
      <c r="G260" t="s">
        <v>35</v>
      </c>
      <c r="H260" t="s">
        <v>23</v>
      </c>
      <c r="I260" t="s">
        <v>80</v>
      </c>
      <c r="J260" t="s">
        <v>50</v>
      </c>
      <c r="K260" t="s">
        <v>32</v>
      </c>
      <c r="L260" t="s">
        <v>33</v>
      </c>
      <c r="M260" s="8">
        <v>95</v>
      </c>
      <c r="N260" s="10">
        <v>60</v>
      </c>
      <c r="O260" s="10">
        <v>5586</v>
      </c>
      <c r="P260" s="10">
        <v>3610</v>
      </c>
      <c r="Q260" s="2">
        <v>1976</v>
      </c>
      <c r="R260" s="3">
        <v>0.02</v>
      </c>
      <c r="S260" t="s">
        <v>57</v>
      </c>
      <c r="T260" s="2">
        <v>159.66999999999999</v>
      </c>
    </row>
    <row r="261" spans="1:20" x14ac:dyDescent="0.25">
      <c r="A261">
        <v>100260</v>
      </c>
      <c r="B261" s="6">
        <v>45832</v>
      </c>
      <c r="C261">
        <v>2025</v>
      </c>
      <c r="D261" t="s">
        <v>20</v>
      </c>
      <c r="E261">
        <v>6</v>
      </c>
      <c r="F261" t="s">
        <v>48</v>
      </c>
      <c r="G261" t="s">
        <v>29</v>
      </c>
      <c r="H261" t="s">
        <v>23</v>
      </c>
      <c r="I261" t="s">
        <v>49</v>
      </c>
      <c r="J261" t="s">
        <v>31</v>
      </c>
      <c r="K261" t="s">
        <v>26</v>
      </c>
      <c r="L261" t="s">
        <v>78</v>
      </c>
      <c r="M261" s="8">
        <v>79</v>
      </c>
      <c r="N261" s="10">
        <v>95</v>
      </c>
      <c r="O261" s="10">
        <v>7505</v>
      </c>
      <c r="P261" s="10">
        <v>4582</v>
      </c>
      <c r="Q261" s="2">
        <v>2923</v>
      </c>
      <c r="R261" s="3">
        <v>0</v>
      </c>
      <c r="S261" t="s">
        <v>38</v>
      </c>
      <c r="T261" s="2">
        <v>313.83</v>
      </c>
    </row>
    <row r="262" spans="1:20" x14ac:dyDescent="0.25">
      <c r="A262">
        <v>100261</v>
      </c>
      <c r="B262" s="6">
        <v>45176</v>
      </c>
      <c r="C262">
        <v>2023</v>
      </c>
      <c r="D262" t="s">
        <v>39</v>
      </c>
      <c r="E262">
        <v>9</v>
      </c>
      <c r="F262" t="s">
        <v>40</v>
      </c>
      <c r="G262" t="s">
        <v>22</v>
      </c>
      <c r="H262" t="s">
        <v>23</v>
      </c>
      <c r="I262" t="s">
        <v>71</v>
      </c>
      <c r="J262" t="s">
        <v>31</v>
      </c>
      <c r="K262" t="s">
        <v>51</v>
      </c>
      <c r="L262" t="s">
        <v>76</v>
      </c>
      <c r="M262" s="8">
        <v>16</v>
      </c>
      <c r="N262" s="10">
        <v>40</v>
      </c>
      <c r="O262" s="10">
        <v>640</v>
      </c>
      <c r="P262" s="10">
        <v>368</v>
      </c>
      <c r="Q262" s="2">
        <v>272</v>
      </c>
      <c r="R262" s="3">
        <v>0</v>
      </c>
      <c r="S262" t="s">
        <v>57</v>
      </c>
      <c r="T262" s="2">
        <v>17.93</v>
      </c>
    </row>
    <row r="263" spans="1:20" x14ac:dyDescent="0.25">
      <c r="A263">
        <v>100262</v>
      </c>
      <c r="B263" s="6">
        <v>45870</v>
      </c>
      <c r="C263">
        <v>2025</v>
      </c>
      <c r="D263" t="s">
        <v>39</v>
      </c>
      <c r="E263">
        <v>8</v>
      </c>
      <c r="F263" t="s">
        <v>58</v>
      </c>
      <c r="G263" t="s">
        <v>22</v>
      </c>
      <c r="H263" t="s">
        <v>23</v>
      </c>
      <c r="I263" t="s">
        <v>71</v>
      </c>
      <c r="J263" t="s">
        <v>68</v>
      </c>
      <c r="K263" t="s">
        <v>32</v>
      </c>
      <c r="L263" t="s">
        <v>47</v>
      </c>
      <c r="M263" s="8">
        <v>129</v>
      </c>
      <c r="N263" s="10">
        <v>180</v>
      </c>
      <c r="O263" s="10">
        <v>22755.599999999999</v>
      </c>
      <c r="P263" s="10">
        <v>14835</v>
      </c>
      <c r="Q263" s="2">
        <v>7920.6</v>
      </c>
      <c r="R263" s="3">
        <v>0.02</v>
      </c>
      <c r="S263" t="s">
        <v>28</v>
      </c>
      <c r="T263" s="2">
        <v>1256</v>
      </c>
    </row>
    <row r="264" spans="1:20" x14ac:dyDescent="0.25">
      <c r="A264">
        <v>100263</v>
      </c>
      <c r="B264" s="6">
        <v>45910</v>
      </c>
      <c r="C264">
        <v>2025</v>
      </c>
      <c r="D264" t="s">
        <v>39</v>
      </c>
      <c r="E264">
        <v>9</v>
      </c>
      <c r="F264" t="s">
        <v>40</v>
      </c>
      <c r="G264" t="s">
        <v>45</v>
      </c>
      <c r="H264" t="s">
        <v>23</v>
      </c>
      <c r="I264" t="s">
        <v>90</v>
      </c>
      <c r="J264" t="s">
        <v>42</v>
      </c>
      <c r="K264" t="s">
        <v>51</v>
      </c>
      <c r="L264" t="s">
        <v>92</v>
      </c>
      <c r="M264" s="8">
        <v>137</v>
      </c>
      <c r="N264" s="10">
        <v>50</v>
      </c>
      <c r="O264" s="10">
        <v>6165</v>
      </c>
      <c r="P264" s="10">
        <v>3973</v>
      </c>
      <c r="Q264" s="2">
        <v>2192</v>
      </c>
      <c r="R264" s="3">
        <v>0.1</v>
      </c>
      <c r="S264" t="s">
        <v>38</v>
      </c>
      <c r="T264" s="2">
        <v>154.53</v>
      </c>
    </row>
    <row r="265" spans="1:20" x14ac:dyDescent="0.25">
      <c r="A265">
        <v>100264</v>
      </c>
      <c r="B265" s="6">
        <v>45821</v>
      </c>
      <c r="C265">
        <v>2025</v>
      </c>
      <c r="D265" t="s">
        <v>20</v>
      </c>
      <c r="E265">
        <v>6</v>
      </c>
      <c r="F265" t="s">
        <v>48</v>
      </c>
      <c r="G265" t="s">
        <v>35</v>
      </c>
      <c r="H265" t="s">
        <v>23</v>
      </c>
      <c r="I265" t="s">
        <v>77</v>
      </c>
      <c r="J265" t="s">
        <v>68</v>
      </c>
      <c r="K265" t="s">
        <v>55</v>
      </c>
      <c r="L265" t="s">
        <v>89</v>
      </c>
      <c r="M265" s="8">
        <v>42</v>
      </c>
      <c r="N265" s="10">
        <v>280</v>
      </c>
      <c r="O265" s="10">
        <v>11407.2</v>
      </c>
      <c r="P265" s="10">
        <v>8610</v>
      </c>
      <c r="Q265" s="2">
        <v>2797.2</v>
      </c>
      <c r="R265" s="3">
        <v>0.03</v>
      </c>
      <c r="S265" t="s">
        <v>70</v>
      </c>
      <c r="T265" s="2">
        <v>243.11</v>
      </c>
    </row>
    <row r="266" spans="1:20" x14ac:dyDescent="0.25">
      <c r="A266">
        <v>100265</v>
      </c>
      <c r="B266" s="6">
        <v>44969</v>
      </c>
      <c r="C266">
        <v>2023</v>
      </c>
      <c r="D266" t="s">
        <v>63</v>
      </c>
      <c r="E266">
        <v>2</v>
      </c>
      <c r="F266" t="s">
        <v>81</v>
      </c>
      <c r="G266" t="s">
        <v>45</v>
      </c>
      <c r="H266" t="s">
        <v>23</v>
      </c>
      <c r="I266" t="s">
        <v>90</v>
      </c>
      <c r="J266" t="s">
        <v>42</v>
      </c>
      <c r="K266" t="s">
        <v>26</v>
      </c>
      <c r="L266" t="s">
        <v>27</v>
      </c>
      <c r="M266" s="8">
        <v>107</v>
      </c>
      <c r="N266" s="10">
        <v>110</v>
      </c>
      <c r="O266" s="10">
        <v>11770</v>
      </c>
      <c r="P266" s="10">
        <v>7276</v>
      </c>
      <c r="Q266" s="2">
        <v>4494</v>
      </c>
      <c r="R266" s="3">
        <v>0</v>
      </c>
      <c r="S266" t="s">
        <v>70</v>
      </c>
      <c r="T266" s="2">
        <v>473.23</v>
      </c>
    </row>
    <row r="267" spans="1:20" x14ac:dyDescent="0.25">
      <c r="A267">
        <v>100266</v>
      </c>
      <c r="B267" s="6">
        <v>44948</v>
      </c>
      <c r="C267">
        <v>2023</v>
      </c>
      <c r="D267" t="s">
        <v>63</v>
      </c>
      <c r="E267">
        <v>1</v>
      </c>
      <c r="F267" t="s">
        <v>79</v>
      </c>
      <c r="G267" t="s">
        <v>29</v>
      </c>
      <c r="H267" t="s">
        <v>23</v>
      </c>
      <c r="I267" t="s">
        <v>73</v>
      </c>
      <c r="J267" t="s">
        <v>50</v>
      </c>
      <c r="K267" t="s">
        <v>26</v>
      </c>
      <c r="L267" t="s">
        <v>78</v>
      </c>
      <c r="M267" s="8">
        <v>121</v>
      </c>
      <c r="N267" s="10">
        <v>95</v>
      </c>
      <c r="O267" s="10">
        <v>11150.15</v>
      </c>
      <c r="P267" s="10">
        <v>7018</v>
      </c>
      <c r="Q267" s="2">
        <v>4132.1499999999996</v>
      </c>
      <c r="R267" s="3">
        <v>0.03</v>
      </c>
      <c r="S267" t="s">
        <v>38</v>
      </c>
      <c r="T267" s="2">
        <v>626.76</v>
      </c>
    </row>
    <row r="268" spans="1:20" x14ac:dyDescent="0.25">
      <c r="A268">
        <v>100267</v>
      </c>
      <c r="B268" s="6">
        <v>45497</v>
      </c>
      <c r="C268">
        <v>2024</v>
      </c>
      <c r="D268" t="s">
        <v>39</v>
      </c>
      <c r="E268">
        <v>7</v>
      </c>
      <c r="F268" t="s">
        <v>75</v>
      </c>
      <c r="G268" t="s">
        <v>35</v>
      </c>
      <c r="H268" t="s">
        <v>23</v>
      </c>
      <c r="I268" t="s">
        <v>53</v>
      </c>
      <c r="J268" t="s">
        <v>50</v>
      </c>
      <c r="K268" t="s">
        <v>32</v>
      </c>
      <c r="L268" t="s">
        <v>74</v>
      </c>
      <c r="M268" s="8">
        <v>58</v>
      </c>
      <c r="N268" s="10">
        <v>25</v>
      </c>
      <c r="O268" s="10">
        <v>1421</v>
      </c>
      <c r="P268" s="10">
        <v>812</v>
      </c>
      <c r="Q268" s="2">
        <v>609</v>
      </c>
      <c r="R268" s="3">
        <v>0.02</v>
      </c>
      <c r="S268" t="s">
        <v>70</v>
      </c>
      <c r="T268" s="2">
        <v>41.53</v>
      </c>
    </row>
    <row r="269" spans="1:20" x14ac:dyDescent="0.25">
      <c r="A269">
        <v>100268</v>
      </c>
      <c r="B269" s="6">
        <v>46018</v>
      </c>
      <c r="C269">
        <v>2025</v>
      </c>
      <c r="D269" t="s">
        <v>43</v>
      </c>
      <c r="E269">
        <v>12</v>
      </c>
      <c r="F269" t="s">
        <v>83</v>
      </c>
      <c r="G269" t="s">
        <v>35</v>
      </c>
      <c r="H269" t="s">
        <v>23</v>
      </c>
      <c r="I269" t="s">
        <v>80</v>
      </c>
      <c r="J269" t="s">
        <v>25</v>
      </c>
      <c r="K269" t="s">
        <v>59</v>
      </c>
      <c r="L269" t="s">
        <v>91</v>
      </c>
      <c r="M269" s="8">
        <v>88</v>
      </c>
      <c r="N269" s="10">
        <v>140</v>
      </c>
      <c r="O269" s="10">
        <v>11334.4</v>
      </c>
      <c r="P269" s="10">
        <v>7216</v>
      </c>
      <c r="Q269" s="2">
        <v>4118.3999999999996</v>
      </c>
      <c r="R269" s="3">
        <v>0.08</v>
      </c>
      <c r="S269" t="s">
        <v>28</v>
      </c>
      <c r="T269" s="2">
        <v>712.73</v>
      </c>
    </row>
    <row r="270" spans="1:20" x14ac:dyDescent="0.25">
      <c r="A270">
        <v>100269</v>
      </c>
      <c r="B270" s="6">
        <v>45606</v>
      </c>
      <c r="C270">
        <v>2024</v>
      </c>
      <c r="D270" t="s">
        <v>43</v>
      </c>
      <c r="E270">
        <v>11</v>
      </c>
      <c r="F270" t="s">
        <v>87</v>
      </c>
      <c r="G270" t="s">
        <v>35</v>
      </c>
      <c r="H270" t="s">
        <v>23</v>
      </c>
      <c r="I270" t="s">
        <v>80</v>
      </c>
      <c r="J270" t="s">
        <v>31</v>
      </c>
      <c r="K270" t="s">
        <v>26</v>
      </c>
      <c r="L270" t="s">
        <v>69</v>
      </c>
      <c r="M270" s="8">
        <v>75</v>
      </c>
      <c r="N270" s="10">
        <v>130</v>
      </c>
      <c r="O270" s="10">
        <v>9750</v>
      </c>
      <c r="P270" s="10">
        <v>5700</v>
      </c>
      <c r="Q270" s="2">
        <v>4050</v>
      </c>
      <c r="R270" s="3">
        <v>0</v>
      </c>
      <c r="S270" t="s">
        <v>38</v>
      </c>
      <c r="T270" s="2">
        <v>395.03</v>
      </c>
    </row>
    <row r="271" spans="1:20" x14ac:dyDescent="0.25">
      <c r="A271">
        <v>100270</v>
      </c>
      <c r="B271" s="6">
        <v>45938</v>
      </c>
      <c r="C271">
        <v>2025</v>
      </c>
      <c r="D271" t="s">
        <v>43</v>
      </c>
      <c r="E271">
        <v>10</v>
      </c>
      <c r="F271" t="s">
        <v>44</v>
      </c>
      <c r="G271" t="s">
        <v>22</v>
      </c>
      <c r="H271" t="s">
        <v>23</v>
      </c>
      <c r="I271" t="s">
        <v>41</v>
      </c>
      <c r="J271" t="s">
        <v>61</v>
      </c>
      <c r="K271" t="s">
        <v>51</v>
      </c>
      <c r="L271" t="s">
        <v>52</v>
      </c>
      <c r="M271" s="8">
        <v>98</v>
      </c>
      <c r="N271" s="10">
        <v>75</v>
      </c>
      <c r="O271" s="10">
        <v>7129.5</v>
      </c>
      <c r="P271" s="10">
        <v>4312</v>
      </c>
      <c r="Q271" s="2">
        <v>2817.5</v>
      </c>
      <c r="R271" s="3">
        <v>0.03</v>
      </c>
      <c r="S271" t="s">
        <v>28</v>
      </c>
      <c r="T271" s="2">
        <v>143.57</v>
      </c>
    </row>
    <row r="272" spans="1:20" x14ac:dyDescent="0.25">
      <c r="A272">
        <v>100271</v>
      </c>
      <c r="B272" s="6">
        <v>45430</v>
      </c>
      <c r="C272">
        <v>2024</v>
      </c>
      <c r="D272" t="s">
        <v>20</v>
      </c>
      <c r="E272">
        <v>5</v>
      </c>
      <c r="F272" t="s">
        <v>21</v>
      </c>
      <c r="G272" t="s">
        <v>29</v>
      </c>
      <c r="H272" t="s">
        <v>23</v>
      </c>
      <c r="I272" t="s">
        <v>85</v>
      </c>
      <c r="J272" t="s">
        <v>54</v>
      </c>
      <c r="K272" t="s">
        <v>32</v>
      </c>
      <c r="L272" t="s">
        <v>47</v>
      </c>
      <c r="M272" s="8">
        <v>50</v>
      </c>
      <c r="N272" s="10">
        <v>180</v>
      </c>
      <c r="O272" s="10">
        <v>8550</v>
      </c>
      <c r="P272" s="10">
        <v>5750</v>
      </c>
      <c r="Q272" s="2">
        <v>2800</v>
      </c>
      <c r="R272" s="3">
        <v>0.05</v>
      </c>
      <c r="S272" t="s">
        <v>70</v>
      </c>
      <c r="T272" s="2">
        <v>426.66</v>
      </c>
    </row>
    <row r="273" spans="1:20" x14ac:dyDescent="0.25">
      <c r="A273">
        <v>100272</v>
      </c>
      <c r="B273" s="6">
        <v>45164</v>
      </c>
      <c r="C273">
        <v>2023</v>
      </c>
      <c r="D273" t="s">
        <v>39</v>
      </c>
      <c r="E273">
        <v>8</v>
      </c>
      <c r="F273" t="s">
        <v>58</v>
      </c>
      <c r="G273" t="s">
        <v>29</v>
      </c>
      <c r="H273" t="s">
        <v>23</v>
      </c>
      <c r="I273" t="s">
        <v>85</v>
      </c>
      <c r="J273" t="s">
        <v>61</v>
      </c>
      <c r="K273" t="s">
        <v>32</v>
      </c>
      <c r="L273" t="s">
        <v>47</v>
      </c>
      <c r="M273" s="8">
        <v>21</v>
      </c>
      <c r="N273" s="10">
        <v>180</v>
      </c>
      <c r="O273" s="10">
        <v>3780</v>
      </c>
      <c r="P273" s="10">
        <v>2415</v>
      </c>
      <c r="Q273" s="2">
        <v>1365</v>
      </c>
      <c r="R273" s="3">
        <v>0</v>
      </c>
      <c r="S273" t="s">
        <v>28</v>
      </c>
      <c r="T273" s="2">
        <v>184.24</v>
      </c>
    </row>
    <row r="274" spans="1:20" x14ac:dyDescent="0.25">
      <c r="A274">
        <v>100273</v>
      </c>
      <c r="B274" s="6">
        <v>44966</v>
      </c>
      <c r="C274">
        <v>2023</v>
      </c>
      <c r="D274" t="s">
        <v>63</v>
      </c>
      <c r="E274">
        <v>2</v>
      </c>
      <c r="F274" t="s">
        <v>81</v>
      </c>
      <c r="G274" t="s">
        <v>35</v>
      </c>
      <c r="H274" t="s">
        <v>23</v>
      </c>
      <c r="I274" t="s">
        <v>77</v>
      </c>
      <c r="J274" t="s">
        <v>25</v>
      </c>
      <c r="K274" t="s">
        <v>59</v>
      </c>
      <c r="L274" t="s">
        <v>67</v>
      </c>
      <c r="M274" s="8">
        <v>17</v>
      </c>
      <c r="N274" s="10">
        <v>95</v>
      </c>
      <c r="O274" s="10">
        <v>1485.8</v>
      </c>
      <c r="P274" s="10">
        <v>952</v>
      </c>
      <c r="Q274" s="2">
        <v>533.79999999999995</v>
      </c>
      <c r="R274" s="3">
        <v>0.08</v>
      </c>
      <c r="S274" t="s">
        <v>38</v>
      </c>
      <c r="T274" s="2">
        <v>75.760000000000005</v>
      </c>
    </row>
    <row r="275" spans="1:20" x14ac:dyDescent="0.25">
      <c r="A275">
        <v>100274</v>
      </c>
      <c r="B275" s="6">
        <v>45916</v>
      </c>
      <c r="C275">
        <v>2025</v>
      </c>
      <c r="D275" t="s">
        <v>39</v>
      </c>
      <c r="E275">
        <v>9</v>
      </c>
      <c r="F275" t="s">
        <v>40</v>
      </c>
      <c r="G275" t="s">
        <v>35</v>
      </c>
      <c r="H275" t="s">
        <v>23</v>
      </c>
      <c r="I275" t="s">
        <v>36</v>
      </c>
      <c r="J275" t="s">
        <v>31</v>
      </c>
      <c r="K275" t="s">
        <v>32</v>
      </c>
      <c r="L275" t="s">
        <v>47</v>
      </c>
      <c r="M275" s="8">
        <v>146</v>
      </c>
      <c r="N275" s="10">
        <v>180</v>
      </c>
      <c r="O275" s="10">
        <v>24177.599999999999</v>
      </c>
      <c r="P275" s="10">
        <v>16790</v>
      </c>
      <c r="Q275" s="2">
        <v>7387.6</v>
      </c>
      <c r="R275" s="3">
        <v>0.08</v>
      </c>
      <c r="S275" t="s">
        <v>28</v>
      </c>
      <c r="T275" s="2">
        <v>1034.47</v>
      </c>
    </row>
    <row r="276" spans="1:20" x14ac:dyDescent="0.25">
      <c r="A276">
        <v>100275</v>
      </c>
      <c r="B276" s="6">
        <v>45939</v>
      </c>
      <c r="C276">
        <v>2025</v>
      </c>
      <c r="D276" t="s">
        <v>43</v>
      </c>
      <c r="E276">
        <v>10</v>
      </c>
      <c r="F276" t="s">
        <v>44</v>
      </c>
      <c r="G276" t="s">
        <v>45</v>
      </c>
      <c r="H276" t="s">
        <v>23</v>
      </c>
      <c r="I276" t="s">
        <v>88</v>
      </c>
      <c r="J276" t="s">
        <v>31</v>
      </c>
      <c r="K276" t="s">
        <v>59</v>
      </c>
      <c r="L276" t="s">
        <v>91</v>
      </c>
      <c r="M276" s="8">
        <v>111</v>
      </c>
      <c r="N276" s="10">
        <v>140</v>
      </c>
      <c r="O276" s="10">
        <v>13986</v>
      </c>
      <c r="P276" s="10">
        <v>9102</v>
      </c>
      <c r="Q276" s="2">
        <v>4884</v>
      </c>
      <c r="R276" s="3">
        <v>0.1</v>
      </c>
      <c r="S276" t="s">
        <v>38</v>
      </c>
      <c r="T276" s="2">
        <v>714.51</v>
      </c>
    </row>
    <row r="277" spans="1:20" x14ac:dyDescent="0.25">
      <c r="A277">
        <v>100276</v>
      </c>
      <c r="B277" s="6">
        <v>45057</v>
      </c>
      <c r="C277">
        <v>2023</v>
      </c>
      <c r="D277" t="s">
        <v>20</v>
      </c>
      <c r="E277">
        <v>5</v>
      </c>
      <c r="F277" t="s">
        <v>21</v>
      </c>
      <c r="G277" t="s">
        <v>45</v>
      </c>
      <c r="H277" t="s">
        <v>23</v>
      </c>
      <c r="I277" t="s">
        <v>62</v>
      </c>
      <c r="J277" t="s">
        <v>50</v>
      </c>
      <c r="K277" t="s">
        <v>26</v>
      </c>
      <c r="L277" t="s">
        <v>78</v>
      </c>
      <c r="M277" s="8">
        <v>135</v>
      </c>
      <c r="N277" s="10">
        <v>95</v>
      </c>
      <c r="O277" s="10">
        <v>12440.25</v>
      </c>
      <c r="P277" s="10">
        <v>7830</v>
      </c>
      <c r="Q277" s="2">
        <v>4610.25</v>
      </c>
      <c r="R277" s="3">
        <v>0.03</v>
      </c>
      <c r="S277" t="s">
        <v>28</v>
      </c>
      <c r="T277" s="2">
        <v>852.66</v>
      </c>
    </row>
    <row r="278" spans="1:20" x14ac:dyDescent="0.25">
      <c r="A278">
        <v>100277</v>
      </c>
      <c r="B278" s="6">
        <v>45572</v>
      </c>
      <c r="C278">
        <v>2024</v>
      </c>
      <c r="D278" t="s">
        <v>43</v>
      </c>
      <c r="E278">
        <v>10</v>
      </c>
      <c r="F278" t="s">
        <v>44</v>
      </c>
      <c r="G278" t="s">
        <v>22</v>
      </c>
      <c r="H278" t="s">
        <v>23</v>
      </c>
      <c r="I278" t="s">
        <v>65</v>
      </c>
      <c r="J278" t="s">
        <v>68</v>
      </c>
      <c r="K278" t="s">
        <v>51</v>
      </c>
      <c r="L278" t="s">
        <v>52</v>
      </c>
      <c r="M278" s="8">
        <v>117</v>
      </c>
      <c r="N278" s="10">
        <v>75</v>
      </c>
      <c r="O278" s="10">
        <v>8511.75</v>
      </c>
      <c r="P278" s="10">
        <v>5148</v>
      </c>
      <c r="Q278" s="2">
        <v>3363.75</v>
      </c>
      <c r="R278" s="3">
        <v>0.03</v>
      </c>
      <c r="S278" t="s">
        <v>57</v>
      </c>
      <c r="T278" s="2">
        <v>295.18</v>
      </c>
    </row>
    <row r="279" spans="1:20" x14ac:dyDescent="0.25">
      <c r="A279">
        <v>100278</v>
      </c>
      <c r="B279" s="6">
        <v>45514</v>
      </c>
      <c r="C279">
        <v>2024</v>
      </c>
      <c r="D279" t="s">
        <v>39</v>
      </c>
      <c r="E279">
        <v>8</v>
      </c>
      <c r="F279" t="s">
        <v>58</v>
      </c>
      <c r="G279" t="s">
        <v>29</v>
      </c>
      <c r="H279" t="s">
        <v>23</v>
      </c>
      <c r="I279" t="s">
        <v>85</v>
      </c>
      <c r="J279" t="s">
        <v>68</v>
      </c>
      <c r="K279" t="s">
        <v>32</v>
      </c>
      <c r="L279" t="s">
        <v>37</v>
      </c>
      <c r="M279" s="8">
        <v>43</v>
      </c>
      <c r="N279" s="10">
        <v>120</v>
      </c>
      <c r="O279" s="10">
        <v>5056.8</v>
      </c>
      <c r="P279" s="10">
        <v>3354</v>
      </c>
      <c r="Q279" s="2">
        <v>1702.8</v>
      </c>
      <c r="R279" s="3">
        <v>0.02</v>
      </c>
      <c r="S279" t="s">
        <v>70</v>
      </c>
      <c r="T279" s="2">
        <v>201.11</v>
      </c>
    </row>
    <row r="280" spans="1:20" x14ac:dyDescent="0.25">
      <c r="A280">
        <v>100279</v>
      </c>
      <c r="B280" s="6">
        <v>45205</v>
      </c>
      <c r="C280">
        <v>2023</v>
      </c>
      <c r="D280" t="s">
        <v>43</v>
      </c>
      <c r="E280">
        <v>10</v>
      </c>
      <c r="F280" t="s">
        <v>44</v>
      </c>
      <c r="G280" t="s">
        <v>29</v>
      </c>
      <c r="H280" t="s">
        <v>23</v>
      </c>
      <c r="I280" t="s">
        <v>49</v>
      </c>
      <c r="J280" t="s">
        <v>25</v>
      </c>
      <c r="K280" t="s">
        <v>51</v>
      </c>
      <c r="L280" t="s">
        <v>92</v>
      </c>
      <c r="M280" s="8">
        <v>117</v>
      </c>
      <c r="N280" s="10">
        <v>50</v>
      </c>
      <c r="O280" s="10">
        <v>5674.5</v>
      </c>
      <c r="P280" s="10">
        <v>3393</v>
      </c>
      <c r="Q280" s="2">
        <v>2281.5</v>
      </c>
      <c r="R280" s="3">
        <v>0.03</v>
      </c>
      <c r="S280" t="s">
        <v>38</v>
      </c>
      <c r="T280" s="2">
        <v>390.69</v>
      </c>
    </row>
    <row r="281" spans="1:20" x14ac:dyDescent="0.25">
      <c r="A281">
        <v>100280</v>
      </c>
      <c r="B281" s="6">
        <v>45819</v>
      </c>
      <c r="C281">
        <v>2025</v>
      </c>
      <c r="D281" t="s">
        <v>20</v>
      </c>
      <c r="E281">
        <v>6</v>
      </c>
      <c r="F281" t="s">
        <v>48</v>
      </c>
      <c r="G281" t="s">
        <v>29</v>
      </c>
      <c r="H281" t="s">
        <v>23</v>
      </c>
      <c r="I281" t="s">
        <v>85</v>
      </c>
      <c r="J281" t="s">
        <v>50</v>
      </c>
      <c r="K281" t="s">
        <v>51</v>
      </c>
      <c r="L281" t="s">
        <v>72</v>
      </c>
      <c r="M281" s="8">
        <v>56</v>
      </c>
      <c r="N281" s="10">
        <v>90</v>
      </c>
      <c r="O281" s="10">
        <v>5040</v>
      </c>
      <c r="P281" s="10">
        <v>2912</v>
      </c>
      <c r="Q281" s="2">
        <v>2128</v>
      </c>
      <c r="R281" s="3">
        <v>0</v>
      </c>
      <c r="S281" t="s">
        <v>28</v>
      </c>
      <c r="T281" s="2">
        <v>312.81</v>
      </c>
    </row>
    <row r="282" spans="1:20" x14ac:dyDescent="0.25">
      <c r="A282">
        <v>100281</v>
      </c>
      <c r="B282" s="6">
        <v>45781</v>
      </c>
      <c r="C282">
        <v>2025</v>
      </c>
      <c r="D282" t="s">
        <v>20</v>
      </c>
      <c r="E282">
        <v>5</v>
      </c>
      <c r="F282" t="s">
        <v>21</v>
      </c>
      <c r="G282" t="s">
        <v>29</v>
      </c>
      <c r="H282" t="s">
        <v>23</v>
      </c>
      <c r="I282" t="s">
        <v>30</v>
      </c>
      <c r="J282" t="s">
        <v>25</v>
      </c>
      <c r="K282" t="s">
        <v>51</v>
      </c>
      <c r="L282" t="s">
        <v>76</v>
      </c>
      <c r="M282" s="8">
        <v>56</v>
      </c>
      <c r="N282" s="10">
        <v>40</v>
      </c>
      <c r="O282" s="10">
        <v>2195.1999999999998</v>
      </c>
      <c r="P282" s="10">
        <v>1288</v>
      </c>
      <c r="Q282" s="2">
        <v>907.2</v>
      </c>
      <c r="R282" s="3">
        <v>0.02</v>
      </c>
      <c r="S282" t="s">
        <v>57</v>
      </c>
      <c r="T282" s="2">
        <v>58.6</v>
      </c>
    </row>
    <row r="283" spans="1:20" x14ac:dyDescent="0.25">
      <c r="A283">
        <v>100282</v>
      </c>
      <c r="B283" s="6">
        <v>45875</v>
      </c>
      <c r="C283">
        <v>2025</v>
      </c>
      <c r="D283" t="s">
        <v>39</v>
      </c>
      <c r="E283">
        <v>8</v>
      </c>
      <c r="F283" t="s">
        <v>58</v>
      </c>
      <c r="G283" t="s">
        <v>35</v>
      </c>
      <c r="H283" t="s">
        <v>23</v>
      </c>
      <c r="I283" t="s">
        <v>80</v>
      </c>
      <c r="J283" t="s">
        <v>54</v>
      </c>
      <c r="K283" t="s">
        <v>55</v>
      </c>
      <c r="L283" t="s">
        <v>56</v>
      </c>
      <c r="M283" s="8">
        <v>48</v>
      </c>
      <c r="N283" s="10">
        <v>320</v>
      </c>
      <c r="O283" s="10">
        <v>14131.2</v>
      </c>
      <c r="P283" s="10">
        <v>11280</v>
      </c>
      <c r="Q283" s="2">
        <v>2851.2</v>
      </c>
      <c r="R283" s="3">
        <v>0.08</v>
      </c>
      <c r="S283" t="s">
        <v>38</v>
      </c>
      <c r="T283" s="2">
        <v>257.89999999999998</v>
      </c>
    </row>
    <row r="284" spans="1:20" x14ac:dyDescent="0.25">
      <c r="A284">
        <v>100283</v>
      </c>
      <c r="B284" s="6">
        <v>45572</v>
      </c>
      <c r="C284">
        <v>2024</v>
      </c>
      <c r="D284" t="s">
        <v>43</v>
      </c>
      <c r="E284">
        <v>10</v>
      </c>
      <c r="F284" t="s">
        <v>44</v>
      </c>
      <c r="G284" t="s">
        <v>22</v>
      </c>
      <c r="H284" t="s">
        <v>23</v>
      </c>
      <c r="I284" t="s">
        <v>24</v>
      </c>
      <c r="J284" t="s">
        <v>50</v>
      </c>
      <c r="K284" t="s">
        <v>59</v>
      </c>
      <c r="L284" t="s">
        <v>67</v>
      </c>
      <c r="M284" s="8">
        <v>107</v>
      </c>
      <c r="N284" s="10">
        <v>95</v>
      </c>
      <c r="O284" s="10">
        <v>9860.0499999999993</v>
      </c>
      <c r="P284" s="10">
        <v>5992</v>
      </c>
      <c r="Q284" s="2">
        <v>3868.05</v>
      </c>
      <c r="R284" s="3">
        <v>0.03</v>
      </c>
      <c r="S284" t="s">
        <v>38</v>
      </c>
      <c r="T284" s="2">
        <v>397.55</v>
      </c>
    </row>
    <row r="285" spans="1:20" x14ac:dyDescent="0.25">
      <c r="A285">
        <v>100284</v>
      </c>
      <c r="B285" s="6">
        <v>45628</v>
      </c>
      <c r="C285">
        <v>2024</v>
      </c>
      <c r="D285" t="s">
        <v>43</v>
      </c>
      <c r="E285">
        <v>12</v>
      </c>
      <c r="F285" t="s">
        <v>83</v>
      </c>
      <c r="G285" t="s">
        <v>22</v>
      </c>
      <c r="H285" t="s">
        <v>23</v>
      </c>
      <c r="I285" t="s">
        <v>24</v>
      </c>
      <c r="J285" t="s">
        <v>66</v>
      </c>
      <c r="K285" t="s">
        <v>55</v>
      </c>
      <c r="L285" t="s">
        <v>84</v>
      </c>
      <c r="M285" s="8">
        <v>93</v>
      </c>
      <c r="N285" s="10">
        <v>55</v>
      </c>
      <c r="O285" s="10">
        <v>5115</v>
      </c>
      <c r="P285" s="10">
        <v>3441</v>
      </c>
      <c r="Q285" s="2">
        <v>1674</v>
      </c>
      <c r="R285" s="3">
        <v>0</v>
      </c>
      <c r="S285" t="s">
        <v>28</v>
      </c>
      <c r="T285" s="2">
        <v>195.29</v>
      </c>
    </row>
    <row r="286" spans="1:20" x14ac:dyDescent="0.25">
      <c r="A286">
        <v>100285</v>
      </c>
      <c r="B286" s="6">
        <v>45588</v>
      </c>
      <c r="C286">
        <v>2024</v>
      </c>
      <c r="D286" t="s">
        <v>43</v>
      </c>
      <c r="E286">
        <v>10</v>
      </c>
      <c r="F286" t="s">
        <v>44</v>
      </c>
      <c r="G286" t="s">
        <v>29</v>
      </c>
      <c r="H286" t="s">
        <v>23</v>
      </c>
      <c r="I286" t="s">
        <v>73</v>
      </c>
      <c r="J286" t="s">
        <v>50</v>
      </c>
      <c r="K286" t="s">
        <v>51</v>
      </c>
      <c r="L286" t="s">
        <v>52</v>
      </c>
      <c r="M286" s="8">
        <v>140</v>
      </c>
      <c r="N286" s="10">
        <v>75</v>
      </c>
      <c r="O286" s="10">
        <v>9975</v>
      </c>
      <c r="P286" s="10">
        <v>6160</v>
      </c>
      <c r="Q286" s="2">
        <v>3815</v>
      </c>
      <c r="R286" s="3">
        <v>0.05</v>
      </c>
      <c r="S286" t="s">
        <v>28</v>
      </c>
      <c r="T286" s="2">
        <v>591.22</v>
      </c>
    </row>
    <row r="287" spans="1:20" x14ac:dyDescent="0.25">
      <c r="A287">
        <v>100286</v>
      </c>
      <c r="B287" s="6">
        <v>46013</v>
      </c>
      <c r="C287">
        <v>2025</v>
      </c>
      <c r="D287" t="s">
        <v>43</v>
      </c>
      <c r="E287">
        <v>12</v>
      </c>
      <c r="F287" t="s">
        <v>83</v>
      </c>
      <c r="G287" t="s">
        <v>45</v>
      </c>
      <c r="H287" t="s">
        <v>23</v>
      </c>
      <c r="I287" t="s">
        <v>90</v>
      </c>
      <c r="J287" t="s">
        <v>66</v>
      </c>
      <c r="K287" t="s">
        <v>59</v>
      </c>
      <c r="L287" t="s">
        <v>60</v>
      </c>
      <c r="M287" s="8">
        <v>28</v>
      </c>
      <c r="N287" s="10">
        <v>45</v>
      </c>
      <c r="O287" s="10">
        <v>1159.2</v>
      </c>
      <c r="P287" s="10">
        <v>756</v>
      </c>
      <c r="Q287" s="2">
        <v>403.2</v>
      </c>
      <c r="R287" s="3">
        <v>0.08</v>
      </c>
      <c r="S287" t="s">
        <v>38</v>
      </c>
      <c r="T287" s="2">
        <v>24.57</v>
      </c>
    </row>
    <row r="288" spans="1:20" x14ac:dyDescent="0.25">
      <c r="A288">
        <v>100287</v>
      </c>
      <c r="B288" s="6">
        <v>45602</v>
      </c>
      <c r="C288">
        <v>2024</v>
      </c>
      <c r="D288" t="s">
        <v>43</v>
      </c>
      <c r="E288">
        <v>11</v>
      </c>
      <c r="F288" t="s">
        <v>87</v>
      </c>
      <c r="G288" t="s">
        <v>29</v>
      </c>
      <c r="H288" t="s">
        <v>23</v>
      </c>
      <c r="I288" t="s">
        <v>73</v>
      </c>
      <c r="J288" t="s">
        <v>61</v>
      </c>
      <c r="K288" t="s">
        <v>51</v>
      </c>
      <c r="L288" t="s">
        <v>72</v>
      </c>
      <c r="M288" s="8">
        <v>129</v>
      </c>
      <c r="N288" s="10">
        <v>90</v>
      </c>
      <c r="O288" s="10">
        <v>11377.8</v>
      </c>
      <c r="P288" s="10">
        <v>6708</v>
      </c>
      <c r="Q288" s="2">
        <v>4669.8</v>
      </c>
      <c r="R288" s="3">
        <v>0.02</v>
      </c>
      <c r="S288" t="s">
        <v>38</v>
      </c>
      <c r="T288" s="2">
        <v>686.64</v>
      </c>
    </row>
    <row r="289" spans="1:20" x14ac:dyDescent="0.25">
      <c r="A289">
        <v>100288</v>
      </c>
      <c r="B289" s="6">
        <v>45260</v>
      </c>
      <c r="C289">
        <v>2023</v>
      </c>
      <c r="D289" t="s">
        <v>43</v>
      </c>
      <c r="E289">
        <v>11</v>
      </c>
      <c r="F289" t="s">
        <v>87</v>
      </c>
      <c r="G289" t="s">
        <v>35</v>
      </c>
      <c r="H289" t="s">
        <v>23</v>
      </c>
      <c r="I289" t="s">
        <v>77</v>
      </c>
      <c r="J289" t="s">
        <v>66</v>
      </c>
      <c r="K289" t="s">
        <v>32</v>
      </c>
      <c r="L289" t="s">
        <v>47</v>
      </c>
      <c r="M289" s="8">
        <v>17</v>
      </c>
      <c r="N289" s="10">
        <v>180</v>
      </c>
      <c r="O289" s="10">
        <v>2815.2</v>
      </c>
      <c r="P289" s="10">
        <v>1955</v>
      </c>
      <c r="Q289" s="2">
        <v>860.2</v>
      </c>
      <c r="R289" s="3">
        <v>0.08</v>
      </c>
      <c r="S289" t="s">
        <v>28</v>
      </c>
      <c r="T289" s="2">
        <v>93.39</v>
      </c>
    </row>
    <row r="290" spans="1:20" x14ac:dyDescent="0.25">
      <c r="A290">
        <v>100289</v>
      </c>
      <c r="B290" s="6">
        <v>45621</v>
      </c>
      <c r="C290">
        <v>2024</v>
      </c>
      <c r="D290" t="s">
        <v>43</v>
      </c>
      <c r="E290">
        <v>11</v>
      </c>
      <c r="F290" t="s">
        <v>87</v>
      </c>
      <c r="G290" t="s">
        <v>29</v>
      </c>
      <c r="H290" t="s">
        <v>23</v>
      </c>
      <c r="I290" t="s">
        <v>73</v>
      </c>
      <c r="J290" t="s">
        <v>68</v>
      </c>
      <c r="K290" t="s">
        <v>26</v>
      </c>
      <c r="L290" t="s">
        <v>82</v>
      </c>
      <c r="M290" s="8">
        <v>21</v>
      </c>
      <c r="N290" s="10">
        <v>105</v>
      </c>
      <c r="O290" s="10">
        <v>2094.75</v>
      </c>
      <c r="P290" s="10">
        <v>1281</v>
      </c>
      <c r="Q290" s="2">
        <v>813.75</v>
      </c>
      <c r="R290" s="3">
        <v>0.05</v>
      </c>
      <c r="S290" t="s">
        <v>70</v>
      </c>
      <c r="T290" s="2">
        <v>146.11000000000001</v>
      </c>
    </row>
    <row r="291" spans="1:20" x14ac:dyDescent="0.25">
      <c r="A291">
        <v>100290</v>
      </c>
      <c r="B291" s="6">
        <v>45587</v>
      </c>
      <c r="C291">
        <v>2024</v>
      </c>
      <c r="D291" t="s">
        <v>43</v>
      </c>
      <c r="E291">
        <v>10</v>
      </c>
      <c r="F291" t="s">
        <v>44</v>
      </c>
      <c r="G291" t="s">
        <v>45</v>
      </c>
      <c r="H291" t="s">
        <v>23</v>
      </c>
      <c r="I291" t="s">
        <v>62</v>
      </c>
      <c r="J291" t="s">
        <v>31</v>
      </c>
      <c r="K291" t="s">
        <v>26</v>
      </c>
      <c r="L291" t="s">
        <v>69</v>
      </c>
      <c r="M291" s="8">
        <v>146</v>
      </c>
      <c r="N291" s="10">
        <v>130</v>
      </c>
      <c r="O291" s="10">
        <v>18031</v>
      </c>
      <c r="P291" s="10">
        <v>11096</v>
      </c>
      <c r="Q291" s="2">
        <v>6935</v>
      </c>
      <c r="R291" s="3">
        <v>0.05</v>
      </c>
      <c r="S291" t="s">
        <v>28</v>
      </c>
      <c r="T291" s="2">
        <v>1092.8699999999999</v>
      </c>
    </row>
    <row r="292" spans="1:20" x14ac:dyDescent="0.25">
      <c r="A292">
        <v>100291</v>
      </c>
      <c r="B292" s="6">
        <v>45958</v>
      </c>
      <c r="C292">
        <v>2025</v>
      </c>
      <c r="D292" t="s">
        <v>43</v>
      </c>
      <c r="E292">
        <v>10</v>
      </c>
      <c r="F292" t="s">
        <v>44</v>
      </c>
      <c r="G292" t="s">
        <v>45</v>
      </c>
      <c r="H292" t="s">
        <v>23</v>
      </c>
      <c r="I292" t="s">
        <v>90</v>
      </c>
      <c r="J292" t="s">
        <v>25</v>
      </c>
      <c r="K292" t="s">
        <v>51</v>
      </c>
      <c r="L292" t="s">
        <v>72</v>
      </c>
      <c r="M292" s="8">
        <v>85</v>
      </c>
      <c r="N292" s="10">
        <v>90</v>
      </c>
      <c r="O292" s="10">
        <v>7420.5</v>
      </c>
      <c r="P292" s="10">
        <v>4420</v>
      </c>
      <c r="Q292" s="2">
        <v>3000.5</v>
      </c>
      <c r="R292" s="3">
        <v>0.03</v>
      </c>
      <c r="S292" t="s">
        <v>28</v>
      </c>
      <c r="T292" s="2">
        <v>167.43</v>
      </c>
    </row>
    <row r="293" spans="1:20" x14ac:dyDescent="0.25">
      <c r="A293">
        <v>100292</v>
      </c>
      <c r="B293" s="6">
        <v>45531</v>
      </c>
      <c r="C293">
        <v>2024</v>
      </c>
      <c r="D293" t="s">
        <v>39</v>
      </c>
      <c r="E293">
        <v>8</v>
      </c>
      <c r="F293" t="s">
        <v>58</v>
      </c>
      <c r="G293" t="s">
        <v>35</v>
      </c>
      <c r="H293" t="s">
        <v>23</v>
      </c>
      <c r="I293" t="s">
        <v>80</v>
      </c>
      <c r="J293" t="s">
        <v>54</v>
      </c>
      <c r="K293" t="s">
        <v>55</v>
      </c>
      <c r="L293" t="s">
        <v>84</v>
      </c>
      <c r="M293" s="8">
        <v>29</v>
      </c>
      <c r="N293" s="10">
        <v>55</v>
      </c>
      <c r="O293" s="10">
        <v>1515.25</v>
      </c>
      <c r="P293" s="10">
        <v>1073</v>
      </c>
      <c r="Q293" s="2">
        <v>442.25</v>
      </c>
      <c r="R293" s="3">
        <v>0.05</v>
      </c>
      <c r="S293" t="s">
        <v>70</v>
      </c>
      <c r="T293" s="2">
        <v>76.03</v>
      </c>
    </row>
    <row r="294" spans="1:20" x14ac:dyDescent="0.25">
      <c r="A294">
        <v>100293</v>
      </c>
      <c r="B294" s="6">
        <v>45466</v>
      </c>
      <c r="C294">
        <v>2024</v>
      </c>
      <c r="D294" t="s">
        <v>20</v>
      </c>
      <c r="E294">
        <v>6</v>
      </c>
      <c r="F294" t="s">
        <v>48</v>
      </c>
      <c r="G294" t="s">
        <v>29</v>
      </c>
      <c r="H294" t="s">
        <v>23</v>
      </c>
      <c r="I294" t="s">
        <v>85</v>
      </c>
      <c r="J294" t="s">
        <v>25</v>
      </c>
      <c r="K294" t="s">
        <v>26</v>
      </c>
      <c r="L294" t="s">
        <v>69</v>
      </c>
      <c r="M294" s="8">
        <v>95</v>
      </c>
      <c r="N294" s="10">
        <v>130</v>
      </c>
      <c r="O294" s="10">
        <v>12103</v>
      </c>
      <c r="P294" s="10">
        <v>7220</v>
      </c>
      <c r="Q294" s="2">
        <v>4883</v>
      </c>
      <c r="R294" s="3">
        <v>0.02</v>
      </c>
      <c r="S294" t="s">
        <v>57</v>
      </c>
      <c r="T294" s="2">
        <v>362.32</v>
      </c>
    </row>
    <row r="295" spans="1:20" x14ac:dyDescent="0.25">
      <c r="A295">
        <v>100294</v>
      </c>
      <c r="B295" s="6">
        <v>45140</v>
      </c>
      <c r="C295">
        <v>2023</v>
      </c>
      <c r="D295" t="s">
        <v>39</v>
      </c>
      <c r="E295">
        <v>8</v>
      </c>
      <c r="F295" t="s">
        <v>58</v>
      </c>
      <c r="G295" t="s">
        <v>45</v>
      </c>
      <c r="H295" t="s">
        <v>23</v>
      </c>
      <c r="I295" t="s">
        <v>88</v>
      </c>
      <c r="J295" t="s">
        <v>50</v>
      </c>
      <c r="K295" t="s">
        <v>51</v>
      </c>
      <c r="L295" t="s">
        <v>72</v>
      </c>
      <c r="M295" s="8">
        <v>15</v>
      </c>
      <c r="N295" s="10">
        <v>90</v>
      </c>
      <c r="O295" s="10">
        <v>1350</v>
      </c>
      <c r="P295" s="10">
        <v>780</v>
      </c>
      <c r="Q295" s="2">
        <v>570</v>
      </c>
      <c r="R295" s="3">
        <v>0</v>
      </c>
      <c r="S295" t="s">
        <v>70</v>
      </c>
      <c r="T295" s="2">
        <v>30.65</v>
      </c>
    </row>
    <row r="296" spans="1:20" x14ac:dyDescent="0.25">
      <c r="A296">
        <v>100295</v>
      </c>
      <c r="B296" s="6">
        <v>45367</v>
      </c>
      <c r="C296">
        <v>2024</v>
      </c>
      <c r="D296" t="s">
        <v>63</v>
      </c>
      <c r="E296">
        <v>3</v>
      </c>
      <c r="F296" t="s">
        <v>64</v>
      </c>
      <c r="G296" t="s">
        <v>45</v>
      </c>
      <c r="H296" t="s">
        <v>23</v>
      </c>
      <c r="I296" t="s">
        <v>46</v>
      </c>
      <c r="J296" t="s">
        <v>42</v>
      </c>
      <c r="K296" t="s">
        <v>59</v>
      </c>
      <c r="L296" t="s">
        <v>91</v>
      </c>
      <c r="M296" s="8">
        <v>44</v>
      </c>
      <c r="N296" s="10">
        <v>140</v>
      </c>
      <c r="O296" s="10">
        <v>5975.2</v>
      </c>
      <c r="P296" s="10">
        <v>3608</v>
      </c>
      <c r="Q296" s="2">
        <v>2367.1999999999998</v>
      </c>
      <c r="R296" s="3">
        <v>0.03</v>
      </c>
      <c r="S296" t="s">
        <v>70</v>
      </c>
      <c r="T296" s="2">
        <v>245.5</v>
      </c>
    </row>
    <row r="297" spans="1:20" x14ac:dyDescent="0.25">
      <c r="A297">
        <v>100296</v>
      </c>
      <c r="B297" s="6">
        <v>45924</v>
      </c>
      <c r="C297">
        <v>2025</v>
      </c>
      <c r="D297" t="s">
        <v>39</v>
      </c>
      <c r="E297">
        <v>9</v>
      </c>
      <c r="F297" t="s">
        <v>40</v>
      </c>
      <c r="G297" t="s">
        <v>45</v>
      </c>
      <c r="H297" t="s">
        <v>23</v>
      </c>
      <c r="I297" t="s">
        <v>88</v>
      </c>
      <c r="J297" t="s">
        <v>54</v>
      </c>
      <c r="K297" t="s">
        <v>32</v>
      </c>
      <c r="L297" t="s">
        <v>47</v>
      </c>
      <c r="M297" s="8">
        <v>52</v>
      </c>
      <c r="N297" s="10">
        <v>180</v>
      </c>
      <c r="O297" s="10">
        <v>8611.2000000000007</v>
      </c>
      <c r="P297" s="10">
        <v>5980</v>
      </c>
      <c r="Q297" s="2">
        <v>2631.2</v>
      </c>
      <c r="R297" s="3">
        <v>0.08</v>
      </c>
      <c r="S297" t="s">
        <v>57</v>
      </c>
      <c r="T297" s="2">
        <v>264.10000000000002</v>
      </c>
    </row>
    <row r="298" spans="1:20" x14ac:dyDescent="0.25">
      <c r="A298">
        <v>100297</v>
      </c>
      <c r="B298" s="6">
        <v>45630</v>
      </c>
      <c r="C298">
        <v>2024</v>
      </c>
      <c r="D298" t="s">
        <v>43</v>
      </c>
      <c r="E298">
        <v>12</v>
      </c>
      <c r="F298" t="s">
        <v>83</v>
      </c>
      <c r="G298" t="s">
        <v>35</v>
      </c>
      <c r="H298" t="s">
        <v>23</v>
      </c>
      <c r="I298" t="s">
        <v>36</v>
      </c>
      <c r="J298" t="s">
        <v>42</v>
      </c>
      <c r="K298" t="s">
        <v>51</v>
      </c>
      <c r="L298" t="s">
        <v>76</v>
      </c>
      <c r="M298" s="8">
        <v>18</v>
      </c>
      <c r="N298" s="10">
        <v>40</v>
      </c>
      <c r="O298" s="10">
        <v>662.4</v>
      </c>
      <c r="P298" s="10">
        <v>414</v>
      </c>
      <c r="Q298" s="2">
        <v>248.4</v>
      </c>
      <c r="R298" s="3">
        <v>0.08</v>
      </c>
      <c r="S298" t="s">
        <v>38</v>
      </c>
      <c r="T298" s="2">
        <v>20.3</v>
      </c>
    </row>
    <row r="299" spans="1:20" x14ac:dyDescent="0.25">
      <c r="A299">
        <v>100298</v>
      </c>
      <c r="B299" s="6">
        <v>45745</v>
      </c>
      <c r="C299">
        <v>2025</v>
      </c>
      <c r="D299" t="s">
        <v>63</v>
      </c>
      <c r="E299">
        <v>3</v>
      </c>
      <c r="F299" t="s">
        <v>64</v>
      </c>
      <c r="G299" t="s">
        <v>22</v>
      </c>
      <c r="H299" t="s">
        <v>23</v>
      </c>
      <c r="I299" t="s">
        <v>24</v>
      </c>
      <c r="J299" t="s">
        <v>25</v>
      </c>
      <c r="K299" t="s">
        <v>59</v>
      </c>
      <c r="L299" t="s">
        <v>67</v>
      </c>
      <c r="M299" s="8">
        <v>150</v>
      </c>
      <c r="N299" s="10">
        <v>95</v>
      </c>
      <c r="O299" s="10">
        <v>13537.5</v>
      </c>
      <c r="P299" s="10">
        <v>8400</v>
      </c>
      <c r="Q299" s="2">
        <v>5137.5</v>
      </c>
      <c r="R299" s="3">
        <v>0.05</v>
      </c>
      <c r="S299" t="s">
        <v>38</v>
      </c>
      <c r="T299" s="2">
        <v>236.46</v>
      </c>
    </row>
    <row r="300" spans="1:20" x14ac:dyDescent="0.25">
      <c r="A300">
        <v>100299</v>
      </c>
      <c r="B300" s="6">
        <v>44927</v>
      </c>
      <c r="C300">
        <v>2023</v>
      </c>
      <c r="D300" t="s">
        <v>63</v>
      </c>
      <c r="E300">
        <v>1</v>
      </c>
      <c r="F300" t="s">
        <v>79</v>
      </c>
      <c r="G300" t="s">
        <v>29</v>
      </c>
      <c r="H300" t="s">
        <v>23</v>
      </c>
      <c r="I300" t="s">
        <v>49</v>
      </c>
      <c r="J300" t="s">
        <v>61</v>
      </c>
      <c r="K300" t="s">
        <v>26</v>
      </c>
      <c r="L300" t="s">
        <v>82</v>
      </c>
      <c r="M300" s="8">
        <v>118</v>
      </c>
      <c r="N300" s="10">
        <v>105</v>
      </c>
      <c r="O300" s="10">
        <v>11770.5</v>
      </c>
      <c r="P300" s="10">
        <v>7198</v>
      </c>
      <c r="Q300" s="2">
        <v>4572.5</v>
      </c>
      <c r="R300" s="3">
        <v>0.05</v>
      </c>
      <c r="S300" t="s">
        <v>57</v>
      </c>
      <c r="T300" s="2">
        <v>376.84</v>
      </c>
    </row>
    <row r="301" spans="1:20" x14ac:dyDescent="0.25">
      <c r="A301">
        <v>100300</v>
      </c>
      <c r="B301" s="6">
        <v>45914</v>
      </c>
      <c r="C301">
        <v>2025</v>
      </c>
      <c r="D301" t="s">
        <v>39</v>
      </c>
      <c r="E301">
        <v>9</v>
      </c>
      <c r="F301" t="s">
        <v>40</v>
      </c>
      <c r="G301" t="s">
        <v>35</v>
      </c>
      <c r="H301" t="s">
        <v>23</v>
      </c>
      <c r="I301" t="s">
        <v>77</v>
      </c>
      <c r="J301" t="s">
        <v>42</v>
      </c>
      <c r="K301" t="s">
        <v>32</v>
      </c>
      <c r="L301" t="s">
        <v>74</v>
      </c>
      <c r="M301" s="8">
        <v>96</v>
      </c>
      <c r="N301" s="10">
        <v>25</v>
      </c>
      <c r="O301" s="10">
        <v>2280</v>
      </c>
      <c r="P301" s="10">
        <v>1344</v>
      </c>
      <c r="Q301" s="2">
        <v>936</v>
      </c>
      <c r="R301" s="3">
        <v>0.05</v>
      </c>
      <c r="S301" t="s">
        <v>70</v>
      </c>
      <c r="T301" s="2">
        <v>138.22999999999999</v>
      </c>
    </row>
    <row r="302" spans="1:20" x14ac:dyDescent="0.25">
      <c r="A302">
        <v>100301</v>
      </c>
      <c r="B302" s="6">
        <v>45776</v>
      </c>
      <c r="C302">
        <v>2025</v>
      </c>
      <c r="D302" t="s">
        <v>20</v>
      </c>
      <c r="E302">
        <v>4</v>
      </c>
      <c r="F302" t="s">
        <v>34</v>
      </c>
      <c r="G302" t="s">
        <v>35</v>
      </c>
      <c r="H302" t="s">
        <v>23</v>
      </c>
      <c r="I302" t="s">
        <v>36</v>
      </c>
      <c r="J302" t="s">
        <v>54</v>
      </c>
      <c r="K302" t="s">
        <v>26</v>
      </c>
      <c r="L302" t="s">
        <v>27</v>
      </c>
      <c r="M302" s="8">
        <v>136</v>
      </c>
      <c r="N302" s="10">
        <v>110</v>
      </c>
      <c r="O302" s="10">
        <v>14212</v>
      </c>
      <c r="P302" s="10">
        <v>9248</v>
      </c>
      <c r="Q302" s="2">
        <v>4964</v>
      </c>
      <c r="R302" s="3">
        <v>0.05</v>
      </c>
      <c r="S302" t="s">
        <v>70</v>
      </c>
      <c r="T302" s="2">
        <v>285.32</v>
      </c>
    </row>
    <row r="303" spans="1:20" x14ac:dyDescent="0.25">
      <c r="A303">
        <v>100302</v>
      </c>
      <c r="B303" s="6">
        <v>45258</v>
      </c>
      <c r="C303">
        <v>2023</v>
      </c>
      <c r="D303" t="s">
        <v>43</v>
      </c>
      <c r="E303">
        <v>11</v>
      </c>
      <c r="F303" t="s">
        <v>87</v>
      </c>
      <c r="G303" t="s">
        <v>35</v>
      </c>
      <c r="H303" t="s">
        <v>23</v>
      </c>
      <c r="I303" t="s">
        <v>53</v>
      </c>
      <c r="J303" t="s">
        <v>68</v>
      </c>
      <c r="K303" t="s">
        <v>51</v>
      </c>
      <c r="L303" t="s">
        <v>52</v>
      </c>
      <c r="M303" s="8">
        <v>11</v>
      </c>
      <c r="N303" s="10">
        <v>75</v>
      </c>
      <c r="O303" s="10">
        <v>783.75</v>
      </c>
      <c r="P303" s="10">
        <v>484</v>
      </c>
      <c r="Q303" s="2">
        <v>299.75</v>
      </c>
      <c r="R303" s="3">
        <v>0.05</v>
      </c>
      <c r="S303" t="s">
        <v>28</v>
      </c>
      <c r="T303" s="2">
        <v>41.01</v>
      </c>
    </row>
    <row r="304" spans="1:20" x14ac:dyDescent="0.25">
      <c r="A304">
        <v>100303</v>
      </c>
      <c r="B304" s="6">
        <v>45836</v>
      </c>
      <c r="C304">
        <v>2025</v>
      </c>
      <c r="D304" t="s">
        <v>20</v>
      </c>
      <c r="E304">
        <v>6</v>
      </c>
      <c r="F304" t="s">
        <v>48</v>
      </c>
      <c r="G304" t="s">
        <v>35</v>
      </c>
      <c r="H304" t="s">
        <v>23</v>
      </c>
      <c r="I304" t="s">
        <v>53</v>
      </c>
      <c r="J304" t="s">
        <v>25</v>
      </c>
      <c r="K304" t="s">
        <v>55</v>
      </c>
      <c r="L304" t="s">
        <v>93</v>
      </c>
      <c r="M304" s="8">
        <v>48</v>
      </c>
      <c r="N304" s="10">
        <v>60</v>
      </c>
      <c r="O304" s="10">
        <v>2649.6</v>
      </c>
      <c r="P304" s="10">
        <v>2016</v>
      </c>
      <c r="Q304" s="2">
        <v>633.6</v>
      </c>
      <c r="R304" s="3">
        <v>0.08</v>
      </c>
      <c r="S304" t="s">
        <v>57</v>
      </c>
      <c r="T304" s="2">
        <v>145.25</v>
      </c>
    </row>
    <row r="305" spans="1:20" x14ac:dyDescent="0.25">
      <c r="A305">
        <v>100304</v>
      </c>
      <c r="B305" s="6">
        <v>45313</v>
      </c>
      <c r="C305">
        <v>2024</v>
      </c>
      <c r="D305" t="s">
        <v>63</v>
      </c>
      <c r="E305">
        <v>1</v>
      </c>
      <c r="F305" t="s">
        <v>79</v>
      </c>
      <c r="G305" t="s">
        <v>29</v>
      </c>
      <c r="H305" t="s">
        <v>23</v>
      </c>
      <c r="I305" t="s">
        <v>85</v>
      </c>
      <c r="J305" t="s">
        <v>61</v>
      </c>
      <c r="K305" t="s">
        <v>32</v>
      </c>
      <c r="L305" t="s">
        <v>37</v>
      </c>
      <c r="M305" s="8">
        <v>21</v>
      </c>
      <c r="N305" s="10">
        <v>120</v>
      </c>
      <c r="O305" s="10">
        <v>2469.6</v>
      </c>
      <c r="P305" s="10">
        <v>1638</v>
      </c>
      <c r="Q305" s="2">
        <v>831.6</v>
      </c>
      <c r="R305" s="3">
        <v>0.02</v>
      </c>
      <c r="S305" t="s">
        <v>38</v>
      </c>
      <c r="T305" s="2">
        <v>103.06</v>
      </c>
    </row>
    <row r="306" spans="1:20" x14ac:dyDescent="0.25">
      <c r="A306">
        <v>100305</v>
      </c>
      <c r="B306" s="6">
        <v>45500</v>
      </c>
      <c r="C306">
        <v>2024</v>
      </c>
      <c r="D306" t="s">
        <v>39</v>
      </c>
      <c r="E306">
        <v>7</v>
      </c>
      <c r="F306" t="s">
        <v>75</v>
      </c>
      <c r="G306" t="s">
        <v>45</v>
      </c>
      <c r="H306" t="s">
        <v>23</v>
      </c>
      <c r="I306" t="s">
        <v>90</v>
      </c>
      <c r="J306" t="s">
        <v>68</v>
      </c>
      <c r="K306" t="s">
        <v>51</v>
      </c>
      <c r="L306" t="s">
        <v>52</v>
      </c>
      <c r="M306" s="8">
        <v>47</v>
      </c>
      <c r="N306" s="10">
        <v>75</v>
      </c>
      <c r="O306" s="10">
        <v>3243</v>
      </c>
      <c r="P306" s="10">
        <v>2068</v>
      </c>
      <c r="Q306" s="2">
        <v>1175</v>
      </c>
      <c r="R306" s="3">
        <v>0.08</v>
      </c>
      <c r="S306" t="s">
        <v>70</v>
      </c>
      <c r="T306" s="2">
        <v>172.16</v>
      </c>
    </row>
    <row r="307" spans="1:20" x14ac:dyDescent="0.25">
      <c r="A307">
        <v>100306</v>
      </c>
      <c r="B307" s="6">
        <v>45301</v>
      </c>
      <c r="C307">
        <v>2024</v>
      </c>
      <c r="D307" t="s">
        <v>63</v>
      </c>
      <c r="E307">
        <v>1</v>
      </c>
      <c r="F307" t="s">
        <v>79</v>
      </c>
      <c r="G307" t="s">
        <v>45</v>
      </c>
      <c r="H307" t="s">
        <v>23</v>
      </c>
      <c r="I307" t="s">
        <v>46</v>
      </c>
      <c r="J307" t="s">
        <v>50</v>
      </c>
      <c r="K307" t="s">
        <v>55</v>
      </c>
      <c r="L307" t="s">
        <v>84</v>
      </c>
      <c r="M307" s="8">
        <v>117</v>
      </c>
      <c r="N307" s="10">
        <v>55</v>
      </c>
      <c r="O307" s="10">
        <v>6113.25</v>
      </c>
      <c r="P307" s="10">
        <v>4329</v>
      </c>
      <c r="Q307" s="2">
        <v>1784.25</v>
      </c>
      <c r="R307" s="3">
        <v>0.05</v>
      </c>
      <c r="S307" t="s">
        <v>70</v>
      </c>
      <c r="T307" s="2">
        <v>368.22</v>
      </c>
    </row>
    <row r="308" spans="1:20" x14ac:dyDescent="0.25">
      <c r="A308">
        <v>100307</v>
      </c>
      <c r="B308" s="6">
        <v>45991</v>
      </c>
      <c r="C308">
        <v>2025</v>
      </c>
      <c r="D308" t="s">
        <v>43</v>
      </c>
      <c r="E308">
        <v>11</v>
      </c>
      <c r="F308" t="s">
        <v>87</v>
      </c>
      <c r="G308" t="s">
        <v>22</v>
      </c>
      <c r="H308" t="s">
        <v>23</v>
      </c>
      <c r="I308" t="s">
        <v>24</v>
      </c>
      <c r="J308" t="s">
        <v>31</v>
      </c>
      <c r="K308" t="s">
        <v>51</v>
      </c>
      <c r="L308" t="s">
        <v>72</v>
      </c>
      <c r="M308" s="8">
        <v>66</v>
      </c>
      <c r="N308" s="10">
        <v>90</v>
      </c>
      <c r="O308" s="10">
        <v>5940</v>
      </c>
      <c r="P308" s="10">
        <v>3432</v>
      </c>
      <c r="Q308" s="2">
        <v>2508</v>
      </c>
      <c r="R308" s="3">
        <v>0</v>
      </c>
      <c r="S308" t="s">
        <v>38</v>
      </c>
      <c r="T308" s="2">
        <v>217.48</v>
      </c>
    </row>
    <row r="309" spans="1:20" x14ac:dyDescent="0.25">
      <c r="A309">
        <v>100308</v>
      </c>
      <c r="B309" s="6">
        <v>45366</v>
      </c>
      <c r="C309">
        <v>2024</v>
      </c>
      <c r="D309" t="s">
        <v>63</v>
      </c>
      <c r="E309">
        <v>3</v>
      </c>
      <c r="F309" t="s">
        <v>64</v>
      </c>
      <c r="G309" t="s">
        <v>29</v>
      </c>
      <c r="H309" t="s">
        <v>23</v>
      </c>
      <c r="I309" t="s">
        <v>73</v>
      </c>
      <c r="J309" t="s">
        <v>25</v>
      </c>
      <c r="K309" t="s">
        <v>59</v>
      </c>
      <c r="L309" t="s">
        <v>60</v>
      </c>
      <c r="M309" s="8">
        <v>65</v>
      </c>
      <c r="N309" s="10">
        <v>45</v>
      </c>
      <c r="O309" s="10">
        <v>2778.75</v>
      </c>
      <c r="P309" s="10">
        <v>1755</v>
      </c>
      <c r="Q309" s="2">
        <v>1023.75</v>
      </c>
      <c r="R309" s="3">
        <v>0.05</v>
      </c>
      <c r="S309" t="s">
        <v>38</v>
      </c>
      <c r="T309" s="2">
        <v>186.36</v>
      </c>
    </row>
    <row r="310" spans="1:20" x14ac:dyDescent="0.25">
      <c r="A310">
        <v>100309</v>
      </c>
      <c r="B310" s="6">
        <v>45840</v>
      </c>
      <c r="C310">
        <v>2025</v>
      </c>
      <c r="D310" t="s">
        <v>39</v>
      </c>
      <c r="E310">
        <v>7</v>
      </c>
      <c r="F310" t="s">
        <v>75</v>
      </c>
      <c r="G310" t="s">
        <v>29</v>
      </c>
      <c r="H310" t="s">
        <v>23</v>
      </c>
      <c r="I310" t="s">
        <v>30</v>
      </c>
      <c r="J310" t="s">
        <v>31</v>
      </c>
      <c r="K310" t="s">
        <v>51</v>
      </c>
      <c r="L310" t="s">
        <v>52</v>
      </c>
      <c r="M310" s="8">
        <v>135</v>
      </c>
      <c r="N310" s="10">
        <v>75</v>
      </c>
      <c r="O310" s="10">
        <v>9618.75</v>
      </c>
      <c r="P310" s="10">
        <v>5940</v>
      </c>
      <c r="Q310" s="2">
        <v>3678.75</v>
      </c>
      <c r="R310" s="3">
        <v>0.05</v>
      </c>
      <c r="S310" t="s">
        <v>70</v>
      </c>
      <c r="T310" s="2">
        <v>197.85</v>
      </c>
    </row>
    <row r="311" spans="1:20" x14ac:dyDescent="0.25">
      <c r="A311">
        <v>100310</v>
      </c>
      <c r="B311" s="6">
        <v>45856</v>
      </c>
      <c r="C311">
        <v>2025</v>
      </c>
      <c r="D311" t="s">
        <v>39</v>
      </c>
      <c r="E311">
        <v>7</v>
      </c>
      <c r="F311" t="s">
        <v>75</v>
      </c>
      <c r="G311" t="s">
        <v>29</v>
      </c>
      <c r="H311" t="s">
        <v>23</v>
      </c>
      <c r="I311" t="s">
        <v>49</v>
      </c>
      <c r="J311" t="s">
        <v>68</v>
      </c>
      <c r="K311" t="s">
        <v>59</v>
      </c>
      <c r="L311" t="s">
        <v>86</v>
      </c>
      <c r="M311" s="8">
        <v>74</v>
      </c>
      <c r="N311" s="10">
        <v>160</v>
      </c>
      <c r="O311" s="10">
        <v>11840</v>
      </c>
      <c r="P311" s="10">
        <v>7030</v>
      </c>
      <c r="Q311" s="2">
        <v>4810</v>
      </c>
      <c r="R311" s="3">
        <v>0</v>
      </c>
      <c r="S311" t="s">
        <v>70</v>
      </c>
      <c r="T311" s="2">
        <v>286.58</v>
      </c>
    </row>
    <row r="312" spans="1:20" x14ac:dyDescent="0.25">
      <c r="A312">
        <v>100311</v>
      </c>
      <c r="B312" s="6">
        <v>45369</v>
      </c>
      <c r="C312">
        <v>2024</v>
      </c>
      <c r="D312" t="s">
        <v>63</v>
      </c>
      <c r="E312">
        <v>3</v>
      </c>
      <c r="F312" t="s">
        <v>64</v>
      </c>
      <c r="G312" t="s">
        <v>22</v>
      </c>
      <c r="H312" t="s">
        <v>23</v>
      </c>
      <c r="I312" t="s">
        <v>24</v>
      </c>
      <c r="J312" t="s">
        <v>68</v>
      </c>
      <c r="K312" t="s">
        <v>32</v>
      </c>
      <c r="L312" t="s">
        <v>33</v>
      </c>
      <c r="M312" s="8">
        <v>116</v>
      </c>
      <c r="N312" s="10">
        <v>60</v>
      </c>
      <c r="O312" s="10">
        <v>6751.2</v>
      </c>
      <c r="P312" s="10">
        <v>4408</v>
      </c>
      <c r="Q312" s="2">
        <v>2343.1999999999998</v>
      </c>
      <c r="R312" s="3">
        <v>0.03</v>
      </c>
      <c r="S312" t="s">
        <v>38</v>
      </c>
      <c r="T312" s="2">
        <v>160.69</v>
      </c>
    </row>
    <row r="313" spans="1:20" x14ac:dyDescent="0.25">
      <c r="A313">
        <v>100312</v>
      </c>
      <c r="B313" s="6">
        <v>45051</v>
      </c>
      <c r="C313">
        <v>2023</v>
      </c>
      <c r="D313" t="s">
        <v>20</v>
      </c>
      <c r="E313">
        <v>5</v>
      </c>
      <c r="F313" t="s">
        <v>21</v>
      </c>
      <c r="G313" t="s">
        <v>22</v>
      </c>
      <c r="H313" t="s">
        <v>23</v>
      </c>
      <c r="I313" t="s">
        <v>71</v>
      </c>
      <c r="J313" t="s">
        <v>61</v>
      </c>
      <c r="K313" t="s">
        <v>51</v>
      </c>
      <c r="L313" t="s">
        <v>92</v>
      </c>
      <c r="M313" s="8">
        <v>131</v>
      </c>
      <c r="N313" s="10">
        <v>50</v>
      </c>
      <c r="O313" s="10">
        <v>6550</v>
      </c>
      <c r="P313" s="10">
        <v>3799</v>
      </c>
      <c r="Q313" s="2">
        <v>2751</v>
      </c>
      <c r="R313" s="3">
        <v>0</v>
      </c>
      <c r="S313" t="s">
        <v>70</v>
      </c>
      <c r="T313" s="2">
        <v>442.62</v>
      </c>
    </row>
    <row r="314" spans="1:20" x14ac:dyDescent="0.25">
      <c r="A314">
        <v>100313</v>
      </c>
      <c r="B314" s="6">
        <v>45572</v>
      </c>
      <c r="C314">
        <v>2024</v>
      </c>
      <c r="D314" t="s">
        <v>43</v>
      </c>
      <c r="E314">
        <v>10</v>
      </c>
      <c r="F314" t="s">
        <v>44</v>
      </c>
      <c r="G314" t="s">
        <v>29</v>
      </c>
      <c r="H314" t="s">
        <v>23</v>
      </c>
      <c r="I314" t="s">
        <v>85</v>
      </c>
      <c r="J314" t="s">
        <v>50</v>
      </c>
      <c r="K314" t="s">
        <v>26</v>
      </c>
      <c r="L314" t="s">
        <v>27</v>
      </c>
      <c r="M314" s="8">
        <v>38</v>
      </c>
      <c r="N314" s="10">
        <v>110</v>
      </c>
      <c r="O314" s="10">
        <v>4096.3999999999996</v>
      </c>
      <c r="P314" s="10">
        <v>2584</v>
      </c>
      <c r="Q314" s="2">
        <v>1512.4</v>
      </c>
      <c r="R314" s="3">
        <v>0.02</v>
      </c>
      <c r="S314" t="s">
        <v>38</v>
      </c>
      <c r="T314" s="2">
        <v>277.99</v>
      </c>
    </row>
    <row r="315" spans="1:20" x14ac:dyDescent="0.25">
      <c r="A315">
        <v>100314</v>
      </c>
      <c r="B315" s="6">
        <v>45934</v>
      </c>
      <c r="C315">
        <v>2025</v>
      </c>
      <c r="D315" t="s">
        <v>43</v>
      </c>
      <c r="E315">
        <v>10</v>
      </c>
      <c r="F315" t="s">
        <v>44</v>
      </c>
      <c r="G315" t="s">
        <v>35</v>
      </c>
      <c r="H315" t="s">
        <v>23</v>
      </c>
      <c r="I315" t="s">
        <v>80</v>
      </c>
      <c r="J315" t="s">
        <v>61</v>
      </c>
      <c r="K315" t="s">
        <v>55</v>
      </c>
      <c r="L315" t="s">
        <v>93</v>
      </c>
      <c r="M315" s="8">
        <v>58</v>
      </c>
      <c r="N315" s="10">
        <v>60</v>
      </c>
      <c r="O315" s="10">
        <v>3375.6</v>
      </c>
      <c r="P315" s="10">
        <v>2436</v>
      </c>
      <c r="Q315" s="2">
        <v>939.6</v>
      </c>
      <c r="R315" s="3">
        <v>0.03</v>
      </c>
      <c r="S315" t="s">
        <v>57</v>
      </c>
      <c r="T315" s="2">
        <v>81.89</v>
      </c>
    </row>
    <row r="316" spans="1:20" x14ac:dyDescent="0.25">
      <c r="A316">
        <v>100315</v>
      </c>
      <c r="B316" s="6">
        <v>45873</v>
      </c>
      <c r="C316">
        <v>2025</v>
      </c>
      <c r="D316" t="s">
        <v>39</v>
      </c>
      <c r="E316">
        <v>8</v>
      </c>
      <c r="F316" t="s">
        <v>58</v>
      </c>
      <c r="G316" t="s">
        <v>22</v>
      </c>
      <c r="H316" t="s">
        <v>23</v>
      </c>
      <c r="I316" t="s">
        <v>41</v>
      </c>
      <c r="J316" t="s">
        <v>54</v>
      </c>
      <c r="K316" t="s">
        <v>26</v>
      </c>
      <c r="L316" t="s">
        <v>27</v>
      </c>
      <c r="M316" s="8">
        <v>60</v>
      </c>
      <c r="N316" s="10">
        <v>110</v>
      </c>
      <c r="O316" s="10">
        <v>6600</v>
      </c>
      <c r="P316" s="10">
        <v>4080</v>
      </c>
      <c r="Q316" s="2">
        <v>2520</v>
      </c>
      <c r="R316" s="3">
        <v>0</v>
      </c>
      <c r="S316" t="s">
        <v>38</v>
      </c>
      <c r="T316" s="2">
        <v>283.2</v>
      </c>
    </row>
    <row r="317" spans="1:20" x14ac:dyDescent="0.25">
      <c r="A317">
        <v>100316</v>
      </c>
      <c r="B317" s="6">
        <v>45226</v>
      </c>
      <c r="C317">
        <v>2023</v>
      </c>
      <c r="D317" t="s">
        <v>43</v>
      </c>
      <c r="E317">
        <v>10</v>
      </c>
      <c r="F317" t="s">
        <v>44</v>
      </c>
      <c r="G317" t="s">
        <v>22</v>
      </c>
      <c r="H317" t="s">
        <v>23</v>
      </c>
      <c r="I317" t="s">
        <v>24</v>
      </c>
      <c r="J317" t="s">
        <v>61</v>
      </c>
      <c r="K317" t="s">
        <v>59</v>
      </c>
      <c r="L317" t="s">
        <v>60</v>
      </c>
      <c r="M317" s="8">
        <v>101</v>
      </c>
      <c r="N317" s="10">
        <v>45</v>
      </c>
      <c r="O317" s="10">
        <v>4317.75</v>
      </c>
      <c r="P317" s="10">
        <v>2727</v>
      </c>
      <c r="Q317" s="2">
        <v>1590.75</v>
      </c>
      <c r="R317" s="3">
        <v>0.05</v>
      </c>
      <c r="S317" t="s">
        <v>70</v>
      </c>
      <c r="T317" s="2">
        <v>302.17</v>
      </c>
    </row>
    <row r="318" spans="1:20" x14ac:dyDescent="0.25">
      <c r="A318">
        <v>100317</v>
      </c>
      <c r="B318" s="6">
        <v>45065</v>
      </c>
      <c r="C318">
        <v>2023</v>
      </c>
      <c r="D318" t="s">
        <v>20</v>
      </c>
      <c r="E318">
        <v>5</v>
      </c>
      <c r="F318" t="s">
        <v>21</v>
      </c>
      <c r="G318" t="s">
        <v>29</v>
      </c>
      <c r="H318" t="s">
        <v>23</v>
      </c>
      <c r="I318" t="s">
        <v>30</v>
      </c>
      <c r="J318" t="s">
        <v>68</v>
      </c>
      <c r="K318" t="s">
        <v>26</v>
      </c>
      <c r="L318" t="s">
        <v>69</v>
      </c>
      <c r="M318" s="8">
        <v>91</v>
      </c>
      <c r="N318" s="10">
        <v>130</v>
      </c>
      <c r="O318" s="10">
        <v>11238.5</v>
      </c>
      <c r="P318" s="10">
        <v>6916</v>
      </c>
      <c r="Q318" s="2">
        <v>4322.5</v>
      </c>
      <c r="R318" s="3">
        <v>0.05</v>
      </c>
      <c r="S318" t="s">
        <v>70</v>
      </c>
      <c r="T318" s="2">
        <v>520.52</v>
      </c>
    </row>
    <row r="319" spans="1:20" x14ac:dyDescent="0.25">
      <c r="A319">
        <v>100318</v>
      </c>
      <c r="B319" s="6">
        <v>45925</v>
      </c>
      <c r="C319">
        <v>2025</v>
      </c>
      <c r="D319" t="s">
        <v>39</v>
      </c>
      <c r="E319">
        <v>9</v>
      </c>
      <c r="F319" t="s">
        <v>40</v>
      </c>
      <c r="G319" t="s">
        <v>45</v>
      </c>
      <c r="H319" t="s">
        <v>23</v>
      </c>
      <c r="I319" t="s">
        <v>62</v>
      </c>
      <c r="J319" t="s">
        <v>31</v>
      </c>
      <c r="K319" t="s">
        <v>32</v>
      </c>
      <c r="L319" t="s">
        <v>37</v>
      </c>
      <c r="M319" s="8">
        <v>110</v>
      </c>
      <c r="N319" s="10">
        <v>120</v>
      </c>
      <c r="O319" s="10">
        <v>12804</v>
      </c>
      <c r="P319" s="10">
        <v>8580</v>
      </c>
      <c r="Q319" s="2">
        <v>4224</v>
      </c>
      <c r="R319" s="3">
        <v>0.03</v>
      </c>
      <c r="S319" t="s">
        <v>70</v>
      </c>
      <c r="T319" s="2">
        <v>352.45</v>
      </c>
    </row>
    <row r="320" spans="1:20" x14ac:dyDescent="0.25">
      <c r="A320">
        <v>100319</v>
      </c>
      <c r="B320" s="6">
        <v>45193</v>
      </c>
      <c r="C320">
        <v>2023</v>
      </c>
      <c r="D320" t="s">
        <v>39</v>
      </c>
      <c r="E320">
        <v>9</v>
      </c>
      <c r="F320" t="s">
        <v>40</v>
      </c>
      <c r="G320" t="s">
        <v>35</v>
      </c>
      <c r="H320" t="s">
        <v>23</v>
      </c>
      <c r="I320" t="s">
        <v>77</v>
      </c>
      <c r="J320" t="s">
        <v>31</v>
      </c>
      <c r="K320" t="s">
        <v>51</v>
      </c>
      <c r="L320" t="s">
        <v>76</v>
      </c>
      <c r="M320" s="8">
        <v>148</v>
      </c>
      <c r="N320" s="10">
        <v>40</v>
      </c>
      <c r="O320" s="10">
        <v>5742.4</v>
      </c>
      <c r="P320" s="10">
        <v>3404</v>
      </c>
      <c r="Q320" s="2">
        <v>2338.4</v>
      </c>
      <c r="R320" s="3">
        <v>0.03</v>
      </c>
      <c r="S320" t="s">
        <v>38</v>
      </c>
      <c r="T320" s="2">
        <v>104.37</v>
      </c>
    </row>
    <row r="321" spans="1:20" x14ac:dyDescent="0.25">
      <c r="A321">
        <v>100320</v>
      </c>
      <c r="B321" s="6">
        <v>45484</v>
      </c>
      <c r="C321">
        <v>2024</v>
      </c>
      <c r="D321" t="s">
        <v>39</v>
      </c>
      <c r="E321">
        <v>7</v>
      </c>
      <c r="F321" t="s">
        <v>75</v>
      </c>
      <c r="G321" t="s">
        <v>35</v>
      </c>
      <c r="H321" t="s">
        <v>23</v>
      </c>
      <c r="I321" t="s">
        <v>80</v>
      </c>
      <c r="J321" t="s">
        <v>66</v>
      </c>
      <c r="K321" t="s">
        <v>55</v>
      </c>
      <c r="L321" t="s">
        <v>89</v>
      </c>
      <c r="M321" s="8">
        <v>57</v>
      </c>
      <c r="N321" s="10">
        <v>280</v>
      </c>
      <c r="O321" s="10">
        <v>15960</v>
      </c>
      <c r="P321" s="10">
        <v>11685</v>
      </c>
      <c r="Q321" s="2">
        <v>4275</v>
      </c>
      <c r="R321" s="3">
        <v>0</v>
      </c>
      <c r="S321" t="s">
        <v>70</v>
      </c>
      <c r="T321" s="2">
        <v>901.81</v>
      </c>
    </row>
    <row r="322" spans="1:20" x14ac:dyDescent="0.25">
      <c r="A322">
        <v>100321</v>
      </c>
      <c r="B322" s="6">
        <v>45333</v>
      </c>
      <c r="C322">
        <v>2024</v>
      </c>
      <c r="D322" t="s">
        <v>63</v>
      </c>
      <c r="E322">
        <v>2</v>
      </c>
      <c r="F322" t="s">
        <v>81</v>
      </c>
      <c r="G322" t="s">
        <v>22</v>
      </c>
      <c r="H322" t="s">
        <v>23</v>
      </c>
      <c r="I322" t="s">
        <v>24</v>
      </c>
      <c r="J322" t="s">
        <v>54</v>
      </c>
      <c r="K322" t="s">
        <v>59</v>
      </c>
      <c r="L322" t="s">
        <v>60</v>
      </c>
      <c r="M322" s="8">
        <v>91</v>
      </c>
      <c r="N322" s="10">
        <v>45</v>
      </c>
      <c r="O322" s="10">
        <v>3972.15</v>
      </c>
      <c r="P322" s="10">
        <v>2457</v>
      </c>
      <c r="Q322" s="2">
        <v>1515.15</v>
      </c>
      <c r="R322" s="3">
        <v>0.03</v>
      </c>
      <c r="S322" t="s">
        <v>70</v>
      </c>
      <c r="T322" s="2">
        <v>191.13</v>
      </c>
    </row>
    <row r="323" spans="1:20" x14ac:dyDescent="0.25">
      <c r="A323">
        <v>100322</v>
      </c>
      <c r="B323" s="6">
        <v>45291</v>
      </c>
      <c r="C323">
        <v>2023</v>
      </c>
      <c r="D323" t="s">
        <v>43</v>
      </c>
      <c r="E323">
        <v>12</v>
      </c>
      <c r="F323" t="s">
        <v>83</v>
      </c>
      <c r="G323" t="s">
        <v>22</v>
      </c>
      <c r="H323" t="s">
        <v>23</v>
      </c>
      <c r="I323" t="s">
        <v>65</v>
      </c>
      <c r="J323" t="s">
        <v>42</v>
      </c>
      <c r="K323" t="s">
        <v>55</v>
      </c>
      <c r="L323" t="s">
        <v>56</v>
      </c>
      <c r="M323" s="8">
        <v>125</v>
      </c>
      <c r="N323" s="10">
        <v>320</v>
      </c>
      <c r="O323" s="10">
        <v>40000</v>
      </c>
      <c r="P323" s="10">
        <v>29375</v>
      </c>
      <c r="Q323" s="2">
        <v>10625</v>
      </c>
      <c r="R323" s="3">
        <v>0</v>
      </c>
      <c r="S323" t="s">
        <v>28</v>
      </c>
      <c r="T323" s="2">
        <v>2008.44</v>
      </c>
    </row>
    <row r="324" spans="1:20" x14ac:dyDescent="0.25">
      <c r="A324">
        <v>100323</v>
      </c>
      <c r="B324" s="6">
        <v>45073</v>
      </c>
      <c r="C324">
        <v>2023</v>
      </c>
      <c r="D324" t="s">
        <v>20</v>
      </c>
      <c r="E324">
        <v>5</v>
      </c>
      <c r="F324" t="s">
        <v>21</v>
      </c>
      <c r="G324" t="s">
        <v>22</v>
      </c>
      <c r="H324" t="s">
        <v>23</v>
      </c>
      <c r="I324" t="s">
        <v>41</v>
      </c>
      <c r="J324" t="s">
        <v>54</v>
      </c>
      <c r="K324" t="s">
        <v>51</v>
      </c>
      <c r="L324" t="s">
        <v>92</v>
      </c>
      <c r="M324" s="8">
        <v>22</v>
      </c>
      <c r="N324" s="10">
        <v>50</v>
      </c>
      <c r="O324" s="10">
        <v>990</v>
      </c>
      <c r="P324" s="10">
        <v>638</v>
      </c>
      <c r="Q324" s="2">
        <v>352</v>
      </c>
      <c r="R324" s="3">
        <v>0.1</v>
      </c>
      <c r="S324" t="s">
        <v>38</v>
      </c>
      <c r="T324" s="2">
        <v>26.87</v>
      </c>
    </row>
    <row r="325" spans="1:20" x14ac:dyDescent="0.25">
      <c r="A325">
        <v>100324</v>
      </c>
      <c r="B325" s="6">
        <v>45406</v>
      </c>
      <c r="C325">
        <v>2024</v>
      </c>
      <c r="D325" t="s">
        <v>20</v>
      </c>
      <c r="E325">
        <v>4</v>
      </c>
      <c r="F325" t="s">
        <v>34</v>
      </c>
      <c r="G325" t="s">
        <v>35</v>
      </c>
      <c r="H325" t="s">
        <v>23</v>
      </c>
      <c r="I325" t="s">
        <v>77</v>
      </c>
      <c r="J325" t="s">
        <v>61</v>
      </c>
      <c r="K325" t="s">
        <v>32</v>
      </c>
      <c r="L325" t="s">
        <v>74</v>
      </c>
      <c r="M325" s="8">
        <v>63</v>
      </c>
      <c r="N325" s="10">
        <v>25</v>
      </c>
      <c r="O325" s="10">
        <v>1527.75</v>
      </c>
      <c r="P325" s="10">
        <v>882</v>
      </c>
      <c r="Q325" s="2">
        <v>645.75</v>
      </c>
      <c r="R325" s="3">
        <v>0.03</v>
      </c>
      <c r="S325" t="s">
        <v>38</v>
      </c>
      <c r="T325" s="2">
        <v>76.069999999999993</v>
      </c>
    </row>
    <row r="326" spans="1:20" x14ac:dyDescent="0.25">
      <c r="A326">
        <v>100325</v>
      </c>
      <c r="B326" s="6">
        <v>45120</v>
      </c>
      <c r="C326">
        <v>2023</v>
      </c>
      <c r="D326" t="s">
        <v>39</v>
      </c>
      <c r="E326">
        <v>7</v>
      </c>
      <c r="F326" t="s">
        <v>75</v>
      </c>
      <c r="G326" t="s">
        <v>45</v>
      </c>
      <c r="H326" t="s">
        <v>23</v>
      </c>
      <c r="I326" t="s">
        <v>62</v>
      </c>
      <c r="J326" t="s">
        <v>68</v>
      </c>
      <c r="K326" t="s">
        <v>26</v>
      </c>
      <c r="L326" t="s">
        <v>78</v>
      </c>
      <c r="M326" s="8">
        <v>66</v>
      </c>
      <c r="N326" s="10">
        <v>95</v>
      </c>
      <c r="O326" s="10">
        <v>5956.5</v>
      </c>
      <c r="P326" s="10">
        <v>3828</v>
      </c>
      <c r="Q326" s="2">
        <v>2128.5</v>
      </c>
      <c r="R326" s="3">
        <v>0.05</v>
      </c>
      <c r="S326" t="s">
        <v>57</v>
      </c>
      <c r="T326" s="2">
        <v>413.86</v>
      </c>
    </row>
    <row r="327" spans="1:20" x14ac:dyDescent="0.25">
      <c r="A327">
        <v>100326</v>
      </c>
      <c r="B327" s="6">
        <v>45039</v>
      </c>
      <c r="C327">
        <v>2023</v>
      </c>
      <c r="D327" t="s">
        <v>20</v>
      </c>
      <c r="E327">
        <v>4</v>
      </c>
      <c r="F327" t="s">
        <v>34</v>
      </c>
      <c r="G327" t="s">
        <v>29</v>
      </c>
      <c r="H327" t="s">
        <v>23</v>
      </c>
      <c r="I327" t="s">
        <v>30</v>
      </c>
      <c r="J327" t="s">
        <v>54</v>
      </c>
      <c r="K327" t="s">
        <v>32</v>
      </c>
      <c r="L327" t="s">
        <v>74</v>
      </c>
      <c r="M327" s="8">
        <v>74</v>
      </c>
      <c r="N327" s="10">
        <v>25</v>
      </c>
      <c r="O327" s="10">
        <v>1813</v>
      </c>
      <c r="P327" s="10">
        <v>1036</v>
      </c>
      <c r="Q327" s="2">
        <v>777</v>
      </c>
      <c r="R327" s="3">
        <v>0.02</v>
      </c>
      <c r="S327" t="s">
        <v>38</v>
      </c>
      <c r="T327" s="2">
        <v>90.31</v>
      </c>
    </row>
    <row r="328" spans="1:20" x14ac:dyDescent="0.25">
      <c r="A328">
        <v>100327</v>
      </c>
      <c r="B328" s="6">
        <v>45574</v>
      </c>
      <c r="C328">
        <v>2024</v>
      </c>
      <c r="D328" t="s">
        <v>43</v>
      </c>
      <c r="E328">
        <v>10</v>
      </c>
      <c r="F328" t="s">
        <v>44</v>
      </c>
      <c r="G328" t="s">
        <v>45</v>
      </c>
      <c r="H328" t="s">
        <v>23</v>
      </c>
      <c r="I328" t="s">
        <v>62</v>
      </c>
      <c r="J328" t="s">
        <v>31</v>
      </c>
      <c r="K328" t="s">
        <v>59</v>
      </c>
      <c r="L328" t="s">
        <v>67</v>
      </c>
      <c r="M328" s="8">
        <v>10</v>
      </c>
      <c r="N328" s="10">
        <v>95</v>
      </c>
      <c r="O328" s="10">
        <v>874</v>
      </c>
      <c r="P328" s="10">
        <v>560</v>
      </c>
      <c r="Q328" s="2">
        <v>314</v>
      </c>
      <c r="R328" s="3">
        <v>0.08</v>
      </c>
      <c r="S328" t="s">
        <v>38</v>
      </c>
      <c r="T328" s="2">
        <v>42.61</v>
      </c>
    </row>
    <row r="329" spans="1:20" x14ac:dyDescent="0.25">
      <c r="A329">
        <v>100328</v>
      </c>
      <c r="B329" s="6">
        <v>45728</v>
      </c>
      <c r="C329">
        <v>2025</v>
      </c>
      <c r="D329" t="s">
        <v>63</v>
      </c>
      <c r="E329">
        <v>3</v>
      </c>
      <c r="F329" t="s">
        <v>64</v>
      </c>
      <c r="G329" t="s">
        <v>35</v>
      </c>
      <c r="H329" t="s">
        <v>23</v>
      </c>
      <c r="I329" t="s">
        <v>36</v>
      </c>
      <c r="J329" t="s">
        <v>66</v>
      </c>
      <c r="K329" t="s">
        <v>51</v>
      </c>
      <c r="L329" t="s">
        <v>76</v>
      </c>
      <c r="M329" s="8">
        <v>111</v>
      </c>
      <c r="N329" s="10">
        <v>40</v>
      </c>
      <c r="O329" s="10">
        <v>4351.2</v>
      </c>
      <c r="P329" s="10">
        <v>2553</v>
      </c>
      <c r="Q329" s="2">
        <v>1798.2</v>
      </c>
      <c r="R329" s="3">
        <v>0.02</v>
      </c>
      <c r="S329" t="s">
        <v>57</v>
      </c>
      <c r="T329" s="2">
        <v>196.68</v>
      </c>
    </row>
    <row r="330" spans="1:20" x14ac:dyDescent="0.25">
      <c r="A330">
        <v>100329</v>
      </c>
      <c r="B330" s="6">
        <v>44971</v>
      </c>
      <c r="C330">
        <v>2023</v>
      </c>
      <c r="D330" t="s">
        <v>63</v>
      </c>
      <c r="E330">
        <v>2</v>
      </c>
      <c r="F330" t="s">
        <v>81</v>
      </c>
      <c r="G330" t="s">
        <v>45</v>
      </c>
      <c r="H330" t="s">
        <v>23</v>
      </c>
      <c r="I330" t="s">
        <v>90</v>
      </c>
      <c r="J330" t="s">
        <v>68</v>
      </c>
      <c r="K330" t="s">
        <v>59</v>
      </c>
      <c r="L330" t="s">
        <v>91</v>
      </c>
      <c r="M330" s="8">
        <v>75</v>
      </c>
      <c r="N330" s="10">
        <v>140</v>
      </c>
      <c r="O330" s="10">
        <v>10500</v>
      </c>
      <c r="P330" s="10">
        <v>6150</v>
      </c>
      <c r="Q330" s="2">
        <v>4350</v>
      </c>
      <c r="R330" s="3">
        <v>0</v>
      </c>
      <c r="S330" t="s">
        <v>38</v>
      </c>
      <c r="T330" s="2">
        <v>446.61</v>
      </c>
    </row>
    <row r="331" spans="1:20" x14ac:dyDescent="0.25">
      <c r="A331">
        <v>100330</v>
      </c>
      <c r="B331" s="6">
        <v>45248</v>
      </c>
      <c r="C331">
        <v>2023</v>
      </c>
      <c r="D331" t="s">
        <v>43</v>
      </c>
      <c r="E331">
        <v>11</v>
      </c>
      <c r="F331" t="s">
        <v>87</v>
      </c>
      <c r="G331" t="s">
        <v>35</v>
      </c>
      <c r="H331" t="s">
        <v>23</v>
      </c>
      <c r="I331" t="s">
        <v>36</v>
      </c>
      <c r="J331" t="s">
        <v>66</v>
      </c>
      <c r="K331" t="s">
        <v>51</v>
      </c>
      <c r="L331" t="s">
        <v>52</v>
      </c>
      <c r="M331" s="8">
        <v>43</v>
      </c>
      <c r="N331" s="10">
        <v>75</v>
      </c>
      <c r="O331" s="10">
        <v>3160.5</v>
      </c>
      <c r="P331" s="10">
        <v>1892</v>
      </c>
      <c r="Q331" s="2">
        <v>1268.5</v>
      </c>
      <c r="R331" s="3">
        <v>0.02</v>
      </c>
      <c r="S331" t="s">
        <v>38</v>
      </c>
      <c r="T331" s="2">
        <v>187.07</v>
      </c>
    </row>
    <row r="332" spans="1:20" x14ac:dyDescent="0.25">
      <c r="A332">
        <v>100331</v>
      </c>
      <c r="B332" s="6">
        <v>45977</v>
      </c>
      <c r="C332">
        <v>2025</v>
      </c>
      <c r="D332" t="s">
        <v>43</v>
      </c>
      <c r="E332">
        <v>11</v>
      </c>
      <c r="F332" t="s">
        <v>87</v>
      </c>
      <c r="G332" t="s">
        <v>35</v>
      </c>
      <c r="H332" t="s">
        <v>23</v>
      </c>
      <c r="I332" t="s">
        <v>77</v>
      </c>
      <c r="J332" t="s">
        <v>61</v>
      </c>
      <c r="K332" t="s">
        <v>59</v>
      </c>
      <c r="L332" t="s">
        <v>67</v>
      </c>
      <c r="M332" s="8">
        <v>74</v>
      </c>
      <c r="N332" s="10">
        <v>95</v>
      </c>
      <c r="O332" s="10">
        <v>6819.1</v>
      </c>
      <c r="P332" s="10">
        <v>4144</v>
      </c>
      <c r="Q332" s="2">
        <v>2675.1</v>
      </c>
      <c r="R332" s="3">
        <v>0.03</v>
      </c>
      <c r="S332" t="s">
        <v>70</v>
      </c>
      <c r="T332" s="2">
        <v>184.53</v>
      </c>
    </row>
    <row r="333" spans="1:20" x14ac:dyDescent="0.25">
      <c r="A333">
        <v>100332</v>
      </c>
      <c r="B333" s="6">
        <v>46003</v>
      </c>
      <c r="C333">
        <v>2025</v>
      </c>
      <c r="D333" t="s">
        <v>43</v>
      </c>
      <c r="E333">
        <v>12</v>
      </c>
      <c r="F333" t="s">
        <v>83</v>
      </c>
      <c r="G333" t="s">
        <v>22</v>
      </c>
      <c r="H333" t="s">
        <v>23</v>
      </c>
      <c r="I333" t="s">
        <v>71</v>
      </c>
      <c r="J333" t="s">
        <v>68</v>
      </c>
      <c r="K333" t="s">
        <v>26</v>
      </c>
      <c r="L333" t="s">
        <v>69</v>
      </c>
      <c r="M333" s="8">
        <v>90</v>
      </c>
      <c r="N333" s="10">
        <v>130</v>
      </c>
      <c r="O333" s="10">
        <v>11115</v>
      </c>
      <c r="P333" s="10">
        <v>6840</v>
      </c>
      <c r="Q333" s="2">
        <v>4275</v>
      </c>
      <c r="R333" s="3">
        <v>0.05</v>
      </c>
      <c r="S333" t="s">
        <v>70</v>
      </c>
      <c r="T333" s="2">
        <v>696.7</v>
      </c>
    </row>
    <row r="334" spans="1:20" x14ac:dyDescent="0.25">
      <c r="A334">
        <v>100333</v>
      </c>
      <c r="B334" s="6">
        <v>45586</v>
      </c>
      <c r="C334">
        <v>2024</v>
      </c>
      <c r="D334" t="s">
        <v>43</v>
      </c>
      <c r="E334">
        <v>10</v>
      </c>
      <c r="F334" t="s">
        <v>44</v>
      </c>
      <c r="G334" t="s">
        <v>29</v>
      </c>
      <c r="H334" t="s">
        <v>23</v>
      </c>
      <c r="I334" t="s">
        <v>85</v>
      </c>
      <c r="J334" t="s">
        <v>66</v>
      </c>
      <c r="K334" t="s">
        <v>51</v>
      </c>
      <c r="L334" t="s">
        <v>72</v>
      </c>
      <c r="M334" s="8">
        <v>119</v>
      </c>
      <c r="N334" s="10">
        <v>90</v>
      </c>
      <c r="O334" s="10">
        <v>9853.2000000000007</v>
      </c>
      <c r="P334" s="10">
        <v>6188</v>
      </c>
      <c r="Q334" s="2">
        <v>3665.2</v>
      </c>
      <c r="R334" s="3">
        <v>0.08</v>
      </c>
      <c r="S334" t="s">
        <v>70</v>
      </c>
      <c r="T334" s="2">
        <v>583.48</v>
      </c>
    </row>
    <row r="335" spans="1:20" x14ac:dyDescent="0.25">
      <c r="A335">
        <v>100334</v>
      </c>
      <c r="B335" s="6">
        <v>45186</v>
      </c>
      <c r="C335">
        <v>2023</v>
      </c>
      <c r="D335" t="s">
        <v>39</v>
      </c>
      <c r="E335">
        <v>9</v>
      </c>
      <c r="F335" t="s">
        <v>40</v>
      </c>
      <c r="G335" t="s">
        <v>45</v>
      </c>
      <c r="H335" t="s">
        <v>23</v>
      </c>
      <c r="I335" t="s">
        <v>90</v>
      </c>
      <c r="J335" t="s">
        <v>68</v>
      </c>
      <c r="K335" t="s">
        <v>26</v>
      </c>
      <c r="L335" t="s">
        <v>78</v>
      </c>
      <c r="M335" s="8">
        <v>21</v>
      </c>
      <c r="N335" s="10">
        <v>95</v>
      </c>
      <c r="O335" s="10">
        <v>1935.15</v>
      </c>
      <c r="P335" s="10">
        <v>1218</v>
      </c>
      <c r="Q335" s="2">
        <v>717.15</v>
      </c>
      <c r="R335" s="3">
        <v>0.03</v>
      </c>
      <c r="S335" t="s">
        <v>57</v>
      </c>
      <c r="T335" s="2">
        <v>59.28</v>
      </c>
    </row>
    <row r="336" spans="1:20" x14ac:dyDescent="0.25">
      <c r="A336">
        <v>100335</v>
      </c>
      <c r="B336" s="6">
        <v>45799</v>
      </c>
      <c r="C336">
        <v>2025</v>
      </c>
      <c r="D336" t="s">
        <v>20</v>
      </c>
      <c r="E336">
        <v>5</v>
      </c>
      <c r="F336" t="s">
        <v>21</v>
      </c>
      <c r="G336" t="s">
        <v>29</v>
      </c>
      <c r="H336" t="s">
        <v>23</v>
      </c>
      <c r="I336" t="s">
        <v>73</v>
      </c>
      <c r="J336" t="s">
        <v>66</v>
      </c>
      <c r="K336" t="s">
        <v>51</v>
      </c>
      <c r="L336" t="s">
        <v>52</v>
      </c>
      <c r="M336" s="8">
        <v>102</v>
      </c>
      <c r="N336" s="10">
        <v>75</v>
      </c>
      <c r="O336" s="10">
        <v>7650</v>
      </c>
      <c r="P336" s="10">
        <v>4488</v>
      </c>
      <c r="Q336" s="2">
        <v>3162</v>
      </c>
      <c r="R336" s="3">
        <v>0</v>
      </c>
      <c r="S336" t="s">
        <v>28</v>
      </c>
      <c r="T336" s="2">
        <v>230.95</v>
      </c>
    </row>
    <row r="337" spans="1:20" x14ac:dyDescent="0.25">
      <c r="A337">
        <v>100336</v>
      </c>
      <c r="B337" s="6">
        <v>45744</v>
      </c>
      <c r="C337">
        <v>2025</v>
      </c>
      <c r="D337" t="s">
        <v>63</v>
      </c>
      <c r="E337">
        <v>3</v>
      </c>
      <c r="F337" t="s">
        <v>64</v>
      </c>
      <c r="G337" t="s">
        <v>29</v>
      </c>
      <c r="H337" t="s">
        <v>23</v>
      </c>
      <c r="I337" t="s">
        <v>73</v>
      </c>
      <c r="J337" t="s">
        <v>42</v>
      </c>
      <c r="K337" t="s">
        <v>51</v>
      </c>
      <c r="L337" t="s">
        <v>72</v>
      </c>
      <c r="M337" s="8">
        <v>130</v>
      </c>
      <c r="N337" s="10">
        <v>90</v>
      </c>
      <c r="O337" s="10">
        <v>11700</v>
      </c>
      <c r="P337" s="10">
        <v>6760</v>
      </c>
      <c r="Q337" s="2">
        <v>4940</v>
      </c>
      <c r="R337" s="3">
        <v>0</v>
      </c>
      <c r="S337" t="s">
        <v>38</v>
      </c>
      <c r="T337" s="2">
        <v>774.53</v>
      </c>
    </row>
    <row r="338" spans="1:20" x14ac:dyDescent="0.25">
      <c r="A338">
        <v>100337</v>
      </c>
      <c r="B338" s="6">
        <v>45063</v>
      </c>
      <c r="C338">
        <v>2023</v>
      </c>
      <c r="D338" t="s">
        <v>20</v>
      </c>
      <c r="E338">
        <v>5</v>
      </c>
      <c r="F338" t="s">
        <v>21</v>
      </c>
      <c r="G338" t="s">
        <v>22</v>
      </c>
      <c r="H338" t="s">
        <v>23</v>
      </c>
      <c r="I338" t="s">
        <v>41</v>
      </c>
      <c r="J338" t="s">
        <v>42</v>
      </c>
      <c r="K338" t="s">
        <v>51</v>
      </c>
      <c r="L338" t="s">
        <v>72</v>
      </c>
      <c r="M338" s="8">
        <v>91</v>
      </c>
      <c r="N338" s="10">
        <v>90</v>
      </c>
      <c r="O338" s="10">
        <v>7534.8</v>
      </c>
      <c r="P338" s="10">
        <v>4732</v>
      </c>
      <c r="Q338" s="2">
        <v>2802.8</v>
      </c>
      <c r="R338" s="3">
        <v>0.08</v>
      </c>
      <c r="S338" t="s">
        <v>38</v>
      </c>
      <c r="T338" s="2">
        <v>292.8</v>
      </c>
    </row>
    <row r="339" spans="1:20" x14ac:dyDescent="0.25">
      <c r="A339">
        <v>100338</v>
      </c>
      <c r="B339" s="6">
        <v>45617</v>
      </c>
      <c r="C339">
        <v>2024</v>
      </c>
      <c r="D339" t="s">
        <v>43</v>
      </c>
      <c r="E339">
        <v>11</v>
      </c>
      <c r="F339" t="s">
        <v>87</v>
      </c>
      <c r="G339" t="s">
        <v>45</v>
      </c>
      <c r="H339" t="s">
        <v>23</v>
      </c>
      <c r="I339" t="s">
        <v>46</v>
      </c>
      <c r="J339" t="s">
        <v>68</v>
      </c>
      <c r="K339" t="s">
        <v>26</v>
      </c>
      <c r="L339" t="s">
        <v>78</v>
      </c>
      <c r="M339" s="8">
        <v>69</v>
      </c>
      <c r="N339" s="10">
        <v>95</v>
      </c>
      <c r="O339" s="10">
        <v>6227.25</v>
      </c>
      <c r="P339" s="10">
        <v>4002</v>
      </c>
      <c r="Q339" s="2">
        <v>2225.25</v>
      </c>
      <c r="R339" s="3">
        <v>0.05</v>
      </c>
      <c r="S339" t="s">
        <v>38</v>
      </c>
      <c r="T339" s="2">
        <v>334.48</v>
      </c>
    </row>
    <row r="340" spans="1:20" x14ac:dyDescent="0.25">
      <c r="A340">
        <v>100339</v>
      </c>
      <c r="B340" s="6">
        <v>45161</v>
      </c>
      <c r="C340">
        <v>2023</v>
      </c>
      <c r="D340" t="s">
        <v>39</v>
      </c>
      <c r="E340">
        <v>8</v>
      </c>
      <c r="F340" t="s">
        <v>58</v>
      </c>
      <c r="G340" t="s">
        <v>45</v>
      </c>
      <c r="H340" t="s">
        <v>23</v>
      </c>
      <c r="I340" t="s">
        <v>46</v>
      </c>
      <c r="J340" t="s">
        <v>66</v>
      </c>
      <c r="K340" t="s">
        <v>55</v>
      </c>
      <c r="L340" t="s">
        <v>56</v>
      </c>
      <c r="M340" s="8">
        <v>20</v>
      </c>
      <c r="N340" s="10">
        <v>320</v>
      </c>
      <c r="O340" s="10">
        <v>5760</v>
      </c>
      <c r="P340" s="10">
        <v>4700</v>
      </c>
      <c r="Q340" s="2">
        <v>1060</v>
      </c>
      <c r="R340" s="3">
        <v>0.1</v>
      </c>
      <c r="S340" t="s">
        <v>38</v>
      </c>
      <c r="T340" s="2">
        <v>308.95999999999998</v>
      </c>
    </row>
    <row r="341" spans="1:20" x14ac:dyDescent="0.25">
      <c r="A341">
        <v>100340</v>
      </c>
      <c r="B341" s="6">
        <v>45905</v>
      </c>
      <c r="C341">
        <v>2025</v>
      </c>
      <c r="D341" t="s">
        <v>39</v>
      </c>
      <c r="E341">
        <v>9</v>
      </c>
      <c r="F341" t="s">
        <v>40</v>
      </c>
      <c r="G341" t="s">
        <v>22</v>
      </c>
      <c r="H341" t="s">
        <v>23</v>
      </c>
      <c r="I341" t="s">
        <v>65</v>
      </c>
      <c r="J341" t="s">
        <v>31</v>
      </c>
      <c r="K341" t="s">
        <v>55</v>
      </c>
      <c r="L341" t="s">
        <v>93</v>
      </c>
      <c r="M341" s="8">
        <v>110</v>
      </c>
      <c r="N341" s="10">
        <v>60</v>
      </c>
      <c r="O341" s="10">
        <v>6402</v>
      </c>
      <c r="P341" s="10">
        <v>4620</v>
      </c>
      <c r="Q341" s="2">
        <v>1782</v>
      </c>
      <c r="R341" s="3">
        <v>0.03</v>
      </c>
      <c r="S341" t="s">
        <v>70</v>
      </c>
      <c r="T341" s="2">
        <v>231.63</v>
      </c>
    </row>
    <row r="342" spans="1:20" x14ac:dyDescent="0.25">
      <c r="A342">
        <v>100341</v>
      </c>
      <c r="B342" s="6">
        <v>45153</v>
      </c>
      <c r="C342">
        <v>2023</v>
      </c>
      <c r="D342" t="s">
        <v>39</v>
      </c>
      <c r="E342">
        <v>8</v>
      </c>
      <c r="F342" t="s">
        <v>58</v>
      </c>
      <c r="G342" t="s">
        <v>29</v>
      </c>
      <c r="H342" t="s">
        <v>23</v>
      </c>
      <c r="I342" t="s">
        <v>73</v>
      </c>
      <c r="J342" t="s">
        <v>54</v>
      </c>
      <c r="K342" t="s">
        <v>32</v>
      </c>
      <c r="L342" t="s">
        <v>37</v>
      </c>
      <c r="M342" s="8">
        <v>22</v>
      </c>
      <c r="N342" s="10">
        <v>120</v>
      </c>
      <c r="O342" s="10">
        <v>2560.8000000000002</v>
      </c>
      <c r="P342" s="10">
        <v>1716</v>
      </c>
      <c r="Q342" s="2">
        <v>844.8</v>
      </c>
      <c r="R342" s="3">
        <v>0.03</v>
      </c>
      <c r="S342" t="s">
        <v>57</v>
      </c>
      <c r="T342" s="2">
        <v>154.21</v>
      </c>
    </row>
    <row r="343" spans="1:20" x14ac:dyDescent="0.25">
      <c r="A343">
        <v>100342</v>
      </c>
      <c r="B343" s="6">
        <v>45575</v>
      </c>
      <c r="C343">
        <v>2024</v>
      </c>
      <c r="D343" t="s">
        <v>43</v>
      </c>
      <c r="E343">
        <v>10</v>
      </c>
      <c r="F343" t="s">
        <v>44</v>
      </c>
      <c r="G343" t="s">
        <v>45</v>
      </c>
      <c r="H343" t="s">
        <v>23</v>
      </c>
      <c r="I343" t="s">
        <v>88</v>
      </c>
      <c r="J343" t="s">
        <v>68</v>
      </c>
      <c r="K343" t="s">
        <v>59</v>
      </c>
      <c r="L343" t="s">
        <v>91</v>
      </c>
      <c r="M343" s="8">
        <v>109</v>
      </c>
      <c r="N343" s="10">
        <v>140</v>
      </c>
      <c r="O343" s="10">
        <v>14497</v>
      </c>
      <c r="P343" s="10">
        <v>8938</v>
      </c>
      <c r="Q343" s="2">
        <v>5559</v>
      </c>
      <c r="R343" s="3">
        <v>0.05</v>
      </c>
      <c r="S343" t="s">
        <v>38</v>
      </c>
      <c r="T343" s="2">
        <v>702.04</v>
      </c>
    </row>
    <row r="344" spans="1:20" x14ac:dyDescent="0.25">
      <c r="A344">
        <v>100343</v>
      </c>
      <c r="B344" s="6">
        <v>45702</v>
      </c>
      <c r="C344">
        <v>2025</v>
      </c>
      <c r="D344" t="s">
        <v>63</v>
      </c>
      <c r="E344">
        <v>2</v>
      </c>
      <c r="F344" t="s">
        <v>81</v>
      </c>
      <c r="G344" t="s">
        <v>22</v>
      </c>
      <c r="H344" t="s">
        <v>23</v>
      </c>
      <c r="I344" t="s">
        <v>65</v>
      </c>
      <c r="J344" t="s">
        <v>31</v>
      </c>
      <c r="K344" t="s">
        <v>26</v>
      </c>
      <c r="L344" t="s">
        <v>82</v>
      </c>
      <c r="M344" s="8">
        <v>79</v>
      </c>
      <c r="N344" s="10">
        <v>105</v>
      </c>
      <c r="O344" s="10">
        <v>7880.25</v>
      </c>
      <c r="P344" s="10">
        <v>4819</v>
      </c>
      <c r="Q344" s="2">
        <v>3061.25</v>
      </c>
      <c r="R344" s="3">
        <v>0.05</v>
      </c>
      <c r="S344" t="s">
        <v>70</v>
      </c>
      <c r="T344" s="2">
        <v>289.45999999999998</v>
      </c>
    </row>
    <row r="345" spans="1:20" x14ac:dyDescent="0.25">
      <c r="A345">
        <v>100344</v>
      </c>
      <c r="B345" s="6">
        <v>46015</v>
      </c>
      <c r="C345">
        <v>2025</v>
      </c>
      <c r="D345" t="s">
        <v>43</v>
      </c>
      <c r="E345">
        <v>12</v>
      </c>
      <c r="F345" t="s">
        <v>83</v>
      </c>
      <c r="G345" t="s">
        <v>29</v>
      </c>
      <c r="H345" t="s">
        <v>23</v>
      </c>
      <c r="I345" t="s">
        <v>73</v>
      </c>
      <c r="J345" t="s">
        <v>68</v>
      </c>
      <c r="K345" t="s">
        <v>51</v>
      </c>
      <c r="L345" t="s">
        <v>52</v>
      </c>
      <c r="M345" s="8">
        <v>22</v>
      </c>
      <c r="N345" s="10">
        <v>75</v>
      </c>
      <c r="O345" s="10">
        <v>1650</v>
      </c>
      <c r="P345" s="10">
        <v>968</v>
      </c>
      <c r="Q345" s="2">
        <v>682</v>
      </c>
      <c r="R345" s="3">
        <v>0</v>
      </c>
      <c r="S345" t="s">
        <v>70</v>
      </c>
      <c r="T345" s="2">
        <v>34.869999999999997</v>
      </c>
    </row>
    <row r="346" spans="1:20" x14ac:dyDescent="0.25">
      <c r="A346">
        <v>100345</v>
      </c>
      <c r="B346" s="6">
        <v>44979</v>
      </c>
      <c r="C346">
        <v>2023</v>
      </c>
      <c r="D346" t="s">
        <v>63</v>
      </c>
      <c r="E346">
        <v>2</v>
      </c>
      <c r="F346" t="s">
        <v>81</v>
      </c>
      <c r="G346" t="s">
        <v>35</v>
      </c>
      <c r="H346" t="s">
        <v>23</v>
      </c>
      <c r="I346" t="s">
        <v>36</v>
      </c>
      <c r="J346" t="s">
        <v>66</v>
      </c>
      <c r="K346" t="s">
        <v>51</v>
      </c>
      <c r="L346" t="s">
        <v>76</v>
      </c>
      <c r="M346" s="8">
        <v>33</v>
      </c>
      <c r="N346" s="10">
        <v>40</v>
      </c>
      <c r="O346" s="10">
        <v>1214.4000000000001</v>
      </c>
      <c r="P346" s="10">
        <v>759</v>
      </c>
      <c r="Q346" s="2">
        <v>455.4</v>
      </c>
      <c r="R346" s="3">
        <v>0.08</v>
      </c>
      <c r="S346" t="s">
        <v>70</v>
      </c>
      <c r="T346" s="2">
        <v>65.599999999999994</v>
      </c>
    </row>
    <row r="347" spans="1:20" x14ac:dyDescent="0.25">
      <c r="A347">
        <v>100346</v>
      </c>
      <c r="B347" s="6">
        <v>45313</v>
      </c>
      <c r="C347">
        <v>2024</v>
      </c>
      <c r="D347" t="s">
        <v>63</v>
      </c>
      <c r="E347">
        <v>1</v>
      </c>
      <c r="F347" t="s">
        <v>79</v>
      </c>
      <c r="G347" t="s">
        <v>22</v>
      </c>
      <c r="H347" t="s">
        <v>23</v>
      </c>
      <c r="I347" t="s">
        <v>41</v>
      </c>
      <c r="J347" t="s">
        <v>50</v>
      </c>
      <c r="K347" t="s">
        <v>59</v>
      </c>
      <c r="L347" t="s">
        <v>86</v>
      </c>
      <c r="M347" s="8">
        <v>125</v>
      </c>
      <c r="N347" s="10">
        <v>160</v>
      </c>
      <c r="O347" s="10">
        <v>20000</v>
      </c>
      <c r="P347" s="10">
        <v>11875</v>
      </c>
      <c r="Q347" s="2">
        <v>8125</v>
      </c>
      <c r="R347" s="3">
        <v>0</v>
      </c>
      <c r="S347" t="s">
        <v>38</v>
      </c>
      <c r="T347" s="2">
        <v>810.5</v>
      </c>
    </row>
    <row r="348" spans="1:20" x14ac:dyDescent="0.25">
      <c r="A348">
        <v>100347</v>
      </c>
      <c r="B348" s="6">
        <v>45784</v>
      </c>
      <c r="C348">
        <v>2025</v>
      </c>
      <c r="D348" t="s">
        <v>20</v>
      </c>
      <c r="E348">
        <v>5</v>
      </c>
      <c r="F348" t="s">
        <v>21</v>
      </c>
      <c r="G348" t="s">
        <v>35</v>
      </c>
      <c r="H348" t="s">
        <v>23</v>
      </c>
      <c r="I348" t="s">
        <v>77</v>
      </c>
      <c r="J348" t="s">
        <v>68</v>
      </c>
      <c r="K348" t="s">
        <v>51</v>
      </c>
      <c r="L348" t="s">
        <v>72</v>
      </c>
      <c r="M348" s="8">
        <v>25</v>
      </c>
      <c r="N348" s="10">
        <v>90</v>
      </c>
      <c r="O348" s="10">
        <v>2137.5</v>
      </c>
      <c r="P348" s="10">
        <v>1300</v>
      </c>
      <c r="Q348" s="2">
        <v>837.5</v>
      </c>
      <c r="R348" s="3">
        <v>0.05</v>
      </c>
      <c r="S348" t="s">
        <v>28</v>
      </c>
      <c r="T348" s="2">
        <v>93.35</v>
      </c>
    </row>
    <row r="349" spans="1:20" x14ac:dyDescent="0.25">
      <c r="A349">
        <v>100348</v>
      </c>
      <c r="B349" s="6">
        <v>45101</v>
      </c>
      <c r="C349">
        <v>2023</v>
      </c>
      <c r="D349" t="s">
        <v>20</v>
      </c>
      <c r="E349">
        <v>6</v>
      </c>
      <c r="F349" t="s">
        <v>48</v>
      </c>
      <c r="G349" t="s">
        <v>35</v>
      </c>
      <c r="H349" t="s">
        <v>23</v>
      </c>
      <c r="I349" t="s">
        <v>77</v>
      </c>
      <c r="J349" t="s">
        <v>42</v>
      </c>
      <c r="K349" t="s">
        <v>32</v>
      </c>
      <c r="L349" t="s">
        <v>33</v>
      </c>
      <c r="M349" s="8">
        <v>144</v>
      </c>
      <c r="N349" s="10">
        <v>60</v>
      </c>
      <c r="O349" s="10">
        <v>8640</v>
      </c>
      <c r="P349" s="10">
        <v>5472</v>
      </c>
      <c r="Q349" s="2">
        <v>3168</v>
      </c>
      <c r="R349" s="3">
        <v>0</v>
      </c>
      <c r="S349" t="s">
        <v>57</v>
      </c>
      <c r="T349" s="2">
        <v>268.98</v>
      </c>
    </row>
    <row r="350" spans="1:20" x14ac:dyDescent="0.25">
      <c r="A350">
        <v>100349</v>
      </c>
      <c r="B350" s="6">
        <v>45445</v>
      </c>
      <c r="C350">
        <v>2024</v>
      </c>
      <c r="D350" t="s">
        <v>20</v>
      </c>
      <c r="E350">
        <v>6</v>
      </c>
      <c r="F350" t="s">
        <v>48</v>
      </c>
      <c r="G350" t="s">
        <v>29</v>
      </c>
      <c r="H350" t="s">
        <v>23</v>
      </c>
      <c r="I350" t="s">
        <v>73</v>
      </c>
      <c r="J350" t="s">
        <v>50</v>
      </c>
      <c r="K350" t="s">
        <v>51</v>
      </c>
      <c r="L350" t="s">
        <v>72</v>
      </c>
      <c r="M350" s="8">
        <v>52</v>
      </c>
      <c r="N350" s="10">
        <v>90</v>
      </c>
      <c r="O350" s="10">
        <v>4446</v>
      </c>
      <c r="P350" s="10">
        <v>2704</v>
      </c>
      <c r="Q350" s="2">
        <v>1742</v>
      </c>
      <c r="R350" s="3">
        <v>0.05</v>
      </c>
      <c r="S350" t="s">
        <v>57</v>
      </c>
      <c r="T350" s="2">
        <v>200.79</v>
      </c>
    </row>
    <row r="351" spans="1:20" x14ac:dyDescent="0.25">
      <c r="A351">
        <v>100350</v>
      </c>
      <c r="B351" s="6">
        <v>45383</v>
      </c>
      <c r="C351">
        <v>2024</v>
      </c>
      <c r="D351" t="s">
        <v>20</v>
      </c>
      <c r="E351">
        <v>4</v>
      </c>
      <c r="F351" t="s">
        <v>34</v>
      </c>
      <c r="G351" t="s">
        <v>29</v>
      </c>
      <c r="H351" t="s">
        <v>23</v>
      </c>
      <c r="I351" t="s">
        <v>30</v>
      </c>
      <c r="J351" t="s">
        <v>25</v>
      </c>
      <c r="K351" t="s">
        <v>26</v>
      </c>
      <c r="L351" t="s">
        <v>69</v>
      </c>
      <c r="M351" s="8">
        <v>54</v>
      </c>
      <c r="N351" s="10">
        <v>130</v>
      </c>
      <c r="O351" s="10">
        <v>6809.4</v>
      </c>
      <c r="P351" s="10">
        <v>4104</v>
      </c>
      <c r="Q351" s="2">
        <v>2705.4</v>
      </c>
      <c r="R351" s="3">
        <v>0.03</v>
      </c>
      <c r="S351" t="s">
        <v>57</v>
      </c>
      <c r="T351" s="2">
        <v>215.59</v>
      </c>
    </row>
    <row r="352" spans="1:20" x14ac:dyDescent="0.25">
      <c r="A352">
        <v>100351</v>
      </c>
      <c r="B352" s="6">
        <v>45083</v>
      </c>
      <c r="C352">
        <v>2023</v>
      </c>
      <c r="D352" t="s">
        <v>20</v>
      </c>
      <c r="E352">
        <v>6</v>
      </c>
      <c r="F352" t="s">
        <v>48</v>
      </c>
      <c r="G352" t="s">
        <v>35</v>
      </c>
      <c r="H352" t="s">
        <v>23</v>
      </c>
      <c r="I352" t="s">
        <v>36</v>
      </c>
      <c r="J352" t="s">
        <v>68</v>
      </c>
      <c r="K352" t="s">
        <v>59</v>
      </c>
      <c r="L352" t="s">
        <v>67</v>
      </c>
      <c r="M352" s="8">
        <v>133</v>
      </c>
      <c r="N352" s="10">
        <v>95</v>
      </c>
      <c r="O352" s="10">
        <v>12255.95</v>
      </c>
      <c r="P352" s="10">
        <v>7448</v>
      </c>
      <c r="Q352" s="2">
        <v>4807.95</v>
      </c>
      <c r="R352" s="3">
        <v>0.03</v>
      </c>
      <c r="S352" t="s">
        <v>28</v>
      </c>
      <c r="T352" s="2">
        <v>222.83</v>
      </c>
    </row>
    <row r="353" spans="1:20" x14ac:dyDescent="0.25">
      <c r="A353">
        <v>100352</v>
      </c>
      <c r="B353" s="6">
        <v>45557</v>
      </c>
      <c r="C353">
        <v>2024</v>
      </c>
      <c r="D353" t="s">
        <v>39</v>
      </c>
      <c r="E353">
        <v>9</v>
      </c>
      <c r="F353" t="s">
        <v>40</v>
      </c>
      <c r="G353" t="s">
        <v>45</v>
      </c>
      <c r="H353" t="s">
        <v>23</v>
      </c>
      <c r="I353" t="s">
        <v>62</v>
      </c>
      <c r="J353" t="s">
        <v>42</v>
      </c>
      <c r="K353" t="s">
        <v>55</v>
      </c>
      <c r="L353" t="s">
        <v>84</v>
      </c>
      <c r="M353" s="8">
        <v>84</v>
      </c>
      <c r="N353" s="10">
        <v>55</v>
      </c>
      <c r="O353" s="10">
        <v>4158</v>
      </c>
      <c r="P353" s="10">
        <v>3108</v>
      </c>
      <c r="Q353" s="2">
        <v>1050</v>
      </c>
      <c r="R353" s="3">
        <v>0.1</v>
      </c>
      <c r="S353" t="s">
        <v>38</v>
      </c>
      <c r="T353" s="2">
        <v>79.66</v>
      </c>
    </row>
    <row r="354" spans="1:20" x14ac:dyDescent="0.25">
      <c r="A354">
        <v>100353</v>
      </c>
      <c r="B354" s="6">
        <v>45288</v>
      </c>
      <c r="C354">
        <v>2023</v>
      </c>
      <c r="D354" t="s">
        <v>43</v>
      </c>
      <c r="E354">
        <v>12</v>
      </c>
      <c r="F354" t="s">
        <v>83</v>
      </c>
      <c r="G354" t="s">
        <v>45</v>
      </c>
      <c r="H354" t="s">
        <v>23</v>
      </c>
      <c r="I354" t="s">
        <v>88</v>
      </c>
      <c r="J354" t="s">
        <v>31</v>
      </c>
      <c r="K354" t="s">
        <v>26</v>
      </c>
      <c r="L354" t="s">
        <v>69</v>
      </c>
      <c r="M354" s="8">
        <v>54</v>
      </c>
      <c r="N354" s="10">
        <v>130</v>
      </c>
      <c r="O354" s="10">
        <v>6879.6</v>
      </c>
      <c r="P354" s="10">
        <v>4104</v>
      </c>
      <c r="Q354" s="2">
        <v>2775.6</v>
      </c>
      <c r="R354" s="3">
        <v>0.02</v>
      </c>
      <c r="S354" t="s">
        <v>70</v>
      </c>
      <c r="T354" s="2">
        <v>474.63</v>
      </c>
    </row>
    <row r="355" spans="1:20" x14ac:dyDescent="0.25">
      <c r="A355">
        <v>100354</v>
      </c>
      <c r="B355" s="6">
        <v>45933</v>
      </c>
      <c r="C355">
        <v>2025</v>
      </c>
      <c r="D355" t="s">
        <v>43</v>
      </c>
      <c r="E355">
        <v>10</v>
      </c>
      <c r="F355" t="s">
        <v>44</v>
      </c>
      <c r="G355" t="s">
        <v>22</v>
      </c>
      <c r="H355" t="s">
        <v>23</v>
      </c>
      <c r="I355" t="s">
        <v>65</v>
      </c>
      <c r="J355" t="s">
        <v>66</v>
      </c>
      <c r="K355" t="s">
        <v>59</v>
      </c>
      <c r="L355" t="s">
        <v>60</v>
      </c>
      <c r="M355" s="8">
        <v>58</v>
      </c>
      <c r="N355" s="10">
        <v>45</v>
      </c>
      <c r="O355" s="10">
        <v>2349</v>
      </c>
      <c r="P355" s="10">
        <v>1566</v>
      </c>
      <c r="Q355" s="2">
        <v>783</v>
      </c>
      <c r="R355" s="3">
        <v>0.1</v>
      </c>
      <c r="S355" t="s">
        <v>70</v>
      </c>
      <c r="T355" s="2">
        <v>78.819999999999993</v>
      </c>
    </row>
    <row r="356" spans="1:20" x14ac:dyDescent="0.25">
      <c r="A356">
        <v>100355</v>
      </c>
      <c r="B356" s="6">
        <v>45485</v>
      </c>
      <c r="C356">
        <v>2024</v>
      </c>
      <c r="D356" t="s">
        <v>39</v>
      </c>
      <c r="E356">
        <v>7</v>
      </c>
      <c r="F356" t="s">
        <v>75</v>
      </c>
      <c r="G356" t="s">
        <v>22</v>
      </c>
      <c r="H356" t="s">
        <v>23</v>
      </c>
      <c r="I356" t="s">
        <v>71</v>
      </c>
      <c r="J356" t="s">
        <v>25</v>
      </c>
      <c r="K356" t="s">
        <v>26</v>
      </c>
      <c r="L356" t="s">
        <v>78</v>
      </c>
      <c r="M356" s="8">
        <v>123</v>
      </c>
      <c r="N356" s="10">
        <v>95</v>
      </c>
      <c r="O356" s="10">
        <v>11685</v>
      </c>
      <c r="P356" s="10">
        <v>7134</v>
      </c>
      <c r="Q356" s="2">
        <v>4551</v>
      </c>
      <c r="R356" s="3">
        <v>0</v>
      </c>
      <c r="S356" t="s">
        <v>38</v>
      </c>
      <c r="T356" s="2">
        <v>580.75</v>
      </c>
    </row>
    <row r="357" spans="1:20" x14ac:dyDescent="0.25">
      <c r="A357">
        <v>100356</v>
      </c>
      <c r="B357" s="6">
        <v>45872</v>
      </c>
      <c r="C357">
        <v>2025</v>
      </c>
      <c r="D357" t="s">
        <v>39</v>
      </c>
      <c r="E357">
        <v>8</v>
      </c>
      <c r="F357" t="s">
        <v>58</v>
      </c>
      <c r="G357" t="s">
        <v>35</v>
      </c>
      <c r="H357" t="s">
        <v>23</v>
      </c>
      <c r="I357" t="s">
        <v>53</v>
      </c>
      <c r="J357" t="s">
        <v>66</v>
      </c>
      <c r="K357" t="s">
        <v>26</v>
      </c>
      <c r="L357" t="s">
        <v>82</v>
      </c>
      <c r="M357" s="8">
        <v>70</v>
      </c>
      <c r="N357" s="10">
        <v>105</v>
      </c>
      <c r="O357" s="10">
        <v>6615</v>
      </c>
      <c r="P357" s="10">
        <v>4270</v>
      </c>
      <c r="Q357" s="2">
        <v>2345</v>
      </c>
      <c r="R357" s="3">
        <v>0.1</v>
      </c>
      <c r="S357" t="s">
        <v>38</v>
      </c>
      <c r="T357" s="2">
        <v>449.34</v>
      </c>
    </row>
    <row r="358" spans="1:20" x14ac:dyDescent="0.25">
      <c r="A358">
        <v>100357</v>
      </c>
      <c r="B358" s="6">
        <v>45524</v>
      </c>
      <c r="C358">
        <v>2024</v>
      </c>
      <c r="D358" t="s">
        <v>39</v>
      </c>
      <c r="E358">
        <v>8</v>
      </c>
      <c r="F358" t="s">
        <v>58</v>
      </c>
      <c r="G358" t="s">
        <v>35</v>
      </c>
      <c r="H358" t="s">
        <v>23</v>
      </c>
      <c r="I358" t="s">
        <v>36</v>
      </c>
      <c r="J358" t="s">
        <v>66</v>
      </c>
      <c r="K358" t="s">
        <v>59</v>
      </c>
      <c r="L358" t="s">
        <v>86</v>
      </c>
      <c r="M358" s="8">
        <v>150</v>
      </c>
      <c r="N358" s="10">
        <v>160</v>
      </c>
      <c r="O358" s="10">
        <v>23280</v>
      </c>
      <c r="P358" s="10">
        <v>14250</v>
      </c>
      <c r="Q358" s="2">
        <v>9030</v>
      </c>
      <c r="R358" s="3">
        <v>0.03</v>
      </c>
      <c r="S358" t="s">
        <v>70</v>
      </c>
      <c r="T358" s="2">
        <v>1067.3399999999999</v>
      </c>
    </row>
    <row r="359" spans="1:20" x14ac:dyDescent="0.25">
      <c r="A359">
        <v>100358</v>
      </c>
      <c r="B359" s="6">
        <v>45419</v>
      </c>
      <c r="C359">
        <v>2024</v>
      </c>
      <c r="D359" t="s">
        <v>20</v>
      </c>
      <c r="E359">
        <v>5</v>
      </c>
      <c r="F359" t="s">
        <v>21</v>
      </c>
      <c r="G359" t="s">
        <v>22</v>
      </c>
      <c r="H359" t="s">
        <v>23</v>
      </c>
      <c r="I359" t="s">
        <v>65</v>
      </c>
      <c r="J359" t="s">
        <v>50</v>
      </c>
      <c r="K359" t="s">
        <v>26</v>
      </c>
      <c r="L359" t="s">
        <v>82</v>
      </c>
      <c r="M359" s="8">
        <v>84</v>
      </c>
      <c r="N359" s="10">
        <v>105</v>
      </c>
      <c r="O359" s="10">
        <v>8379</v>
      </c>
      <c r="P359" s="10">
        <v>5124</v>
      </c>
      <c r="Q359" s="2">
        <v>3255</v>
      </c>
      <c r="R359" s="3">
        <v>0.05</v>
      </c>
      <c r="S359" t="s">
        <v>57</v>
      </c>
      <c r="T359" s="2">
        <v>519.15</v>
      </c>
    </row>
    <row r="360" spans="1:20" x14ac:dyDescent="0.25">
      <c r="A360">
        <v>100359</v>
      </c>
      <c r="B360" s="6">
        <v>45198</v>
      </c>
      <c r="C360">
        <v>2023</v>
      </c>
      <c r="D360" t="s">
        <v>39</v>
      </c>
      <c r="E360">
        <v>9</v>
      </c>
      <c r="F360" t="s">
        <v>40</v>
      </c>
      <c r="G360" t="s">
        <v>29</v>
      </c>
      <c r="H360" t="s">
        <v>23</v>
      </c>
      <c r="I360" t="s">
        <v>30</v>
      </c>
      <c r="J360" t="s">
        <v>50</v>
      </c>
      <c r="K360" t="s">
        <v>59</v>
      </c>
      <c r="L360" t="s">
        <v>91</v>
      </c>
      <c r="M360" s="8">
        <v>73</v>
      </c>
      <c r="N360" s="10">
        <v>140</v>
      </c>
      <c r="O360" s="10">
        <v>9198</v>
      </c>
      <c r="P360" s="10">
        <v>5986</v>
      </c>
      <c r="Q360" s="2">
        <v>3212</v>
      </c>
      <c r="R360" s="3">
        <v>0.1</v>
      </c>
      <c r="S360" t="s">
        <v>38</v>
      </c>
      <c r="T360" s="2">
        <v>402.32</v>
      </c>
    </row>
    <row r="361" spans="1:20" x14ac:dyDescent="0.25">
      <c r="A361">
        <v>100360</v>
      </c>
      <c r="B361" s="6">
        <v>45200</v>
      </c>
      <c r="C361">
        <v>2023</v>
      </c>
      <c r="D361" t="s">
        <v>43</v>
      </c>
      <c r="E361">
        <v>10</v>
      </c>
      <c r="F361" t="s">
        <v>44</v>
      </c>
      <c r="G361" t="s">
        <v>22</v>
      </c>
      <c r="H361" t="s">
        <v>23</v>
      </c>
      <c r="I361" t="s">
        <v>24</v>
      </c>
      <c r="J361" t="s">
        <v>25</v>
      </c>
      <c r="K361" t="s">
        <v>32</v>
      </c>
      <c r="L361" t="s">
        <v>33</v>
      </c>
      <c r="M361" s="8">
        <v>143</v>
      </c>
      <c r="N361" s="10">
        <v>60</v>
      </c>
      <c r="O361" s="10">
        <v>8408.4</v>
      </c>
      <c r="P361" s="10">
        <v>5434</v>
      </c>
      <c r="Q361" s="2">
        <v>2974.4</v>
      </c>
      <c r="R361" s="3">
        <v>0.02</v>
      </c>
      <c r="S361" t="s">
        <v>38</v>
      </c>
      <c r="T361" s="2">
        <v>492.67</v>
      </c>
    </row>
    <row r="362" spans="1:20" x14ac:dyDescent="0.25">
      <c r="A362">
        <v>100361</v>
      </c>
      <c r="B362" s="6">
        <v>45545</v>
      </c>
      <c r="C362">
        <v>2024</v>
      </c>
      <c r="D362" t="s">
        <v>39</v>
      </c>
      <c r="E362">
        <v>9</v>
      </c>
      <c r="F362" t="s">
        <v>40</v>
      </c>
      <c r="G362" t="s">
        <v>22</v>
      </c>
      <c r="H362" t="s">
        <v>23</v>
      </c>
      <c r="I362" t="s">
        <v>71</v>
      </c>
      <c r="J362" t="s">
        <v>31</v>
      </c>
      <c r="K362" t="s">
        <v>55</v>
      </c>
      <c r="L362" t="s">
        <v>84</v>
      </c>
      <c r="M362" s="8">
        <v>17</v>
      </c>
      <c r="N362" s="10">
        <v>55</v>
      </c>
      <c r="O362" s="10">
        <v>935</v>
      </c>
      <c r="P362" s="10">
        <v>629</v>
      </c>
      <c r="Q362" s="2">
        <v>306</v>
      </c>
      <c r="R362" s="3">
        <v>0</v>
      </c>
      <c r="S362" t="s">
        <v>38</v>
      </c>
      <c r="T362" s="2">
        <v>38.549999999999997</v>
      </c>
    </row>
    <row r="363" spans="1:20" x14ac:dyDescent="0.25">
      <c r="A363">
        <v>100362</v>
      </c>
      <c r="B363" s="6">
        <v>45759</v>
      </c>
      <c r="C363">
        <v>2025</v>
      </c>
      <c r="D363" t="s">
        <v>20</v>
      </c>
      <c r="E363">
        <v>4</v>
      </c>
      <c r="F363" t="s">
        <v>34</v>
      </c>
      <c r="G363" t="s">
        <v>22</v>
      </c>
      <c r="H363" t="s">
        <v>23</v>
      </c>
      <c r="I363" t="s">
        <v>24</v>
      </c>
      <c r="J363" t="s">
        <v>50</v>
      </c>
      <c r="K363" t="s">
        <v>26</v>
      </c>
      <c r="L363" t="s">
        <v>82</v>
      </c>
      <c r="M363" s="8">
        <v>97</v>
      </c>
      <c r="N363" s="10">
        <v>105</v>
      </c>
      <c r="O363" s="10">
        <v>9675.75</v>
      </c>
      <c r="P363" s="10">
        <v>5917</v>
      </c>
      <c r="Q363" s="2">
        <v>3758.75</v>
      </c>
      <c r="R363" s="3">
        <v>0.05</v>
      </c>
      <c r="S363" t="s">
        <v>38</v>
      </c>
      <c r="T363" s="2">
        <v>600.25</v>
      </c>
    </row>
    <row r="364" spans="1:20" x14ac:dyDescent="0.25">
      <c r="A364">
        <v>100363</v>
      </c>
      <c r="B364" s="6">
        <v>45000</v>
      </c>
      <c r="C364">
        <v>2023</v>
      </c>
      <c r="D364" t="s">
        <v>63</v>
      </c>
      <c r="E364">
        <v>3</v>
      </c>
      <c r="F364" t="s">
        <v>64</v>
      </c>
      <c r="G364" t="s">
        <v>29</v>
      </c>
      <c r="H364" t="s">
        <v>23</v>
      </c>
      <c r="I364" t="s">
        <v>73</v>
      </c>
      <c r="J364" t="s">
        <v>25</v>
      </c>
      <c r="K364" t="s">
        <v>51</v>
      </c>
      <c r="L364" t="s">
        <v>72</v>
      </c>
      <c r="M364" s="8">
        <v>113</v>
      </c>
      <c r="N364" s="10">
        <v>90</v>
      </c>
      <c r="O364" s="10">
        <v>9356.4</v>
      </c>
      <c r="P364" s="10">
        <v>5876</v>
      </c>
      <c r="Q364" s="2">
        <v>3480.4</v>
      </c>
      <c r="R364" s="3">
        <v>0.08</v>
      </c>
      <c r="S364" t="s">
        <v>38</v>
      </c>
      <c r="T364" s="2">
        <v>515.41999999999996</v>
      </c>
    </row>
    <row r="365" spans="1:20" x14ac:dyDescent="0.25">
      <c r="A365">
        <v>100364</v>
      </c>
      <c r="B365" s="6">
        <v>45815</v>
      </c>
      <c r="C365">
        <v>2025</v>
      </c>
      <c r="D365" t="s">
        <v>20</v>
      </c>
      <c r="E365">
        <v>6</v>
      </c>
      <c r="F365" t="s">
        <v>48</v>
      </c>
      <c r="G365" t="s">
        <v>45</v>
      </c>
      <c r="H365" t="s">
        <v>23</v>
      </c>
      <c r="I365" t="s">
        <v>90</v>
      </c>
      <c r="J365" t="s">
        <v>54</v>
      </c>
      <c r="K365" t="s">
        <v>55</v>
      </c>
      <c r="L365" t="s">
        <v>93</v>
      </c>
      <c r="M365" s="8">
        <v>19</v>
      </c>
      <c r="N365" s="10">
        <v>60</v>
      </c>
      <c r="O365" s="10">
        <v>1048.8</v>
      </c>
      <c r="P365" s="10">
        <v>798</v>
      </c>
      <c r="Q365" s="2">
        <v>250.8</v>
      </c>
      <c r="R365" s="3">
        <v>0.08</v>
      </c>
      <c r="S365" t="s">
        <v>28</v>
      </c>
      <c r="T365" s="2">
        <v>24.6</v>
      </c>
    </row>
    <row r="366" spans="1:20" x14ac:dyDescent="0.25">
      <c r="A366">
        <v>100365</v>
      </c>
      <c r="B366" s="6">
        <v>45055</v>
      </c>
      <c r="C366">
        <v>2023</v>
      </c>
      <c r="D366" t="s">
        <v>20</v>
      </c>
      <c r="E366">
        <v>5</v>
      </c>
      <c r="F366" t="s">
        <v>21</v>
      </c>
      <c r="G366" t="s">
        <v>29</v>
      </c>
      <c r="H366" t="s">
        <v>23</v>
      </c>
      <c r="I366" t="s">
        <v>73</v>
      </c>
      <c r="J366" t="s">
        <v>25</v>
      </c>
      <c r="K366" t="s">
        <v>26</v>
      </c>
      <c r="L366" t="s">
        <v>27</v>
      </c>
      <c r="M366" s="8">
        <v>76</v>
      </c>
      <c r="N366" s="10">
        <v>110</v>
      </c>
      <c r="O366" s="10">
        <v>8109.2</v>
      </c>
      <c r="P366" s="10">
        <v>5168</v>
      </c>
      <c r="Q366" s="2">
        <v>2941.2</v>
      </c>
      <c r="R366" s="3">
        <v>0.03</v>
      </c>
      <c r="S366" t="s">
        <v>38</v>
      </c>
      <c r="T366" s="2">
        <v>458.04</v>
      </c>
    </row>
    <row r="367" spans="1:20" x14ac:dyDescent="0.25">
      <c r="A367">
        <v>100366</v>
      </c>
      <c r="B367" s="6">
        <v>45644</v>
      </c>
      <c r="C367">
        <v>2024</v>
      </c>
      <c r="D367" t="s">
        <v>43</v>
      </c>
      <c r="E367">
        <v>12</v>
      </c>
      <c r="F367" t="s">
        <v>83</v>
      </c>
      <c r="G367" t="s">
        <v>45</v>
      </c>
      <c r="H367" t="s">
        <v>23</v>
      </c>
      <c r="I367" t="s">
        <v>88</v>
      </c>
      <c r="J367" t="s">
        <v>42</v>
      </c>
      <c r="K367" t="s">
        <v>55</v>
      </c>
      <c r="L367" t="s">
        <v>93</v>
      </c>
      <c r="M367" s="8">
        <v>100</v>
      </c>
      <c r="N367" s="10">
        <v>60</v>
      </c>
      <c r="O367" s="10">
        <v>5820</v>
      </c>
      <c r="P367" s="10">
        <v>4200</v>
      </c>
      <c r="Q367" s="2">
        <v>1620</v>
      </c>
      <c r="R367" s="3">
        <v>0.03</v>
      </c>
      <c r="S367" t="s">
        <v>38</v>
      </c>
      <c r="T367" s="2">
        <v>358.51</v>
      </c>
    </row>
    <row r="368" spans="1:20" x14ac:dyDescent="0.25">
      <c r="A368">
        <v>100367</v>
      </c>
      <c r="B368" s="6">
        <v>45241</v>
      </c>
      <c r="C368">
        <v>2023</v>
      </c>
      <c r="D368" t="s">
        <v>43</v>
      </c>
      <c r="E368">
        <v>11</v>
      </c>
      <c r="F368" t="s">
        <v>87</v>
      </c>
      <c r="G368" t="s">
        <v>22</v>
      </c>
      <c r="H368" t="s">
        <v>23</v>
      </c>
      <c r="I368" t="s">
        <v>71</v>
      </c>
      <c r="J368" t="s">
        <v>61</v>
      </c>
      <c r="K368" t="s">
        <v>32</v>
      </c>
      <c r="L368" t="s">
        <v>33</v>
      </c>
      <c r="M368" s="8">
        <v>31</v>
      </c>
      <c r="N368" s="10">
        <v>60</v>
      </c>
      <c r="O368" s="10">
        <v>1711.2</v>
      </c>
      <c r="P368" s="10">
        <v>1178</v>
      </c>
      <c r="Q368" s="2">
        <v>533.20000000000005</v>
      </c>
      <c r="R368" s="3">
        <v>0.08</v>
      </c>
      <c r="S368" t="s">
        <v>70</v>
      </c>
      <c r="T368" s="2">
        <v>52.25</v>
      </c>
    </row>
    <row r="369" spans="1:20" x14ac:dyDescent="0.25">
      <c r="A369">
        <v>100368</v>
      </c>
      <c r="B369" s="6">
        <v>45577</v>
      </c>
      <c r="C369">
        <v>2024</v>
      </c>
      <c r="D369" t="s">
        <v>43</v>
      </c>
      <c r="E369">
        <v>10</v>
      </c>
      <c r="F369" t="s">
        <v>44</v>
      </c>
      <c r="G369" t="s">
        <v>29</v>
      </c>
      <c r="H369" t="s">
        <v>23</v>
      </c>
      <c r="I369" t="s">
        <v>30</v>
      </c>
      <c r="J369" t="s">
        <v>54</v>
      </c>
      <c r="K369" t="s">
        <v>51</v>
      </c>
      <c r="L369" t="s">
        <v>72</v>
      </c>
      <c r="M369" s="8">
        <v>35</v>
      </c>
      <c r="N369" s="10">
        <v>90</v>
      </c>
      <c r="O369" s="10">
        <v>2898</v>
      </c>
      <c r="P369" s="10">
        <v>1820</v>
      </c>
      <c r="Q369" s="2">
        <v>1078</v>
      </c>
      <c r="R369" s="3">
        <v>0.08</v>
      </c>
      <c r="S369" t="s">
        <v>28</v>
      </c>
      <c r="T369" s="2">
        <v>66.39</v>
      </c>
    </row>
    <row r="370" spans="1:20" x14ac:dyDescent="0.25">
      <c r="A370">
        <v>100369</v>
      </c>
      <c r="B370" s="6">
        <v>45253</v>
      </c>
      <c r="C370">
        <v>2023</v>
      </c>
      <c r="D370" t="s">
        <v>43</v>
      </c>
      <c r="E370">
        <v>11</v>
      </c>
      <c r="F370" t="s">
        <v>87</v>
      </c>
      <c r="G370" t="s">
        <v>35</v>
      </c>
      <c r="H370" t="s">
        <v>23</v>
      </c>
      <c r="I370" t="s">
        <v>80</v>
      </c>
      <c r="J370" t="s">
        <v>68</v>
      </c>
      <c r="K370" t="s">
        <v>51</v>
      </c>
      <c r="L370" t="s">
        <v>76</v>
      </c>
      <c r="M370" s="8">
        <v>141</v>
      </c>
      <c r="N370" s="10">
        <v>40</v>
      </c>
      <c r="O370" s="10">
        <v>5188.8</v>
      </c>
      <c r="P370" s="10">
        <v>3243</v>
      </c>
      <c r="Q370" s="2">
        <v>1945.8</v>
      </c>
      <c r="R370" s="3">
        <v>0.08</v>
      </c>
      <c r="S370" t="s">
        <v>38</v>
      </c>
      <c r="T370" s="2">
        <v>331.51</v>
      </c>
    </row>
    <row r="371" spans="1:20" x14ac:dyDescent="0.25">
      <c r="A371">
        <v>100370</v>
      </c>
      <c r="B371" s="6">
        <v>45147</v>
      </c>
      <c r="C371">
        <v>2023</v>
      </c>
      <c r="D371" t="s">
        <v>39</v>
      </c>
      <c r="E371">
        <v>8</v>
      </c>
      <c r="F371" t="s">
        <v>58</v>
      </c>
      <c r="G371" t="s">
        <v>29</v>
      </c>
      <c r="H371" t="s">
        <v>23</v>
      </c>
      <c r="I371" t="s">
        <v>73</v>
      </c>
      <c r="J371" t="s">
        <v>25</v>
      </c>
      <c r="K371" t="s">
        <v>51</v>
      </c>
      <c r="L371" t="s">
        <v>72</v>
      </c>
      <c r="M371" s="8">
        <v>112</v>
      </c>
      <c r="N371" s="10">
        <v>90</v>
      </c>
      <c r="O371" s="10">
        <v>10080</v>
      </c>
      <c r="P371" s="10">
        <v>5824</v>
      </c>
      <c r="Q371" s="2">
        <v>4256</v>
      </c>
      <c r="R371" s="3">
        <v>0</v>
      </c>
      <c r="S371" t="s">
        <v>38</v>
      </c>
      <c r="T371" s="2">
        <v>503.82</v>
      </c>
    </row>
    <row r="372" spans="1:20" x14ac:dyDescent="0.25">
      <c r="A372">
        <v>100371</v>
      </c>
      <c r="B372" s="6">
        <v>45197</v>
      </c>
      <c r="C372">
        <v>2023</v>
      </c>
      <c r="D372" t="s">
        <v>39</v>
      </c>
      <c r="E372">
        <v>9</v>
      </c>
      <c r="F372" t="s">
        <v>40</v>
      </c>
      <c r="G372" t="s">
        <v>22</v>
      </c>
      <c r="H372" t="s">
        <v>23</v>
      </c>
      <c r="I372" t="s">
        <v>71</v>
      </c>
      <c r="J372" t="s">
        <v>50</v>
      </c>
      <c r="K372" t="s">
        <v>59</v>
      </c>
      <c r="L372" t="s">
        <v>67</v>
      </c>
      <c r="M372" s="8">
        <v>33</v>
      </c>
      <c r="N372" s="10">
        <v>95</v>
      </c>
      <c r="O372" s="10">
        <v>2884.2</v>
      </c>
      <c r="P372" s="10">
        <v>1848</v>
      </c>
      <c r="Q372" s="2">
        <v>1036.2</v>
      </c>
      <c r="R372" s="3">
        <v>0.08</v>
      </c>
      <c r="S372" t="s">
        <v>57</v>
      </c>
      <c r="T372" s="2">
        <v>50.82</v>
      </c>
    </row>
    <row r="373" spans="1:20" x14ac:dyDescent="0.25">
      <c r="A373">
        <v>100372</v>
      </c>
      <c r="B373" s="6">
        <v>45462</v>
      </c>
      <c r="C373">
        <v>2024</v>
      </c>
      <c r="D373" t="s">
        <v>20</v>
      </c>
      <c r="E373">
        <v>6</v>
      </c>
      <c r="F373" t="s">
        <v>48</v>
      </c>
      <c r="G373" t="s">
        <v>35</v>
      </c>
      <c r="H373" t="s">
        <v>23</v>
      </c>
      <c r="I373" t="s">
        <v>80</v>
      </c>
      <c r="J373" t="s">
        <v>66</v>
      </c>
      <c r="K373" t="s">
        <v>32</v>
      </c>
      <c r="L373" t="s">
        <v>37</v>
      </c>
      <c r="M373" s="8">
        <v>125</v>
      </c>
      <c r="N373" s="10">
        <v>120</v>
      </c>
      <c r="O373" s="10">
        <v>14550</v>
      </c>
      <c r="P373" s="10">
        <v>9750</v>
      </c>
      <c r="Q373" s="2">
        <v>4800</v>
      </c>
      <c r="R373" s="3">
        <v>0.03</v>
      </c>
      <c r="S373" t="s">
        <v>70</v>
      </c>
      <c r="T373" s="2">
        <v>248.32</v>
      </c>
    </row>
    <row r="374" spans="1:20" x14ac:dyDescent="0.25">
      <c r="A374">
        <v>100373</v>
      </c>
      <c r="B374" s="6">
        <v>45607</v>
      </c>
      <c r="C374">
        <v>2024</v>
      </c>
      <c r="D374" t="s">
        <v>43</v>
      </c>
      <c r="E374">
        <v>11</v>
      </c>
      <c r="F374" t="s">
        <v>87</v>
      </c>
      <c r="G374" t="s">
        <v>45</v>
      </c>
      <c r="H374" t="s">
        <v>23</v>
      </c>
      <c r="I374" t="s">
        <v>46</v>
      </c>
      <c r="J374" t="s">
        <v>54</v>
      </c>
      <c r="K374" t="s">
        <v>51</v>
      </c>
      <c r="L374" t="s">
        <v>76</v>
      </c>
      <c r="M374" s="8">
        <v>79</v>
      </c>
      <c r="N374" s="10">
        <v>40</v>
      </c>
      <c r="O374" s="10">
        <v>3160</v>
      </c>
      <c r="P374" s="10">
        <v>1817</v>
      </c>
      <c r="Q374" s="2">
        <v>1343</v>
      </c>
      <c r="R374" s="3">
        <v>0</v>
      </c>
      <c r="S374" t="s">
        <v>38</v>
      </c>
      <c r="T374" s="2">
        <v>216.52</v>
      </c>
    </row>
    <row r="375" spans="1:20" x14ac:dyDescent="0.25">
      <c r="A375">
        <v>100374</v>
      </c>
      <c r="B375" s="6">
        <v>45138</v>
      </c>
      <c r="C375">
        <v>2023</v>
      </c>
      <c r="D375" t="s">
        <v>39</v>
      </c>
      <c r="E375">
        <v>7</v>
      </c>
      <c r="F375" t="s">
        <v>75</v>
      </c>
      <c r="G375" t="s">
        <v>22</v>
      </c>
      <c r="H375" t="s">
        <v>23</v>
      </c>
      <c r="I375" t="s">
        <v>65</v>
      </c>
      <c r="J375" t="s">
        <v>54</v>
      </c>
      <c r="K375" t="s">
        <v>32</v>
      </c>
      <c r="L375" t="s">
        <v>74</v>
      </c>
      <c r="M375" s="8">
        <v>85</v>
      </c>
      <c r="N375" s="10">
        <v>25</v>
      </c>
      <c r="O375" s="10">
        <v>2082.5</v>
      </c>
      <c r="P375" s="10">
        <v>1190</v>
      </c>
      <c r="Q375" s="2">
        <v>892.5</v>
      </c>
      <c r="R375" s="3">
        <v>0.02</v>
      </c>
      <c r="S375" t="s">
        <v>70</v>
      </c>
      <c r="T375" s="2">
        <v>107.18</v>
      </c>
    </row>
    <row r="376" spans="1:20" x14ac:dyDescent="0.25">
      <c r="A376">
        <v>100375</v>
      </c>
      <c r="B376" s="6">
        <v>45232</v>
      </c>
      <c r="C376">
        <v>2023</v>
      </c>
      <c r="D376" t="s">
        <v>43</v>
      </c>
      <c r="E376">
        <v>11</v>
      </c>
      <c r="F376" t="s">
        <v>87</v>
      </c>
      <c r="G376" t="s">
        <v>35</v>
      </c>
      <c r="H376" t="s">
        <v>23</v>
      </c>
      <c r="I376" t="s">
        <v>36</v>
      </c>
      <c r="J376" t="s">
        <v>50</v>
      </c>
      <c r="K376" t="s">
        <v>26</v>
      </c>
      <c r="L376" t="s">
        <v>82</v>
      </c>
      <c r="M376" s="8">
        <v>135</v>
      </c>
      <c r="N376" s="10">
        <v>105</v>
      </c>
      <c r="O376" s="10">
        <v>13891.5</v>
      </c>
      <c r="P376" s="10">
        <v>8235</v>
      </c>
      <c r="Q376" s="2">
        <v>5656.5</v>
      </c>
      <c r="R376" s="3">
        <v>0.02</v>
      </c>
      <c r="S376" t="s">
        <v>28</v>
      </c>
      <c r="T376" s="2">
        <v>972.06</v>
      </c>
    </row>
    <row r="377" spans="1:20" x14ac:dyDescent="0.25">
      <c r="A377">
        <v>100376</v>
      </c>
      <c r="B377" s="6">
        <v>45430</v>
      </c>
      <c r="C377">
        <v>2024</v>
      </c>
      <c r="D377" t="s">
        <v>20</v>
      </c>
      <c r="E377">
        <v>5</v>
      </c>
      <c r="F377" t="s">
        <v>21</v>
      </c>
      <c r="G377" t="s">
        <v>35</v>
      </c>
      <c r="H377" t="s">
        <v>23</v>
      </c>
      <c r="I377" t="s">
        <v>77</v>
      </c>
      <c r="J377" t="s">
        <v>68</v>
      </c>
      <c r="K377" t="s">
        <v>59</v>
      </c>
      <c r="L377" t="s">
        <v>91</v>
      </c>
      <c r="M377" s="8">
        <v>25</v>
      </c>
      <c r="N377" s="10">
        <v>140</v>
      </c>
      <c r="O377" s="10">
        <v>3500</v>
      </c>
      <c r="P377" s="10">
        <v>2050</v>
      </c>
      <c r="Q377" s="2">
        <v>1450</v>
      </c>
      <c r="R377" s="3">
        <v>0</v>
      </c>
      <c r="S377" t="s">
        <v>38</v>
      </c>
      <c r="T377" s="2">
        <v>157.32</v>
      </c>
    </row>
    <row r="378" spans="1:20" x14ac:dyDescent="0.25">
      <c r="A378">
        <v>100377</v>
      </c>
      <c r="B378" s="6">
        <v>45088</v>
      </c>
      <c r="C378">
        <v>2023</v>
      </c>
      <c r="D378" t="s">
        <v>20</v>
      </c>
      <c r="E378">
        <v>6</v>
      </c>
      <c r="F378" t="s">
        <v>48</v>
      </c>
      <c r="G378" t="s">
        <v>22</v>
      </c>
      <c r="H378" t="s">
        <v>23</v>
      </c>
      <c r="I378" t="s">
        <v>41</v>
      </c>
      <c r="J378" t="s">
        <v>31</v>
      </c>
      <c r="K378" t="s">
        <v>59</v>
      </c>
      <c r="L378" t="s">
        <v>67</v>
      </c>
      <c r="M378" s="8">
        <v>19</v>
      </c>
      <c r="N378" s="10">
        <v>95</v>
      </c>
      <c r="O378" s="10">
        <v>1750.85</v>
      </c>
      <c r="P378" s="10">
        <v>1064</v>
      </c>
      <c r="Q378" s="2">
        <v>686.85</v>
      </c>
      <c r="R378" s="3">
        <v>0.03</v>
      </c>
      <c r="S378" t="s">
        <v>38</v>
      </c>
      <c r="T378" s="2">
        <v>61.09</v>
      </c>
    </row>
    <row r="379" spans="1:20" x14ac:dyDescent="0.25">
      <c r="A379">
        <v>100378</v>
      </c>
      <c r="B379" s="6">
        <v>45079</v>
      </c>
      <c r="C379">
        <v>2023</v>
      </c>
      <c r="D379" t="s">
        <v>20</v>
      </c>
      <c r="E379">
        <v>6</v>
      </c>
      <c r="F379" t="s">
        <v>48</v>
      </c>
      <c r="G379" t="s">
        <v>22</v>
      </c>
      <c r="H379" t="s">
        <v>23</v>
      </c>
      <c r="I379" t="s">
        <v>71</v>
      </c>
      <c r="J379" t="s">
        <v>42</v>
      </c>
      <c r="K379" t="s">
        <v>59</v>
      </c>
      <c r="L379" t="s">
        <v>60</v>
      </c>
      <c r="M379" s="8">
        <v>74</v>
      </c>
      <c r="N379" s="10">
        <v>45</v>
      </c>
      <c r="O379" s="10">
        <v>3163.5</v>
      </c>
      <c r="P379" s="10">
        <v>1998</v>
      </c>
      <c r="Q379" s="2">
        <v>1165.5</v>
      </c>
      <c r="R379" s="3">
        <v>0.05</v>
      </c>
      <c r="S379" t="s">
        <v>28</v>
      </c>
      <c r="T379" s="2">
        <v>77.39</v>
      </c>
    </row>
    <row r="380" spans="1:20" x14ac:dyDescent="0.25">
      <c r="A380">
        <v>100379</v>
      </c>
      <c r="B380" s="6">
        <v>45030</v>
      </c>
      <c r="C380">
        <v>2023</v>
      </c>
      <c r="D380" t="s">
        <v>20</v>
      </c>
      <c r="E380">
        <v>4</v>
      </c>
      <c r="F380" t="s">
        <v>34</v>
      </c>
      <c r="G380" t="s">
        <v>22</v>
      </c>
      <c r="H380" t="s">
        <v>23</v>
      </c>
      <c r="I380" t="s">
        <v>65</v>
      </c>
      <c r="J380" t="s">
        <v>61</v>
      </c>
      <c r="K380" t="s">
        <v>32</v>
      </c>
      <c r="L380" t="s">
        <v>33</v>
      </c>
      <c r="M380" s="8">
        <v>10</v>
      </c>
      <c r="N380" s="10">
        <v>60</v>
      </c>
      <c r="O380" s="10">
        <v>600</v>
      </c>
      <c r="P380" s="10">
        <v>380</v>
      </c>
      <c r="Q380" s="2">
        <v>220</v>
      </c>
      <c r="R380" s="3">
        <v>0</v>
      </c>
      <c r="S380" t="s">
        <v>28</v>
      </c>
      <c r="T380" s="2">
        <v>13.13</v>
      </c>
    </row>
    <row r="381" spans="1:20" x14ac:dyDescent="0.25">
      <c r="A381">
        <v>100380</v>
      </c>
      <c r="B381" s="6">
        <v>45689</v>
      </c>
      <c r="C381">
        <v>2025</v>
      </c>
      <c r="D381" t="s">
        <v>63</v>
      </c>
      <c r="E381">
        <v>2</v>
      </c>
      <c r="F381" t="s">
        <v>81</v>
      </c>
      <c r="G381" t="s">
        <v>45</v>
      </c>
      <c r="H381" t="s">
        <v>23</v>
      </c>
      <c r="I381" t="s">
        <v>46</v>
      </c>
      <c r="J381" t="s">
        <v>42</v>
      </c>
      <c r="K381" t="s">
        <v>32</v>
      </c>
      <c r="L381" t="s">
        <v>33</v>
      </c>
      <c r="M381" s="8">
        <v>15</v>
      </c>
      <c r="N381" s="10">
        <v>60</v>
      </c>
      <c r="O381" s="10">
        <v>855</v>
      </c>
      <c r="P381" s="10">
        <v>570</v>
      </c>
      <c r="Q381" s="2">
        <v>285</v>
      </c>
      <c r="R381" s="3">
        <v>0.05</v>
      </c>
      <c r="S381" t="s">
        <v>57</v>
      </c>
      <c r="T381" s="2">
        <v>20.22</v>
      </c>
    </row>
    <row r="382" spans="1:20" x14ac:dyDescent="0.25">
      <c r="A382">
        <v>100381</v>
      </c>
      <c r="B382" s="6">
        <v>45101</v>
      </c>
      <c r="C382">
        <v>2023</v>
      </c>
      <c r="D382" t="s">
        <v>20</v>
      </c>
      <c r="E382">
        <v>6</v>
      </c>
      <c r="F382" t="s">
        <v>48</v>
      </c>
      <c r="G382" t="s">
        <v>45</v>
      </c>
      <c r="H382" t="s">
        <v>23</v>
      </c>
      <c r="I382" t="s">
        <v>90</v>
      </c>
      <c r="J382" t="s">
        <v>50</v>
      </c>
      <c r="K382" t="s">
        <v>59</v>
      </c>
      <c r="L382" t="s">
        <v>60</v>
      </c>
      <c r="M382" s="8">
        <v>24</v>
      </c>
      <c r="N382" s="10">
        <v>45</v>
      </c>
      <c r="O382" s="10">
        <v>1047.5999999999999</v>
      </c>
      <c r="P382" s="10">
        <v>648</v>
      </c>
      <c r="Q382" s="2">
        <v>399.6</v>
      </c>
      <c r="R382" s="3">
        <v>0.03</v>
      </c>
      <c r="S382" t="s">
        <v>38</v>
      </c>
      <c r="T382" s="2">
        <v>38.03</v>
      </c>
    </row>
    <row r="383" spans="1:20" x14ac:dyDescent="0.25">
      <c r="A383">
        <v>100382</v>
      </c>
      <c r="B383" s="6">
        <v>45777</v>
      </c>
      <c r="C383">
        <v>2025</v>
      </c>
      <c r="D383" t="s">
        <v>20</v>
      </c>
      <c r="E383">
        <v>4</v>
      </c>
      <c r="F383" t="s">
        <v>34</v>
      </c>
      <c r="G383" t="s">
        <v>22</v>
      </c>
      <c r="H383" t="s">
        <v>23</v>
      </c>
      <c r="I383" t="s">
        <v>65</v>
      </c>
      <c r="J383" t="s">
        <v>54</v>
      </c>
      <c r="K383" t="s">
        <v>32</v>
      </c>
      <c r="L383" t="s">
        <v>33</v>
      </c>
      <c r="M383" s="8">
        <v>67</v>
      </c>
      <c r="N383" s="10">
        <v>60</v>
      </c>
      <c r="O383" s="10">
        <v>3819</v>
      </c>
      <c r="P383" s="10">
        <v>2546</v>
      </c>
      <c r="Q383" s="2">
        <v>1273</v>
      </c>
      <c r="R383" s="3">
        <v>0.05</v>
      </c>
      <c r="S383" t="s">
        <v>38</v>
      </c>
      <c r="T383" s="2">
        <v>234.41</v>
      </c>
    </row>
    <row r="384" spans="1:20" x14ac:dyDescent="0.25">
      <c r="A384">
        <v>100383</v>
      </c>
      <c r="B384" s="6">
        <v>45851</v>
      </c>
      <c r="C384">
        <v>2025</v>
      </c>
      <c r="D384" t="s">
        <v>39</v>
      </c>
      <c r="E384">
        <v>7</v>
      </c>
      <c r="F384" t="s">
        <v>75</v>
      </c>
      <c r="G384" t="s">
        <v>22</v>
      </c>
      <c r="H384" t="s">
        <v>23</v>
      </c>
      <c r="I384" t="s">
        <v>41</v>
      </c>
      <c r="J384" t="s">
        <v>31</v>
      </c>
      <c r="K384" t="s">
        <v>59</v>
      </c>
      <c r="L384" t="s">
        <v>60</v>
      </c>
      <c r="M384" s="8">
        <v>92</v>
      </c>
      <c r="N384" s="10">
        <v>45</v>
      </c>
      <c r="O384" s="10">
        <v>4015.8</v>
      </c>
      <c r="P384" s="10">
        <v>2484</v>
      </c>
      <c r="Q384" s="2">
        <v>1531.8</v>
      </c>
      <c r="R384" s="3">
        <v>0.03</v>
      </c>
      <c r="S384" t="s">
        <v>28</v>
      </c>
      <c r="T384" s="2">
        <v>128.44999999999999</v>
      </c>
    </row>
    <row r="385" spans="1:20" x14ac:dyDescent="0.25">
      <c r="A385">
        <v>100384</v>
      </c>
      <c r="B385" s="6">
        <v>45451</v>
      </c>
      <c r="C385">
        <v>2024</v>
      </c>
      <c r="D385" t="s">
        <v>20</v>
      </c>
      <c r="E385">
        <v>6</v>
      </c>
      <c r="F385" t="s">
        <v>48</v>
      </c>
      <c r="G385" t="s">
        <v>29</v>
      </c>
      <c r="H385" t="s">
        <v>23</v>
      </c>
      <c r="I385" t="s">
        <v>49</v>
      </c>
      <c r="J385" t="s">
        <v>50</v>
      </c>
      <c r="K385" t="s">
        <v>26</v>
      </c>
      <c r="L385" t="s">
        <v>69</v>
      </c>
      <c r="M385" s="8">
        <v>89</v>
      </c>
      <c r="N385" s="10">
        <v>130</v>
      </c>
      <c r="O385" s="10">
        <v>11570</v>
      </c>
      <c r="P385" s="10">
        <v>6764</v>
      </c>
      <c r="Q385" s="2">
        <v>4806</v>
      </c>
      <c r="R385" s="3">
        <v>0</v>
      </c>
      <c r="S385" t="s">
        <v>57</v>
      </c>
      <c r="T385" s="2">
        <v>724.18</v>
      </c>
    </row>
    <row r="386" spans="1:20" x14ac:dyDescent="0.25">
      <c r="A386">
        <v>100385</v>
      </c>
      <c r="B386" s="6">
        <v>45354</v>
      </c>
      <c r="C386">
        <v>2024</v>
      </c>
      <c r="D386" t="s">
        <v>63</v>
      </c>
      <c r="E386">
        <v>3</v>
      </c>
      <c r="F386" t="s">
        <v>64</v>
      </c>
      <c r="G386" t="s">
        <v>22</v>
      </c>
      <c r="H386" t="s">
        <v>23</v>
      </c>
      <c r="I386" t="s">
        <v>41</v>
      </c>
      <c r="J386" t="s">
        <v>31</v>
      </c>
      <c r="K386" t="s">
        <v>55</v>
      </c>
      <c r="L386" t="s">
        <v>89</v>
      </c>
      <c r="M386" s="8">
        <v>66</v>
      </c>
      <c r="N386" s="10">
        <v>280</v>
      </c>
      <c r="O386" s="10">
        <v>17556</v>
      </c>
      <c r="P386" s="10">
        <v>13530</v>
      </c>
      <c r="Q386" s="2">
        <v>4026</v>
      </c>
      <c r="R386" s="3">
        <v>0.05</v>
      </c>
      <c r="S386" t="s">
        <v>28</v>
      </c>
      <c r="T386" s="2">
        <v>505.19</v>
      </c>
    </row>
    <row r="387" spans="1:20" x14ac:dyDescent="0.25">
      <c r="A387">
        <v>100386</v>
      </c>
      <c r="B387" s="6">
        <v>45941</v>
      </c>
      <c r="C387">
        <v>2025</v>
      </c>
      <c r="D387" t="s">
        <v>43</v>
      </c>
      <c r="E387">
        <v>10</v>
      </c>
      <c r="F387" t="s">
        <v>44</v>
      </c>
      <c r="G387" t="s">
        <v>22</v>
      </c>
      <c r="H387" t="s">
        <v>23</v>
      </c>
      <c r="I387" t="s">
        <v>24</v>
      </c>
      <c r="J387" t="s">
        <v>66</v>
      </c>
      <c r="K387" t="s">
        <v>32</v>
      </c>
      <c r="L387" t="s">
        <v>47</v>
      </c>
      <c r="M387" s="8">
        <v>81</v>
      </c>
      <c r="N387" s="10">
        <v>180</v>
      </c>
      <c r="O387" s="10">
        <v>14580</v>
      </c>
      <c r="P387" s="10">
        <v>9315</v>
      </c>
      <c r="Q387" s="2">
        <v>5265</v>
      </c>
      <c r="R387" s="3">
        <v>0</v>
      </c>
      <c r="S387" t="s">
        <v>38</v>
      </c>
      <c r="T387" s="2">
        <v>658.83</v>
      </c>
    </row>
    <row r="388" spans="1:20" x14ac:dyDescent="0.25">
      <c r="A388">
        <v>100387</v>
      </c>
      <c r="B388" s="6">
        <v>45066</v>
      </c>
      <c r="C388">
        <v>2023</v>
      </c>
      <c r="D388" t="s">
        <v>20</v>
      </c>
      <c r="E388">
        <v>5</v>
      </c>
      <c r="F388" t="s">
        <v>21</v>
      </c>
      <c r="G388" t="s">
        <v>45</v>
      </c>
      <c r="H388" t="s">
        <v>23</v>
      </c>
      <c r="I388" t="s">
        <v>88</v>
      </c>
      <c r="J388" t="s">
        <v>42</v>
      </c>
      <c r="K388" t="s">
        <v>51</v>
      </c>
      <c r="L388" t="s">
        <v>92</v>
      </c>
      <c r="M388" s="8">
        <v>87</v>
      </c>
      <c r="N388" s="10">
        <v>50</v>
      </c>
      <c r="O388" s="10">
        <v>4132.5</v>
      </c>
      <c r="P388" s="10">
        <v>2523</v>
      </c>
      <c r="Q388" s="2">
        <v>1609.5</v>
      </c>
      <c r="R388" s="3">
        <v>0.05</v>
      </c>
      <c r="S388" t="s">
        <v>38</v>
      </c>
      <c r="T388" s="2">
        <v>118.16</v>
      </c>
    </row>
    <row r="389" spans="1:20" x14ac:dyDescent="0.25">
      <c r="A389">
        <v>100388</v>
      </c>
      <c r="B389" s="6">
        <v>44945</v>
      </c>
      <c r="C389">
        <v>2023</v>
      </c>
      <c r="D389" t="s">
        <v>63</v>
      </c>
      <c r="E389">
        <v>1</v>
      </c>
      <c r="F389" t="s">
        <v>79</v>
      </c>
      <c r="G389" t="s">
        <v>35</v>
      </c>
      <c r="H389" t="s">
        <v>23</v>
      </c>
      <c r="I389" t="s">
        <v>77</v>
      </c>
      <c r="J389" t="s">
        <v>50</v>
      </c>
      <c r="K389" t="s">
        <v>32</v>
      </c>
      <c r="L389" t="s">
        <v>33</v>
      </c>
      <c r="M389" s="8">
        <v>56</v>
      </c>
      <c r="N389" s="10">
        <v>60</v>
      </c>
      <c r="O389" s="10">
        <v>3259.2</v>
      </c>
      <c r="P389" s="10">
        <v>2128</v>
      </c>
      <c r="Q389" s="2">
        <v>1131.2</v>
      </c>
      <c r="R389" s="3">
        <v>0.03</v>
      </c>
      <c r="S389" t="s">
        <v>57</v>
      </c>
      <c r="T389" s="2">
        <v>224.93</v>
      </c>
    </row>
    <row r="390" spans="1:20" x14ac:dyDescent="0.25">
      <c r="A390">
        <v>100389</v>
      </c>
      <c r="B390" s="6">
        <v>45141</v>
      </c>
      <c r="C390">
        <v>2023</v>
      </c>
      <c r="D390" t="s">
        <v>39</v>
      </c>
      <c r="E390">
        <v>8</v>
      </c>
      <c r="F390" t="s">
        <v>58</v>
      </c>
      <c r="G390" t="s">
        <v>35</v>
      </c>
      <c r="H390" t="s">
        <v>23</v>
      </c>
      <c r="I390" t="s">
        <v>53</v>
      </c>
      <c r="J390" t="s">
        <v>42</v>
      </c>
      <c r="K390" t="s">
        <v>51</v>
      </c>
      <c r="L390" t="s">
        <v>76</v>
      </c>
      <c r="M390" s="8">
        <v>38</v>
      </c>
      <c r="N390" s="10">
        <v>40</v>
      </c>
      <c r="O390" s="10">
        <v>1489.6</v>
      </c>
      <c r="P390" s="10">
        <v>874</v>
      </c>
      <c r="Q390" s="2">
        <v>615.6</v>
      </c>
      <c r="R390" s="3">
        <v>0.02</v>
      </c>
      <c r="S390" t="s">
        <v>28</v>
      </c>
      <c r="T390" s="2">
        <v>99.46</v>
      </c>
    </row>
    <row r="391" spans="1:20" x14ac:dyDescent="0.25">
      <c r="A391">
        <v>100390</v>
      </c>
      <c r="B391" s="6">
        <v>45144</v>
      </c>
      <c r="C391">
        <v>2023</v>
      </c>
      <c r="D391" t="s">
        <v>39</v>
      </c>
      <c r="E391">
        <v>8</v>
      </c>
      <c r="F391" t="s">
        <v>58</v>
      </c>
      <c r="G391" t="s">
        <v>35</v>
      </c>
      <c r="H391" t="s">
        <v>23</v>
      </c>
      <c r="I391" t="s">
        <v>77</v>
      </c>
      <c r="J391" t="s">
        <v>42</v>
      </c>
      <c r="K391" t="s">
        <v>55</v>
      </c>
      <c r="L391" t="s">
        <v>84</v>
      </c>
      <c r="M391" s="8">
        <v>15</v>
      </c>
      <c r="N391" s="10">
        <v>55</v>
      </c>
      <c r="O391" s="10">
        <v>800.25</v>
      </c>
      <c r="P391" s="10">
        <v>555</v>
      </c>
      <c r="Q391" s="2">
        <v>245.25</v>
      </c>
      <c r="R391" s="3">
        <v>0.03</v>
      </c>
      <c r="S391" t="s">
        <v>57</v>
      </c>
      <c r="T391" s="2">
        <v>55.09</v>
      </c>
    </row>
    <row r="392" spans="1:20" x14ac:dyDescent="0.25">
      <c r="A392">
        <v>100391</v>
      </c>
      <c r="B392" s="6">
        <v>45351</v>
      </c>
      <c r="C392">
        <v>2024</v>
      </c>
      <c r="D392" t="s">
        <v>63</v>
      </c>
      <c r="E392">
        <v>2</v>
      </c>
      <c r="F392" t="s">
        <v>81</v>
      </c>
      <c r="G392" t="s">
        <v>45</v>
      </c>
      <c r="H392" t="s">
        <v>23</v>
      </c>
      <c r="I392" t="s">
        <v>90</v>
      </c>
      <c r="J392" t="s">
        <v>31</v>
      </c>
      <c r="K392" t="s">
        <v>59</v>
      </c>
      <c r="L392" t="s">
        <v>67</v>
      </c>
      <c r="M392" s="8">
        <v>140</v>
      </c>
      <c r="N392" s="10">
        <v>95</v>
      </c>
      <c r="O392" s="10">
        <v>13034</v>
      </c>
      <c r="P392" s="10">
        <v>7840</v>
      </c>
      <c r="Q392" s="2">
        <v>5194</v>
      </c>
      <c r="R392" s="3">
        <v>0.02</v>
      </c>
      <c r="S392" t="s">
        <v>70</v>
      </c>
      <c r="T392" s="2">
        <v>541.79</v>
      </c>
    </row>
    <row r="393" spans="1:20" x14ac:dyDescent="0.25">
      <c r="A393">
        <v>100392</v>
      </c>
      <c r="B393" s="6">
        <v>45512</v>
      </c>
      <c r="C393">
        <v>2024</v>
      </c>
      <c r="D393" t="s">
        <v>39</v>
      </c>
      <c r="E393">
        <v>8</v>
      </c>
      <c r="F393" t="s">
        <v>58</v>
      </c>
      <c r="G393" t="s">
        <v>35</v>
      </c>
      <c r="H393" t="s">
        <v>23</v>
      </c>
      <c r="I393" t="s">
        <v>36</v>
      </c>
      <c r="J393" t="s">
        <v>50</v>
      </c>
      <c r="K393" t="s">
        <v>32</v>
      </c>
      <c r="L393" t="s">
        <v>74</v>
      </c>
      <c r="M393" s="8">
        <v>48</v>
      </c>
      <c r="N393" s="10">
        <v>25</v>
      </c>
      <c r="O393" s="10">
        <v>1200</v>
      </c>
      <c r="P393" s="10">
        <v>672</v>
      </c>
      <c r="Q393" s="2">
        <v>528</v>
      </c>
      <c r="R393" s="3">
        <v>0</v>
      </c>
      <c r="S393" t="s">
        <v>38</v>
      </c>
      <c r="T393" s="2">
        <v>79.08</v>
      </c>
    </row>
    <row r="394" spans="1:20" x14ac:dyDescent="0.25">
      <c r="A394">
        <v>100393</v>
      </c>
      <c r="B394" s="6">
        <v>45876</v>
      </c>
      <c r="C394">
        <v>2025</v>
      </c>
      <c r="D394" t="s">
        <v>39</v>
      </c>
      <c r="E394">
        <v>8</v>
      </c>
      <c r="F394" t="s">
        <v>58</v>
      </c>
      <c r="G394" t="s">
        <v>29</v>
      </c>
      <c r="H394" t="s">
        <v>23</v>
      </c>
      <c r="I394" t="s">
        <v>49</v>
      </c>
      <c r="J394" t="s">
        <v>66</v>
      </c>
      <c r="K394" t="s">
        <v>51</v>
      </c>
      <c r="L394" t="s">
        <v>52</v>
      </c>
      <c r="M394" s="8">
        <v>120</v>
      </c>
      <c r="N394" s="10">
        <v>75</v>
      </c>
      <c r="O394" s="10">
        <v>8730</v>
      </c>
      <c r="P394" s="10">
        <v>5280</v>
      </c>
      <c r="Q394" s="2">
        <v>3450</v>
      </c>
      <c r="R394" s="3">
        <v>0.03</v>
      </c>
      <c r="S394" t="s">
        <v>28</v>
      </c>
      <c r="T394" s="2">
        <v>439.03</v>
      </c>
    </row>
    <row r="395" spans="1:20" x14ac:dyDescent="0.25">
      <c r="A395">
        <v>100394</v>
      </c>
      <c r="B395" s="6">
        <v>44999</v>
      </c>
      <c r="C395">
        <v>2023</v>
      </c>
      <c r="D395" t="s">
        <v>63</v>
      </c>
      <c r="E395">
        <v>3</v>
      </c>
      <c r="F395" t="s">
        <v>64</v>
      </c>
      <c r="G395" t="s">
        <v>45</v>
      </c>
      <c r="H395" t="s">
        <v>23</v>
      </c>
      <c r="I395" t="s">
        <v>62</v>
      </c>
      <c r="J395" t="s">
        <v>50</v>
      </c>
      <c r="K395" t="s">
        <v>59</v>
      </c>
      <c r="L395" t="s">
        <v>60</v>
      </c>
      <c r="M395" s="8">
        <v>109</v>
      </c>
      <c r="N395" s="10">
        <v>45</v>
      </c>
      <c r="O395" s="10">
        <v>4806.8999999999996</v>
      </c>
      <c r="P395" s="10">
        <v>2943</v>
      </c>
      <c r="Q395" s="2">
        <v>1863.9</v>
      </c>
      <c r="R395" s="3">
        <v>0.02</v>
      </c>
      <c r="S395" t="s">
        <v>28</v>
      </c>
      <c r="T395" s="2">
        <v>72.64</v>
      </c>
    </row>
    <row r="396" spans="1:20" x14ac:dyDescent="0.25">
      <c r="A396">
        <v>100395</v>
      </c>
      <c r="B396" s="6">
        <v>45192</v>
      </c>
      <c r="C396">
        <v>2023</v>
      </c>
      <c r="D396" t="s">
        <v>39</v>
      </c>
      <c r="E396">
        <v>9</v>
      </c>
      <c r="F396" t="s">
        <v>40</v>
      </c>
      <c r="G396" t="s">
        <v>45</v>
      </c>
      <c r="H396" t="s">
        <v>23</v>
      </c>
      <c r="I396" t="s">
        <v>90</v>
      </c>
      <c r="J396" t="s">
        <v>50</v>
      </c>
      <c r="K396" t="s">
        <v>32</v>
      </c>
      <c r="L396" t="s">
        <v>74</v>
      </c>
      <c r="M396" s="8">
        <v>57</v>
      </c>
      <c r="N396" s="10">
        <v>25</v>
      </c>
      <c r="O396" s="10">
        <v>1425</v>
      </c>
      <c r="P396" s="10">
        <v>798</v>
      </c>
      <c r="Q396" s="2">
        <v>627</v>
      </c>
      <c r="R396" s="3">
        <v>0</v>
      </c>
      <c r="S396" t="s">
        <v>57</v>
      </c>
      <c r="T396" s="2">
        <v>81.900000000000006</v>
      </c>
    </row>
    <row r="397" spans="1:20" x14ac:dyDescent="0.25">
      <c r="A397">
        <v>100396</v>
      </c>
      <c r="B397" s="6">
        <v>44951</v>
      </c>
      <c r="C397">
        <v>2023</v>
      </c>
      <c r="D397" t="s">
        <v>63</v>
      </c>
      <c r="E397">
        <v>1</v>
      </c>
      <c r="F397" t="s">
        <v>79</v>
      </c>
      <c r="G397" t="s">
        <v>45</v>
      </c>
      <c r="H397" t="s">
        <v>23</v>
      </c>
      <c r="I397" t="s">
        <v>62</v>
      </c>
      <c r="J397" t="s">
        <v>25</v>
      </c>
      <c r="K397" t="s">
        <v>59</v>
      </c>
      <c r="L397" t="s">
        <v>60</v>
      </c>
      <c r="M397" s="8">
        <v>77</v>
      </c>
      <c r="N397" s="10">
        <v>45</v>
      </c>
      <c r="O397" s="10">
        <v>3118.5</v>
      </c>
      <c r="P397" s="10">
        <v>2079</v>
      </c>
      <c r="Q397" s="2">
        <v>1039.5</v>
      </c>
      <c r="R397" s="3">
        <v>0.1</v>
      </c>
      <c r="S397" t="s">
        <v>28</v>
      </c>
      <c r="T397" s="2">
        <v>139.74</v>
      </c>
    </row>
    <row r="398" spans="1:20" x14ac:dyDescent="0.25">
      <c r="A398">
        <v>100397</v>
      </c>
      <c r="B398" s="6">
        <v>44972</v>
      </c>
      <c r="C398">
        <v>2023</v>
      </c>
      <c r="D398" t="s">
        <v>63</v>
      </c>
      <c r="E398">
        <v>2</v>
      </c>
      <c r="F398" t="s">
        <v>81</v>
      </c>
      <c r="G398" t="s">
        <v>35</v>
      </c>
      <c r="H398" t="s">
        <v>23</v>
      </c>
      <c r="I398" t="s">
        <v>80</v>
      </c>
      <c r="J398" t="s">
        <v>25</v>
      </c>
      <c r="K398" t="s">
        <v>26</v>
      </c>
      <c r="L398" t="s">
        <v>82</v>
      </c>
      <c r="M398" s="8">
        <v>83</v>
      </c>
      <c r="N398" s="10">
        <v>105</v>
      </c>
      <c r="O398" s="10">
        <v>8715</v>
      </c>
      <c r="P398" s="10">
        <v>5063</v>
      </c>
      <c r="Q398" s="2">
        <v>3652</v>
      </c>
      <c r="R398" s="3">
        <v>0</v>
      </c>
      <c r="S398" t="s">
        <v>28</v>
      </c>
      <c r="T398" s="2">
        <v>338.55</v>
      </c>
    </row>
    <row r="399" spans="1:20" x14ac:dyDescent="0.25">
      <c r="A399">
        <v>100398</v>
      </c>
      <c r="B399" s="6">
        <v>45293</v>
      </c>
      <c r="C399">
        <v>2024</v>
      </c>
      <c r="D399" t="s">
        <v>63</v>
      </c>
      <c r="E399">
        <v>1</v>
      </c>
      <c r="F399" t="s">
        <v>79</v>
      </c>
      <c r="G399" t="s">
        <v>22</v>
      </c>
      <c r="H399" t="s">
        <v>23</v>
      </c>
      <c r="I399" t="s">
        <v>65</v>
      </c>
      <c r="J399" t="s">
        <v>68</v>
      </c>
      <c r="K399" t="s">
        <v>51</v>
      </c>
      <c r="L399" t="s">
        <v>92</v>
      </c>
      <c r="M399" s="8">
        <v>101</v>
      </c>
      <c r="N399" s="10">
        <v>50</v>
      </c>
      <c r="O399" s="10">
        <v>4797.5</v>
      </c>
      <c r="P399" s="10">
        <v>2929</v>
      </c>
      <c r="Q399" s="2">
        <v>1868.5</v>
      </c>
      <c r="R399" s="3">
        <v>0.05</v>
      </c>
      <c r="S399" t="s">
        <v>57</v>
      </c>
      <c r="T399" s="2">
        <v>240.22</v>
      </c>
    </row>
    <row r="400" spans="1:20" x14ac:dyDescent="0.25">
      <c r="A400">
        <v>100399</v>
      </c>
      <c r="B400" s="6">
        <v>44965</v>
      </c>
      <c r="C400">
        <v>2023</v>
      </c>
      <c r="D400" t="s">
        <v>63</v>
      </c>
      <c r="E400">
        <v>2</v>
      </c>
      <c r="F400" t="s">
        <v>81</v>
      </c>
      <c r="G400" t="s">
        <v>45</v>
      </c>
      <c r="H400" t="s">
        <v>23</v>
      </c>
      <c r="I400" t="s">
        <v>46</v>
      </c>
      <c r="J400" t="s">
        <v>66</v>
      </c>
      <c r="K400" t="s">
        <v>55</v>
      </c>
      <c r="L400" t="s">
        <v>56</v>
      </c>
      <c r="M400" s="8">
        <v>56</v>
      </c>
      <c r="N400" s="10">
        <v>320</v>
      </c>
      <c r="O400" s="10">
        <v>17920</v>
      </c>
      <c r="P400" s="10">
        <v>13160</v>
      </c>
      <c r="Q400" s="2">
        <v>4760</v>
      </c>
      <c r="R400" s="3">
        <v>0</v>
      </c>
      <c r="S400" t="s">
        <v>38</v>
      </c>
      <c r="T400" s="2">
        <v>619.65</v>
      </c>
    </row>
    <row r="401" spans="1:20" x14ac:dyDescent="0.25">
      <c r="A401">
        <v>100400</v>
      </c>
      <c r="B401" s="6">
        <v>45870</v>
      </c>
      <c r="C401">
        <v>2025</v>
      </c>
      <c r="D401" t="s">
        <v>39</v>
      </c>
      <c r="E401">
        <v>8</v>
      </c>
      <c r="F401" t="s">
        <v>58</v>
      </c>
      <c r="G401" t="s">
        <v>35</v>
      </c>
      <c r="H401" t="s">
        <v>23</v>
      </c>
      <c r="I401" t="s">
        <v>80</v>
      </c>
      <c r="J401" t="s">
        <v>68</v>
      </c>
      <c r="K401" t="s">
        <v>51</v>
      </c>
      <c r="L401" t="s">
        <v>76</v>
      </c>
      <c r="M401" s="8">
        <v>71</v>
      </c>
      <c r="N401" s="10">
        <v>40</v>
      </c>
      <c r="O401" s="10">
        <v>2698</v>
      </c>
      <c r="P401" s="10">
        <v>1633</v>
      </c>
      <c r="Q401" s="2">
        <v>1065</v>
      </c>
      <c r="R401" s="3">
        <v>0.05</v>
      </c>
      <c r="S401" t="s">
        <v>38</v>
      </c>
      <c r="T401" s="2">
        <v>140.32</v>
      </c>
    </row>
    <row r="402" spans="1:20" x14ac:dyDescent="0.25">
      <c r="A402">
        <v>100401</v>
      </c>
      <c r="B402" s="6">
        <v>45565</v>
      </c>
      <c r="C402">
        <v>2024</v>
      </c>
      <c r="D402" t="s">
        <v>39</v>
      </c>
      <c r="E402">
        <v>9</v>
      </c>
      <c r="F402" t="s">
        <v>40</v>
      </c>
      <c r="G402" t="s">
        <v>22</v>
      </c>
      <c r="H402" t="s">
        <v>23</v>
      </c>
      <c r="I402" t="s">
        <v>65</v>
      </c>
      <c r="J402" t="s">
        <v>31</v>
      </c>
      <c r="K402" t="s">
        <v>55</v>
      </c>
      <c r="L402" t="s">
        <v>93</v>
      </c>
      <c r="M402" s="8">
        <v>140</v>
      </c>
      <c r="N402" s="10">
        <v>60</v>
      </c>
      <c r="O402" s="10">
        <v>7980</v>
      </c>
      <c r="P402" s="10">
        <v>5880</v>
      </c>
      <c r="Q402" s="2">
        <v>2100</v>
      </c>
      <c r="R402" s="3">
        <v>0.05</v>
      </c>
      <c r="S402" t="s">
        <v>28</v>
      </c>
      <c r="T402" s="2">
        <v>445.75</v>
      </c>
    </row>
    <row r="403" spans="1:20" x14ac:dyDescent="0.25">
      <c r="A403">
        <v>100402</v>
      </c>
      <c r="B403" s="6">
        <v>45617</v>
      </c>
      <c r="C403">
        <v>2024</v>
      </c>
      <c r="D403" t="s">
        <v>43</v>
      </c>
      <c r="E403">
        <v>11</v>
      </c>
      <c r="F403" t="s">
        <v>87</v>
      </c>
      <c r="G403" t="s">
        <v>35</v>
      </c>
      <c r="H403" t="s">
        <v>23</v>
      </c>
      <c r="I403" t="s">
        <v>36</v>
      </c>
      <c r="J403" t="s">
        <v>50</v>
      </c>
      <c r="K403" t="s">
        <v>51</v>
      </c>
      <c r="L403" t="s">
        <v>92</v>
      </c>
      <c r="M403" s="8">
        <v>143</v>
      </c>
      <c r="N403" s="10">
        <v>50</v>
      </c>
      <c r="O403" s="10">
        <v>6792.5</v>
      </c>
      <c r="P403" s="10">
        <v>4147</v>
      </c>
      <c r="Q403" s="2">
        <v>2645.5</v>
      </c>
      <c r="R403" s="3">
        <v>0.05</v>
      </c>
      <c r="S403" t="s">
        <v>38</v>
      </c>
      <c r="T403" s="2">
        <v>226.52</v>
      </c>
    </row>
    <row r="404" spans="1:20" x14ac:dyDescent="0.25">
      <c r="A404">
        <v>100403</v>
      </c>
      <c r="B404" s="6">
        <v>45475</v>
      </c>
      <c r="C404">
        <v>2024</v>
      </c>
      <c r="D404" t="s">
        <v>39</v>
      </c>
      <c r="E404">
        <v>7</v>
      </c>
      <c r="F404" t="s">
        <v>75</v>
      </c>
      <c r="G404" t="s">
        <v>45</v>
      </c>
      <c r="H404" t="s">
        <v>23</v>
      </c>
      <c r="I404" t="s">
        <v>88</v>
      </c>
      <c r="J404" t="s">
        <v>50</v>
      </c>
      <c r="K404" t="s">
        <v>26</v>
      </c>
      <c r="L404" t="s">
        <v>27</v>
      </c>
      <c r="M404" s="8">
        <v>11</v>
      </c>
      <c r="N404" s="10">
        <v>110</v>
      </c>
      <c r="O404" s="10">
        <v>1149.5</v>
      </c>
      <c r="P404" s="10">
        <v>748</v>
      </c>
      <c r="Q404" s="2">
        <v>401.5</v>
      </c>
      <c r="R404" s="3">
        <v>0.05</v>
      </c>
      <c r="S404" t="s">
        <v>57</v>
      </c>
      <c r="T404" s="2">
        <v>32.950000000000003</v>
      </c>
    </row>
    <row r="405" spans="1:20" x14ac:dyDescent="0.25">
      <c r="A405">
        <v>100404</v>
      </c>
      <c r="B405" s="6">
        <v>45606</v>
      </c>
      <c r="C405">
        <v>2024</v>
      </c>
      <c r="D405" t="s">
        <v>43</v>
      </c>
      <c r="E405">
        <v>11</v>
      </c>
      <c r="F405" t="s">
        <v>87</v>
      </c>
      <c r="G405" t="s">
        <v>29</v>
      </c>
      <c r="H405" t="s">
        <v>23</v>
      </c>
      <c r="I405" t="s">
        <v>85</v>
      </c>
      <c r="J405" t="s">
        <v>66</v>
      </c>
      <c r="K405" t="s">
        <v>59</v>
      </c>
      <c r="L405" t="s">
        <v>60</v>
      </c>
      <c r="M405" s="8">
        <v>88</v>
      </c>
      <c r="N405" s="10">
        <v>45</v>
      </c>
      <c r="O405" s="10">
        <v>3960</v>
      </c>
      <c r="P405" s="10">
        <v>2376</v>
      </c>
      <c r="Q405" s="2">
        <v>1584</v>
      </c>
      <c r="R405" s="3">
        <v>0</v>
      </c>
      <c r="S405" t="s">
        <v>57</v>
      </c>
      <c r="T405" s="2">
        <v>239.03</v>
      </c>
    </row>
    <row r="406" spans="1:20" x14ac:dyDescent="0.25">
      <c r="A406">
        <v>100405</v>
      </c>
      <c r="B406" s="6">
        <v>45698</v>
      </c>
      <c r="C406">
        <v>2025</v>
      </c>
      <c r="D406" t="s">
        <v>63</v>
      </c>
      <c r="E406">
        <v>2</v>
      </c>
      <c r="F406" t="s">
        <v>81</v>
      </c>
      <c r="G406" t="s">
        <v>35</v>
      </c>
      <c r="H406" t="s">
        <v>23</v>
      </c>
      <c r="I406" t="s">
        <v>80</v>
      </c>
      <c r="J406" t="s">
        <v>42</v>
      </c>
      <c r="K406" t="s">
        <v>51</v>
      </c>
      <c r="L406" t="s">
        <v>52</v>
      </c>
      <c r="M406" s="8">
        <v>63</v>
      </c>
      <c r="N406" s="10">
        <v>75</v>
      </c>
      <c r="O406" s="10">
        <v>4725</v>
      </c>
      <c r="P406" s="10">
        <v>2772</v>
      </c>
      <c r="Q406" s="2">
        <v>1953</v>
      </c>
      <c r="R406" s="3">
        <v>0</v>
      </c>
      <c r="S406" t="s">
        <v>57</v>
      </c>
      <c r="T406" s="2">
        <v>125.46</v>
      </c>
    </row>
    <row r="407" spans="1:20" x14ac:dyDescent="0.25">
      <c r="A407">
        <v>100406</v>
      </c>
      <c r="B407" s="6">
        <v>45900</v>
      </c>
      <c r="C407">
        <v>2025</v>
      </c>
      <c r="D407" t="s">
        <v>39</v>
      </c>
      <c r="E407">
        <v>8</v>
      </c>
      <c r="F407" t="s">
        <v>58</v>
      </c>
      <c r="G407" t="s">
        <v>35</v>
      </c>
      <c r="H407" t="s">
        <v>23</v>
      </c>
      <c r="I407" t="s">
        <v>36</v>
      </c>
      <c r="J407" t="s">
        <v>42</v>
      </c>
      <c r="K407" t="s">
        <v>51</v>
      </c>
      <c r="L407" t="s">
        <v>76</v>
      </c>
      <c r="M407" s="8">
        <v>47</v>
      </c>
      <c r="N407" s="10">
        <v>40</v>
      </c>
      <c r="O407" s="10">
        <v>1880</v>
      </c>
      <c r="P407" s="10">
        <v>1081</v>
      </c>
      <c r="Q407" s="2">
        <v>799</v>
      </c>
      <c r="R407" s="3">
        <v>0</v>
      </c>
      <c r="S407" t="s">
        <v>38</v>
      </c>
      <c r="T407" s="2">
        <v>81.599999999999994</v>
      </c>
    </row>
    <row r="408" spans="1:20" x14ac:dyDescent="0.25">
      <c r="A408">
        <v>100407</v>
      </c>
      <c r="B408" s="6">
        <v>44947</v>
      </c>
      <c r="C408">
        <v>2023</v>
      </c>
      <c r="D408" t="s">
        <v>63</v>
      </c>
      <c r="E408">
        <v>1</v>
      </c>
      <c r="F408" t="s">
        <v>79</v>
      </c>
      <c r="G408" t="s">
        <v>35</v>
      </c>
      <c r="H408" t="s">
        <v>23</v>
      </c>
      <c r="I408" t="s">
        <v>53</v>
      </c>
      <c r="J408" t="s">
        <v>42</v>
      </c>
      <c r="K408" t="s">
        <v>26</v>
      </c>
      <c r="L408" t="s">
        <v>69</v>
      </c>
      <c r="M408" s="8">
        <v>93</v>
      </c>
      <c r="N408" s="10">
        <v>130</v>
      </c>
      <c r="O408" s="10">
        <v>11727.3</v>
      </c>
      <c r="P408" s="10">
        <v>7068</v>
      </c>
      <c r="Q408" s="2">
        <v>4659.3</v>
      </c>
      <c r="R408" s="3">
        <v>0.03</v>
      </c>
      <c r="S408" t="s">
        <v>38</v>
      </c>
      <c r="T408" s="2">
        <v>695.68</v>
      </c>
    </row>
    <row r="409" spans="1:20" x14ac:dyDescent="0.25">
      <c r="A409">
        <v>100408</v>
      </c>
      <c r="B409" s="6">
        <v>45209</v>
      </c>
      <c r="C409">
        <v>2023</v>
      </c>
      <c r="D409" t="s">
        <v>43</v>
      </c>
      <c r="E409">
        <v>10</v>
      </c>
      <c r="F409" t="s">
        <v>44</v>
      </c>
      <c r="G409" t="s">
        <v>29</v>
      </c>
      <c r="H409" t="s">
        <v>23</v>
      </c>
      <c r="I409" t="s">
        <v>85</v>
      </c>
      <c r="J409" t="s">
        <v>42</v>
      </c>
      <c r="K409" t="s">
        <v>59</v>
      </c>
      <c r="L409" t="s">
        <v>60</v>
      </c>
      <c r="M409" s="8">
        <v>70</v>
      </c>
      <c r="N409" s="10">
        <v>45</v>
      </c>
      <c r="O409" s="10">
        <v>3087</v>
      </c>
      <c r="P409" s="10">
        <v>1890</v>
      </c>
      <c r="Q409" s="2">
        <v>1197</v>
      </c>
      <c r="R409" s="3">
        <v>0.02</v>
      </c>
      <c r="S409" t="s">
        <v>57</v>
      </c>
      <c r="T409" s="2">
        <v>186.98</v>
      </c>
    </row>
    <row r="410" spans="1:20" x14ac:dyDescent="0.25">
      <c r="A410">
        <v>100409</v>
      </c>
      <c r="B410" s="6">
        <v>45470</v>
      </c>
      <c r="C410">
        <v>2024</v>
      </c>
      <c r="D410" t="s">
        <v>20</v>
      </c>
      <c r="E410">
        <v>6</v>
      </c>
      <c r="F410" t="s">
        <v>48</v>
      </c>
      <c r="G410" t="s">
        <v>22</v>
      </c>
      <c r="H410" t="s">
        <v>23</v>
      </c>
      <c r="I410" t="s">
        <v>65</v>
      </c>
      <c r="J410" t="s">
        <v>42</v>
      </c>
      <c r="K410" t="s">
        <v>26</v>
      </c>
      <c r="L410" t="s">
        <v>78</v>
      </c>
      <c r="M410" s="8">
        <v>115</v>
      </c>
      <c r="N410" s="10">
        <v>95</v>
      </c>
      <c r="O410" s="10">
        <v>10706.5</v>
      </c>
      <c r="P410" s="10">
        <v>6670</v>
      </c>
      <c r="Q410" s="2">
        <v>4036.5</v>
      </c>
      <c r="R410" s="3">
        <v>0.02</v>
      </c>
      <c r="S410" t="s">
        <v>38</v>
      </c>
      <c r="T410" s="2">
        <v>297.08999999999997</v>
      </c>
    </row>
    <row r="411" spans="1:20" x14ac:dyDescent="0.25">
      <c r="A411">
        <v>100410</v>
      </c>
      <c r="B411" s="6">
        <v>45063</v>
      </c>
      <c r="C411">
        <v>2023</v>
      </c>
      <c r="D411" t="s">
        <v>20</v>
      </c>
      <c r="E411">
        <v>5</v>
      </c>
      <c r="F411" t="s">
        <v>21</v>
      </c>
      <c r="G411" t="s">
        <v>35</v>
      </c>
      <c r="H411" t="s">
        <v>23</v>
      </c>
      <c r="I411" t="s">
        <v>53</v>
      </c>
      <c r="J411" t="s">
        <v>50</v>
      </c>
      <c r="K411" t="s">
        <v>26</v>
      </c>
      <c r="L411" t="s">
        <v>69</v>
      </c>
      <c r="M411" s="8">
        <v>127</v>
      </c>
      <c r="N411" s="10">
        <v>130</v>
      </c>
      <c r="O411" s="10">
        <v>15684.5</v>
      </c>
      <c r="P411" s="10">
        <v>9652</v>
      </c>
      <c r="Q411" s="2">
        <v>6032.5</v>
      </c>
      <c r="R411" s="3">
        <v>0.05</v>
      </c>
      <c r="S411" t="s">
        <v>28</v>
      </c>
      <c r="T411" s="2">
        <v>998.17</v>
      </c>
    </row>
    <row r="412" spans="1:20" x14ac:dyDescent="0.25">
      <c r="A412">
        <v>100411</v>
      </c>
      <c r="B412" s="6">
        <v>45340</v>
      </c>
      <c r="C412">
        <v>2024</v>
      </c>
      <c r="D412" t="s">
        <v>63</v>
      </c>
      <c r="E412">
        <v>2</v>
      </c>
      <c r="F412" t="s">
        <v>81</v>
      </c>
      <c r="G412" t="s">
        <v>45</v>
      </c>
      <c r="H412" t="s">
        <v>23</v>
      </c>
      <c r="I412" t="s">
        <v>90</v>
      </c>
      <c r="J412" t="s">
        <v>54</v>
      </c>
      <c r="K412" t="s">
        <v>59</v>
      </c>
      <c r="L412" t="s">
        <v>60</v>
      </c>
      <c r="M412" s="8">
        <v>96</v>
      </c>
      <c r="N412" s="10">
        <v>45</v>
      </c>
      <c r="O412" s="10">
        <v>4320</v>
      </c>
      <c r="P412" s="10">
        <v>2592</v>
      </c>
      <c r="Q412" s="2">
        <v>1728</v>
      </c>
      <c r="R412" s="3">
        <v>0</v>
      </c>
      <c r="S412" t="s">
        <v>70</v>
      </c>
      <c r="T412" s="2">
        <v>229.68</v>
      </c>
    </row>
    <row r="413" spans="1:20" x14ac:dyDescent="0.25">
      <c r="A413">
        <v>100412</v>
      </c>
      <c r="B413" s="6">
        <v>45995</v>
      </c>
      <c r="C413">
        <v>2025</v>
      </c>
      <c r="D413" t="s">
        <v>43</v>
      </c>
      <c r="E413">
        <v>12</v>
      </c>
      <c r="F413" t="s">
        <v>83</v>
      </c>
      <c r="G413" t="s">
        <v>45</v>
      </c>
      <c r="H413" t="s">
        <v>23</v>
      </c>
      <c r="I413" t="s">
        <v>90</v>
      </c>
      <c r="J413" t="s">
        <v>66</v>
      </c>
      <c r="K413" t="s">
        <v>32</v>
      </c>
      <c r="L413" t="s">
        <v>33</v>
      </c>
      <c r="M413" s="8">
        <v>143</v>
      </c>
      <c r="N413" s="10">
        <v>60</v>
      </c>
      <c r="O413" s="10">
        <v>8151</v>
      </c>
      <c r="P413" s="10">
        <v>5434</v>
      </c>
      <c r="Q413" s="2">
        <v>2717</v>
      </c>
      <c r="R413" s="3">
        <v>0.05</v>
      </c>
      <c r="S413" t="s">
        <v>38</v>
      </c>
      <c r="T413" s="2">
        <v>255.32</v>
      </c>
    </row>
    <row r="414" spans="1:20" x14ac:dyDescent="0.25">
      <c r="A414">
        <v>100413</v>
      </c>
      <c r="B414" s="6">
        <v>45647</v>
      </c>
      <c r="C414">
        <v>2024</v>
      </c>
      <c r="D414" t="s">
        <v>43</v>
      </c>
      <c r="E414">
        <v>12</v>
      </c>
      <c r="F414" t="s">
        <v>83</v>
      </c>
      <c r="G414" t="s">
        <v>35</v>
      </c>
      <c r="H414" t="s">
        <v>23</v>
      </c>
      <c r="I414" t="s">
        <v>53</v>
      </c>
      <c r="J414" t="s">
        <v>50</v>
      </c>
      <c r="K414" t="s">
        <v>26</v>
      </c>
      <c r="L414" t="s">
        <v>69</v>
      </c>
      <c r="M414" s="8">
        <v>131</v>
      </c>
      <c r="N414" s="10">
        <v>130</v>
      </c>
      <c r="O414" s="10">
        <v>16689.400000000001</v>
      </c>
      <c r="P414" s="10">
        <v>9956</v>
      </c>
      <c r="Q414" s="2">
        <v>6733.4</v>
      </c>
      <c r="R414" s="3">
        <v>0.02</v>
      </c>
      <c r="S414" t="s">
        <v>38</v>
      </c>
      <c r="T414" s="2">
        <v>347.04</v>
      </c>
    </row>
    <row r="415" spans="1:20" x14ac:dyDescent="0.25">
      <c r="A415">
        <v>100414</v>
      </c>
      <c r="B415" s="6">
        <v>45961</v>
      </c>
      <c r="C415">
        <v>2025</v>
      </c>
      <c r="D415" t="s">
        <v>43</v>
      </c>
      <c r="E415">
        <v>10</v>
      </c>
      <c r="F415" t="s">
        <v>44</v>
      </c>
      <c r="G415" t="s">
        <v>35</v>
      </c>
      <c r="H415" t="s">
        <v>23</v>
      </c>
      <c r="I415" t="s">
        <v>53</v>
      </c>
      <c r="J415" t="s">
        <v>50</v>
      </c>
      <c r="K415" t="s">
        <v>32</v>
      </c>
      <c r="L415" t="s">
        <v>33</v>
      </c>
      <c r="M415" s="8">
        <v>136</v>
      </c>
      <c r="N415" s="10">
        <v>60</v>
      </c>
      <c r="O415" s="10">
        <v>7996.8</v>
      </c>
      <c r="P415" s="10">
        <v>5168</v>
      </c>
      <c r="Q415" s="2">
        <v>2828.8</v>
      </c>
      <c r="R415" s="3">
        <v>0.02</v>
      </c>
      <c r="S415" t="s">
        <v>70</v>
      </c>
      <c r="T415" s="2">
        <v>216.52</v>
      </c>
    </row>
    <row r="416" spans="1:20" x14ac:dyDescent="0.25">
      <c r="A416">
        <v>100415</v>
      </c>
      <c r="B416" s="6">
        <v>45289</v>
      </c>
      <c r="C416">
        <v>2023</v>
      </c>
      <c r="D416" t="s">
        <v>43</v>
      </c>
      <c r="E416">
        <v>12</v>
      </c>
      <c r="F416" t="s">
        <v>83</v>
      </c>
      <c r="G416" t="s">
        <v>45</v>
      </c>
      <c r="H416" t="s">
        <v>23</v>
      </c>
      <c r="I416" t="s">
        <v>46</v>
      </c>
      <c r="J416" t="s">
        <v>68</v>
      </c>
      <c r="K416" t="s">
        <v>51</v>
      </c>
      <c r="L416" t="s">
        <v>76</v>
      </c>
      <c r="M416" s="8">
        <v>28</v>
      </c>
      <c r="N416" s="10">
        <v>40</v>
      </c>
      <c r="O416" s="10">
        <v>1064</v>
      </c>
      <c r="P416" s="10">
        <v>644</v>
      </c>
      <c r="Q416" s="2">
        <v>420</v>
      </c>
      <c r="R416" s="3">
        <v>0.05</v>
      </c>
      <c r="S416" t="s">
        <v>38</v>
      </c>
      <c r="T416" s="2">
        <v>40.06</v>
      </c>
    </row>
    <row r="417" spans="1:20" x14ac:dyDescent="0.25">
      <c r="A417">
        <v>100416</v>
      </c>
      <c r="B417" s="6">
        <v>45872</v>
      </c>
      <c r="C417">
        <v>2025</v>
      </c>
      <c r="D417" t="s">
        <v>39</v>
      </c>
      <c r="E417">
        <v>8</v>
      </c>
      <c r="F417" t="s">
        <v>58</v>
      </c>
      <c r="G417" t="s">
        <v>35</v>
      </c>
      <c r="H417" t="s">
        <v>23</v>
      </c>
      <c r="I417" t="s">
        <v>53</v>
      </c>
      <c r="J417" t="s">
        <v>42</v>
      </c>
      <c r="K417" t="s">
        <v>59</v>
      </c>
      <c r="L417" t="s">
        <v>60</v>
      </c>
      <c r="M417" s="8">
        <v>102</v>
      </c>
      <c r="N417" s="10">
        <v>45</v>
      </c>
      <c r="O417" s="10">
        <v>4452.3</v>
      </c>
      <c r="P417" s="10">
        <v>2754</v>
      </c>
      <c r="Q417" s="2">
        <v>1698.3</v>
      </c>
      <c r="R417" s="3">
        <v>0.03</v>
      </c>
      <c r="S417" t="s">
        <v>70</v>
      </c>
      <c r="T417" s="2">
        <v>95.04</v>
      </c>
    </row>
    <row r="418" spans="1:20" x14ac:dyDescent="0.25">
      <c r="A418">
        <v>100417</v>
      </c>
      <c r="B418" s="6">
        <v>45851</v>
      </c>
      <c r="C418">
        <v>2025</v>
      </c>
      <c r="D418" t="s">
        <v>39</v>
      </c>
      <c r="E418">
        <v>7</v>
      </c>
      <c r="F418" t="s">
        <v>75</v>
      </c>
      <c r="G418" t="s">
        <v>22</v>
      </c>
      <c r="H418" t="s">
        <v>23</v>
      </c>
      <c r="I418" t="s">
        <v>65</v>
      </c>
      <c r="J418" t="s">
        <v>25</v>
      </c>
      <c r="K418" t="s">
        <v>55</v>
      </c>
      <c r="L418" t="s">
        <v>93</v>
      </c>
      <c r="M418" s="8">
        <v>80</v>
      </c>
      <c r="N418" s="10">
        <v>60</v>
      </c>
      <c r="O418" s="10">
        <v>4800</v>
      </c>
      <c r="P418" s="10">
        <v>3360</v>
      </c>
      <c r="Q418" s="2">
        <v>1440</v>
      </c>
      <c r="R418" s="3">
        <v>0</v>
      </c>
      <c r="S418" t="s">
        <v>38</v>
      </c>
      <c r="T418" s="2">
        <v>273.91000000000003</v>
      </c>
    </row>
    <row r="419" spans="1:20" x14ac:dyDescent="0.25">
      <c r="A419">
        <v>100418</v>
      </c>
      <c r="B419" s="6">
        <v>45743</v>
      </c>
      <c r="C419">
        <v>2025</v>
      </c>
      <c r="D419" t="s">
        <v>63</v>
      </c>
      <c r="E419">
        <v>3</v>
      </c>
      <c r="F419" t="s">
        <v>64</v>
      </c>
      <c r="G419" t="s">
        <v>22</v>
      </c>
      <c r="H419" t="s">
        <v>23</v>
      </c>
      <c r="I419" t="s">
        <v>71</v>
      </c>
      <c r="J419" t="s">
        <v>25</v>
      </c>
      <c r="K419" t="s">
        <v>26</v>
      </c>
      <c r="L419" t="s">
        <v>78</v>
      </c>
      <c r="M419" s="8">
        <v>26</v>
      </c>
      <c r="N419" s="10">
        <v>95</v>
      </c>
      <c r="O419" s="10">
        <v>2272.4</v>
      </c>
      <c r="P419" s="10">
        <v>1508</v>
      </c>
      <c r="Q419" s="2">
        <v>764.4</v>
      </c>
      <c r="R419" s="3">
        <v>0.08</v>
      </c>
      <c r="S419" t="s">
        <v>70</v>
      </c>
      <c r="T419" s="2">
        <v>118.23</v>
      </c>
    </row>
    <row r="420" spans="1:20" x14ac:dyDescent="0.25">
      <c r="A420">
        <v>100419</v>
      </c>
      <c r="B420" s="6">
        <v>45342</v>
      </c>
      <c r="C420">
        <v>2024</v>
      </c>
      <c r="D420" t="s">
        <v>63</v>
      </c>
      <c r="E420">
        <v>2</v>
      </c>
      <c r="F420" t="s">
        <v>81</v>
      </c>
      <c r="G420" t="s">
        <v>35</v>
      </c>
      <c r="H420" t="s">
        <v>23</v>
      </c>
      <c r="I420" t="s">
        <v>80</v>
      </c>
      <c r="J420" t="s">
        <v>42</v>
      </c>
      <c r="K420" t="s">
        <v>55</v>
      </c>
      <c r="L420" t="s">
        <v>84</v>
      </c>
      <c r="M420" s="8">
        <v>82</v>
      </c>
      <c r="N420" s="10">
        <v>55</v>
      </c>
      <c r="O420" s="10">
        <v>4374.7</v>
      </c>
      <c r="P420" s="10">
        <v>3034</v>
      </c>
      <c r="Q420" s="2">
        <v>1340.7</v>
      </c>
      <c r="R420" s="3">
        <v>0.03</v>
      </c>
      <c r="S420" t="s">
        <v>28</v>
      </c>
      <c r="T420" s="2">
        <v>266.8</v>
      </c>
    </row>
    <row r="421" spans="1:20" x14ac:dyDescent="0.25">
      <c r="A421">
        <v>100420</v>
      </c>
      <c r="B421" s="6">
        <v>45351</v>
      </c>
      <c r="C421">
        <v>2024</v>
      </c>
      <c r="D421" t="s">
        <v>63</v>
      </c>
      <c r="E421">
        <v>2</v>
      </c>
      <c r="F421" t="s">
        <v>81</v>
      </c>
      <c r="G421" t="s">
        <v>22</v>
      </c>
      <c r="H421" t="s">
        <v>23</v>
      </c>
      <c r="I421" t="s">
        <v>65</v>
      </c>
      <c r="J421" t="s">
        <v>54</v>
      </c>
      <c r="K421" t="s">
        <v>51</v>
      </c>
      <c r="L421" t="s">
        <v>92</v>
      </c>
      <c r="M421" s="8">
        <v>92</v>
      </c>
      <c r="N421" s="10">
        <v>50</v>
      </c>
      <c r="O421" s="10">
        <v>4232</v>
      </c>
      <c r="P421" s="10">
        <v>2668</v>
      </c>
      <c r="Q421" s="2">
        <v>1564</v>
      </c>
      <c r="R421" s="3">
        <v>0.08</v>
      </c>
      <c r="S421" t="s">
        <v>70</v>
      </c>
      <c r="T421" s="2">
        <v>157.65</v>
      </c>
    </row>
    <row r="422" spans="1:20" x14ac:dyDescent="0.25">
      <c r="A422">
        <v>100421</v>
      </c>
      <c r="B422" s="6">
        <v>45868</v>
      </c>
      <c r="C422">
        <v>2025</v>
      </c>
      <c r="D422" t="s">
        <v>39</v>
      </c>
      <c r="E422">
        <v>7</v>
      </c>
      <c r="F422" t="s">
        <v>75</v>
      </c>
      <c r="G422" t="s">
        <v>35</v>
      </c>
      <c r="H422" t="s">
        <v>23</v>
      </c>
      <c r="I422" t="s">
        <v>77</v>
      </c>
      <c r="J422" t="s">
        <v>66</v>
      </c>
      <c r="K422" t="s">
        <v>26</v>
      </c>
      <c r="L422" t="s">
        <v>69</v>
      </c>
      <c r="M422" s="8">
        <v>137</v>
      </c>
      <c r="N422" s="10">
        <v>130</v>
      </c>
      <c r="O422" s="10">
        <v>17453.8</v>
      </c>
      <c r="P422" s="10">
        <v>10412</v>
      </c>
      <c r="Q422" s="2">
        <v>7041.8</v>
      </c>
      <c r="R422" s="3">
        <v>0.02</v>
      </c>
      <c r="S422" t="s">
        <v>70</v>
      </c>
      <c r="T422" s="2">
        <v>326.10000000000002</v>
      </c>
    </row>
    <row r="423" spans="1:20" x14ac:dyDescent="0.25">
      <c r="A423">
        <v>100422</v>
      </c>
      <c r="B423" s="6">
        <v>45677</v>
      </c>
      <c r="C423">
        <v>2025</v>
      </c>
      <c r="D423" t="s">
        <v>63</v>
      </c>
      <c r="E423">
        <v>1</v>
      </c>
      <c r="F423" t="s">
        <v>79</v>
      </c>
      <c r="G423" t="s">
        <v>45</v>
      </c>
      <c r="H423" t="s">
        <v>23</v>
      </c>
      <c r="I423" t="s">
        <v>62</v>
      </c>
      <c r="J423" t="s">
        <v>68</v>
      </c>
      <c r="K423" t="s">
        <v>55</v>
      </c>
      <c r="L423" t="s">
        <v>56</v>
      </c>
      <c r="M423" s="8">
        <v>125</v>
      </c>
      <c r="N423" s="10">
        <v>320</v>
      </c>
      <c r="O423" s="10">
        <v>38000</v>
      </c>
      <c r="P423" s="10">
        <v>29375</v>
      </c>
      <c r="Q423" s="2">
        <v>8625</v>
      </c>
      <c r="R423" s="3">
        <v>0.05</v>
      </c>
      <c r="S423" t="s">
        <v>70</v>
      </c>
      <c r="T423" s="2">
        <v>724.88</v>
      </c>
    </row>
    <row r="424" spans="1:20" x14ac:dyDescent="0.25">
      <c r="A424">
        <v>100423</v>
      </c>
      <c r="B424" s="6">
        <v>45261</v>
      </c>
      <c r="C424">
        <v>2023</v>
      </c>
      <c r="D424" t="s">
        <v>43</v>
      </c>
      <c r="E424">
        <v>12</v>
      </c>
      <c r="F424" t="s">
        <v>83</v>
      </c>
      <c r="G424" t="s">
        <v>29</v>
      </c>
      <c r="H424" t="s">
        <v>23</v>
      </c>
      <c r="I424" t="s">
        <v>49</v>
      </c>
      <c r="J424" t="s">
        <v>31</v>
      </c>
      <c r="K424" t="s">
        <v>55</v>
      </c>
      <c r="L424" t="s">
        <v>84</v>
      </c>
      <c r="M424" s="8">
        <v>76</v>
      </c>
      <c r="N424" s="10">
        <v>55</v>
      </c>
      <c r="O424" s="10">
        <v>4096.3999999999996</v>
      </c>
      <c r="P424" s="10">
        <v>2812</v>
      </c>
      <c r="Q424" s="2">
        <v>1284.4000000000001</v>
      </c>
      <c r="R424" s="3">
        <v>0.02</v>
      </c>
      <c r="S424" t="s">
        <v>70</v>
      </c>
      <c r="T424" s="2">
        <v>140.41999999999999</v>
      </c>
    </row>
    <row r="425" spans="1:20" x14ac:dyDescent="0.25">
      <c r="A425">
        <v>100424</v>
      </c>
      <c r="B425" s="6">
        <v>45877</v>
      </c>
      <c r="C425">
        <v>2025</v>
      </c>
      <c r="D425" t="s">
        <v>39</v>
      </c>
      <c r="E425">
        <v>8</v>
      </c>
      <c r="F425" t="s">
        <v>58</v>
      </c>
      <c r="G425" t="s">
        <v>35</v>
      </c>
      <c r="H425" t="s">
        <v>23</v>
      </c>
      <c r="I425" t="s">
        <v>80</v>
      </c>
      <c r="J425" t="s">
        <v>25</v>
      </c>
      <c r="K425" t="s">
        <v>59</v>
      </c>
      <c r="L425" t="s">
        <v>91</v>
      </c>
      <c r="M425" s="8">
        <v>84</v>
      </c>
      <c r="N425" s="10">
        <v>140</v>
      </c>
      <c r="O425" s="10">
        <v>11172</v>
      </c>
      <c r="P425" s="10">
        <v>6888</v>
      </c>
      <c r="Q425" s="2">
        <v>4284</v>
      </c>
      <c r="R425" s="3">
        <v>0.05</v>
      </c>
      <c r="S425" t="s">
        <v>38</v>
      </c>
      <c r="T425" s="2">
        <v>603.09</v>
      </c>
    </row>
    <row r="426" spans="1:20" x14ac:dyDescent="0.25">
      <c r="A426">
        <v>100425</v>
      </c>
      <c r="B426" s="6">
        <v>45824</v>
      </c>
      <c r="C426">
        <v>2025</v>
      </c>
      <c r="D426" t="s">
        <v>20</v>
      </c>
      <c r="E426">
        <v>6</v>
      </c>
      <c r="F426" t="s">
        <v>48</v>
      </c>
      <c r="G426" t="s">
        <v>35</v>
      </c>
      <c r="H426" t="s">
        <v>23</v>
      </c>
      <c r="I426" t="s">
        <v>80</v>
      </c>
      <c r="J426" t="s">
        <v>31</v>
      </c>
      <c r="K426" t="s">
        <v>59</v>
      </c>
      <c r="L426" t="s">
        <v>91</v>
      </c>
      <c r="M426" s="8">
        <v>133</v>
      </c>
      <c r="N426" s="10">
        <v>140</v>
      </c>
      <c r="O426" s="10">
        <v>18620</v>
      </c>
      <c r="P426" s="10">
        <v>10906</v>
      </c>
      <c r="Q426" s="2">
        <v>7714</v>
      </c>
      <c r="R426" s="3">
        <v>0</v>
      </c>
      <c r="S426" t="s">
        <v>38</v>
      </c>
      <c r="T426" s="2">
        <v>385.48</v>
      </c>
    </row>
    <row r="427" spans="1:20" x14ac:dyDescent="0.25">
      <c r="A427">
        <v>100426</v>
      </c>
      <c r="B427" s="6">
        <v>45176</v>
      </c>
      <c r="C427">
        <v>2023</v>
      </c>
      <c r="D427" t="s">
        <v>39</v>
      </c>
      <c r="E427">
        <v>9</v>
      </c>
      <c r="F427" t="s">
        <v>40</v>
      </c>
      <c r="G427" t="s">
        <v>35</v>
      </c>
      <c r="H427" t="s">
        <v>23</v>
      </c>
      <c r="I427" t="s">
        <v>77</v>
      </c>
      <c r="J427" t="s">
        <v>25</v>
      </c>
      <c r="K427" t="s">
        <v>59</v>
      </c>
      <c r="L427" t="s">
        <v>86</v>
      </c>
      <c r="M427" s="8">
        <v>48</v>
      </c>
      <c r="N427" s="10">
        <v>160</v>
      </c>
      <c r="O427" s="10">
        <v>7296</v>
      </c>
      <c r="P427" s="10">
        <v>4560</v>
      </c>
      <c r="Q427" s="2">
        <v>2736</v>
      </c>
      <c r="R427" s="3">
        <v>0.05</v>
      </c>
      <c r="S427" t="s">
        <v>57</v>
      </c>
      <c r="T427" s="2">
        <v>413.81</v>
      </c>
    </row>
    <row r="428" spans="1:20" x14ac:dyDescent="0.25">
      <c r="A428">
        <v>100427</v>
      </c>
      <c r="B428" s="6">
        <v>44970</v>
      </c>
      <c r="C428">
        <v>2023</v>
      </c>
      <c r="D428" t="s">
        <v>63</v>
      </c>
      <c r="E428">
        <v>2</v>
      </c>
      <c r="F428" t="s">
        <v>81</v>
      </c>
      <c r="G428" t="s">
        <v>45</v>
      </c>
      <c r="H428" t="s">
        <v>23</v>
      </c>
      <c r="I428" t="s">
        <v>90</v>
      </c>
      <c r="J428" t="s">
        <v>42</v>
      </c>
      <c r="K428" t="s">
        <v>32</v>
      </c>
      <c r="L428" t="s">
        <v>37</v>
      </c>
      <c r="M428" s="8">
        <v>136</v>
      </c>
      <c r="N428" s="10">
        <v>120</v>
      </c>
      <c r="O428" s="10">
        <v>15014.4</v>
      </c>
      <c r="P428" s="10">
        <v>10608</v>
      </c>
      <c r="Q428" s="2">
        <v>4406.3999999999996</v>
      </c>
      <c r="R428" s="3">
        <v>0.08</v>
      </c>
      <c r="S428" t="s">
        <v>38</v>
      </c>
      <c r="T428" s="2">
        <v>844.54</v>
      </c>
    </row>
    <row r="429" spans="1:20" x14ac:dyDescent="0.25">
      <c r="A429">
        <v>100428</v>
      </c>
      <c r="B429" s="6">
        <v>45917</v>
      </c>
      <c r="C429">
        <v>2025</v>
      </c>
      <c r="D429" t="s">
        <v>39</v>
      </c>
      <c r="E429">
        <v>9</v>
      </c>
      <c r="F429" t="s">
        <v>40</v>
      </c>
      <c r="G429" t="s">
        <v>22</v>
      </c>
      <c r="H429" t="s">
        <v>23</v>
      </c>
      <c r="I429" t="s">
        <v>71</v>
      </c>
      <c r="J429" t="s">
        <v>61</v>
      </c>
      <c r="K429" t="s">
        <v>59</v>
      </c>
      <c r="L429" t="s">
        <v>91</v>
      </c>
      <c r="M429" s="8">
        <v>71</v>
      </c>
      <c r="N429" s="10">
        <v>140</v>
      </c>
      <c r="O429" s="10">
        <v>9940</v>
      </c>
      <c r="P429" s="10">
        <v>5822</v>
      </c>
      <c r="Q429" s="2">
        <v>4118</v>
      </c>
      <c r="R429" s="3">
        <v>0</v>
      </c>
      <c r="S429" t="s">
        <v>57</v>
      </c>
      <c r="T429" s="2">
        <v>408.19</v>
      </c>
    </row>
    <row r="430" spans="1:20" x14ac:dyDescent="0.25">
      <c r="A430">
        <v>100429</v>
      </c>
      <c r="B430" s="6">
        <v>45454</v>
      </c>
      <c r="C430">
        <v>2024</v>
      </c>
      <c r="D430" t="s">
        <v>20</v>
      </c>
      <c r="E430">
        <v>6</v>
      </c>
      <c r="F430" t="s">
        <v>48</v>
      </c>
      <c r="G430" t="s">
        <v>29</v>
      </c>
      <c r="H430" t="s">
        <v>23</v>
      </c>
      <c r="I430" t="s">
        <v>49</v>
      </c>
      <c r="J430" t="s">
        <v>50</v>
      </c>
      <c r="K430" t="s">
        <v>51</v>
      </c>
      <c r="L430" t="s">
        <v>72</v>
      </c>
      <c r="M430" s="8">
        <v>139</v>
      </c>
      <c r="N430" s="10">
        <v>90</v>
      </c>
      <c r="O430" s="10">
        <v>12134.7</v>
      </c>
      <c r="P430" s="10">
        <v>7228</v>
      </c>
      <c r="Q430" s="2">
        <v>4906.7</v>
      </c>
      <c r="R430" s="3">
        <v>0.03</v>
      </c>
      <c r="S430" t="s">
        <v>57</v>
      </c>
      <c r="T430" s="2">
        <v>787.92</v>
      </c>
    </row>
    <row r="431" spans="1:20" x14ac:dyDescent="0.25">
      <c r="A431">
        <v>100430</v>
      </c>
      <c r="B431" s="6">
        <v>45519</v>
      </c>
      <c r="C431">
        <v>2024</v>
      </c>
      <c r="D431" t="s">
        <v>39</v>
      </c>
      <c r="E431">
        <v>8</v>
      </c>
      <c r="F431" t="s">
        <v>58</v>
      </c>
      <c r="G431" t="s">
        <v>35</v>
      </c>
      <c r="H431" t="s">
        <v>23</v>
      </c>
      <c r="I431" t="s">
        <v>36</v>
      </c>
      <c r="J431" t="s">
        <v>42</v>
      </c>
      <c r="K431" t="s">
        <v>32</v>
      </c>
      <c r="L431" t="s">
        <v>74</v>
      </c>
      <c r="M431" s="8">
        <v>99</v>
      </c>
      <c r="N431" s="10">
        <v>25</v>
      </c>
      <c r="O431" s="10">
        <v>2400.75</v>
      </c>
      <c r="P431" s="10">
        <v>1386</v>
      </c>
      <c r="Q431" s="2">
        <v>1014.75</v>
      </c>
      <c r="R431" s="3">
        <v>0.03</v>
      </c>
      <c r="S431" t="s">
        <v>38</v>
      </c>
      <c r="T431" s="2">
        <v>162.57</v>
      </c>
    </row>
    <row r="432" spans="1:20" x14ac:dyDescent="0.25">
      <c r="A432">
        <v>100431</v>
      </c>
      <c r="B432" s="6">
        <v>45431</v>
      </c>
      <c r="C432">
        <v>2024</v>
      </c>
      <c r="D432" t="s">
        <v>20</v>
      </c>
      <c r="E432">
        <v>5</v>
      </c>
      <c r="F432" t="s">
        <v>21</v>
      </c>
      <c r="G432" t="s">
        <v>22</v>
      </c>
      <c r="H432" t="s">
        <v>23</v>
      </c>
      <c r="I432" t="s">
        <v>24</v>
      </c>
      <c r="J432" t="s">
        <v>50</v>
      </c>
      <c r="K432" t="s">
        <v>55</v>
      </c>
      <c r="L432" t="s">
        <v>84</v>
      </c>
      <c r="M432" s="8">
        <v>70</v>
      </c>
      <c r="N432" s="10">
        <v>55</v>
      </c>
      <c r="O432" s="10">
        <v>3773</v>
      </c>
      <c r="P432" s="10">
        <v>2590</v>
      </c>
      <c r="Q432" s="2">
        <v>1183</v>
      </c>
      <c r="R432" s="3">
        <v>0.02</v>
      </c>
      <c r="S432" t="s">
        <v>70</v>
      </c>
      <c r="T432" s="2">
        <v>112.52</v>
      </c>
    </row>
    <row r="433" spans="1:20" x14ac:dyDescent="0.25">
      <c r="A433">
        <v>100432</v>
      </c>
      <c r="B433" s="6">
        <v>45849</v>
      </c>
      <c r="C433">
        <v>2025</v>
      </c>
      <c r="D433" t="s">
        <v>39</v>
      </c>
      <c r="E433">
        <v>7</v>
      </c>
      <c r="F433" t="s">
        <v>75</v>
      </c>
      <c r="G433" t="s">
        <v>29</v>
      </c>
      <c r="H433" t="s">
        <v>23</v>
      </c>
      <c r="I433" t="s">
        <v>30</v>
      </c>
      <c r="J433" t="s">
        <v>31</v>
      </c>
      <c r="K433" t="s">
        <v>51</v>
      </c>
      <c r="L433" t="s">
        <v>52</v>
      </c>
      <c r="M433" s="8">
        <v>141</v>
      </c>
      <c r="N433" s="10">
        <v>75</v>
      </c>
      <c r="O433" s="10">
        <v>10257.75</v>
      </c>
      <c r="P433" s="10">
        <v>6204</v>
      </c>
      <c r="Q433" s="2">
        <v>4053.75</v>
      </c>
      <c r="R433" s="3">
        <v>0.03</v>
      </c>
      <c r="S433" t="s">
        <v>38</v>
      </c>
      <c r="T433" s="2">
        <v>708.62</v>
      </c>
    </row>
    <row r="434" spans="1:20" x14ac:dyDescent="0.25">
      <c r="A434">
        <v>100433</v>
      </c>
      <c r="B434" s="6">
        <v>45266</v>
      </c>
      <c r="C434">
        <v>2023</v>
      </c>
      <c r="D434" t="s">
        <v>43</v>
      </c>
      <c r="E434">
        <v>12</v>
      </c>
      <c r="F434" t="s">
        <v>83</v>
      </c>
      <c r="G434" t="s">
        <v>29</v>
      </c>
      <c r="H434" t="s">
        <v>23</v>
      </c>
      <c r="I434" t="s">
        <v>73</v>
      </c>
      <c r="J434" t="s">
        <v>31</v>
      </c>
      <c r="K434" t="s">
        <v>51</v>
      </c>
      <c r="L434" t="s">
        <v>92</v>
      </c>
      <c r="M434" s="8">
        <v>72</v>
      </c>
      <c r="N434" s="10">
        <v>50</v>
      </c>
      <c r="O434" s="10">
        <v>3528</v>
      </c>
      <c r="P434" s="10">
        <v>2088</v>
      </c>
      <c r="Q434" s="2">
        <v>1440</v>
      </c>
      <c r="R434" s="3">
        <v>0.02</v>
      </c>
      <c r="S434" t="s">
        <v>38</v>
      </c>
      <c r="T434" s="2">
        <v>133.49</v>
      </c>
    </row>
    <row r="435" spans="1:20" x14ac:dyDescent="0.25">
      <c r="A435">
        <v>100434</v>
      </c>
      <c r="B435" s="6">
        <v>45754</v>
      </c>
      <c r="C435">
        <v>2025</v>
      </c>
      <c r="D435" t="s">
        <v>20</v>
      </c>
      <c r="E435">
        <v>4</v>
      </c>
      <c r="F435" t="s">
        <v>34</v>
      </c>
      <c r="G435" t="s">
        <v>29</v>
      </c>
      <c r="H435" t="s">
        <v>23</v>
      </c>
      <c r="I435" t="s">
        <v>85</v>
      </c>
      <c r="J435" t="s">
        <v>54</v>
      </c>
      <c r="K435" t="s">
        <v>26</v>
      </c>
      <c r="L435" t="s">
        <v>78</v>
      </c>
      <c r="M435" s="8">
        <v>65</v>
      </c>
      <c r="N435" s="10">
        <v>95</v>
      </c>
      <c r="O435" s="10">
        <v>6051.5</v>
      </c>
      <c r="P435" s="10">
        <v>3770</v>
      </c>
      <c r="Q435" s="2">
        <v>2281.5</v>
      </c>
      <c r="R435" s="3">
        <v>0.02</v>
      </c>
      <c r="S435" t="s">
        <v>28</v>
      </c>
      <c r="T435" s="2">
        <v>261.92</v>
      </c>
    </row>
    <row r="436" spans="1:20" x14ac:dyDescent="0.25">
      <c r="A436">
        <v>100435</v>
      </c>
      <c r="B436" s="6">
        <v>45030</v>
      </c>
      <c r="C436">
        <v>2023</v>
      </c>
      <c r="D436" t="s">
        <v>20</v>
      </c>
      <c r="E436">
        <v>4</v>
      </c>
      <c r="F436" t="s">
        <v>34</v>
      </c>
      <c r="G436" t="s">
        <v>45</v>
      </c>
      <c r="H436" t="s">
        <v>23</v>
      </c>
      <c r="I436" t="s">
        <v>88</v>
      </c>
      <c r="J436" t="s">
        <v>66</v>
      </c>
      <c r="K436" t="s">
        <v>32</v>
      </c>
      <c r="L436" t="s">
        <v>47</v>
      </c>
      <c r="M436" s="8">
        <v>84</v>
      </c>
      <c r="N436" s="10">
        <v>180</v>
      </c>
      <c r="O436" s="10">
        <v>13910.4</v>
      </c>
      <c r="P436" s="10">
        <v>9660</v>
      </c>
      <c r="Q436" s="2">
        <v>4250.3999999999996</v>
      </c>
      <c r="R436" s="3">
        <v>0.08</v>
      </c>
      <c r="S436" t="s">
        <v>38</v>
      </c>
      <c r="T436" s="2">
        <v>749.44</v>
      </c>
    </row>
    <row r="437" spans="1:20" x14ac:dyDescent="0.25">
      <c r="A437">
        <v>100436</v>
      </c>
      <c r="B437" s="6">
        <v>45225</v>
      </c>
      <c r="C437">
        <v>2023</v>
      </c>
      <c r="D437" t="s">
        <v>43</v>
      </c>
      <c r="E437">
        <v>10</v>
      </c>
      <c r="F437" t="s">
        <v>44</v>
      </c>
      <c r="G437" t="s">
        <v>45</v>
      </c>
      <c r="H437" t="s">
        <v>23</v>
      </c>
      <c r="I437" t="s">
        <v>90</v>
      </c>
      <c r="J437" t="s">
        <v>31</v>
      </c>
      <c r="K437" t="s">
        <v>26</v>
      </c>
      <c r="L437" t="s">
        <v>27</v>
      </c>
      <c r="M437" s="8">
        <v>118</v>
      </c>
      <c r="N437" s="10">
        <v>110</v>
      </c>
      <c r="O437" s="10">
        <v>12590.6</v>
      </c>
      <c r="P437" s="10">
        <v>8024</v>
      </c>
      <c r="Q437" s="2">
        <v>4566.6000000000004</v>
      </c>
      <c r="R437" s="3">
        <v>0.03</v>
      </c>
      <c r="S437" t="s">
        <v>70</v>
      </c>
      <c r="T437" s="2">
        <v>584.38</v>
      </c>
    </row>
    <row r="438" spans="1:20" x14ac:dyDescent="0.25">
      <c r="A438">
        <v>100437</v>
      </c>
      <c r="B438" s="6">
        <v>45729</v>
      </c>
      <c r="C438">
        <v>2025</v>
      </c>
      <c r="D438" t="s">
        <v>63</v>
      </c>
      <c r="E438">
        <v>3</v>
      </c>
      <c r="F438" t="s">
        <v>64</v>
      </c>
      <c r="G438" t="s">
        <v>29</v>
      </c>
      <c r="H438" t="s">
        <v>23</v>
      </c>
      <c r="I438" t="s">
        <v>30</v>
      </c>
      <c r="J438" t="s">
        <v>54</v>
      </c>
      <c r="K438" t="s">
        <v>51</v>
      </c>
      <c r="L438" t="s">
        <v>52</v>
      </c>
      <c r="M438" s="8">
        <v>57</v>
      </c>
      <c r="N438" s="10">
        <v>75</v>
      </c>
      <c r="O438" s="10">
        <v>4189.5</v>
      </c>
      <c r="P438" s="10">
        <v>2508</v>
      </c>
      <c r="Q438" s="2">
        <v>1681.5</v>
      </c>
      <c r="R438" s="3">
        <v>0.02</v>
      </c>
      <c r="S438" t="s">
        <v>57</v>
      </c>
      <c r="T438" s="2">
        <v>66.47</v>
      </c>
    </row>
    <row r="439" spans="1:20" x14ac:dyDescent="0.25">
      <c r="A439">
        <v>100438</v>
      </c>
      <c r="B439" s="6">
        <v>45040</v>
      </c>
      <c r="C439">
        <v>2023</v>
      </c>
      <c r="D439" t="s">
        <v>20</v>
      </c>
      <c r="E439">
        <v>4</v>
      </c>
      <c r="F439" t="s">
        <v>34</v>
      </c>
      <c r="G439" t="s">
        <v>45</v>
      </c>
      <c r="H439" t="s">
        <v>23</v>
      </c>
      <c r="I439" t="s">
        <v>62</v>
      </c>
      <c r="J439" t="s">
        <v>61</v>
      </c>
      <c r="K439" t="s">
        <v>51</v>
      </c>
      <c r="L439" t="s">
        <v>52</v>
      </c>
      <c r="M439" s="8">
        <v>108</v>
      </c>
      <c r="N439" s="10">
        <v>75</v>
      </c>
      <c r="O439" s="10">
        <v>7290</v>
      </c>
      <c r="P439" s="10">
        <v>4752</v>
      </c>
      <c r="Q439" s="2">
        <v>2538</v>
      </c>
      <c r="R439" s="3">
        <v>0.1</v>
      </c>
      <c r="S439" t="s">
        <v>70</v>
      </c>
      <c r="T439" s="2">
        <v>275.67</v>
      </c>
    </row>
    <row r="440" spans="1:20" x14ac:dyDescent="0.25">
      <c r="A440">
        <v>100439</v>
      </c>
      <c r="B440" s="6">
        <v>45463</v>
      </c>
      <c r="C440">
        <v>2024</v>
      </c>
      <c r="D440" t="s">
        <v>20</v>
      </c>
      <c r="E440">
        <v>6</v>
      </c>
      <c r="F440" t="s">
        <v>48</v>
      </c>
      <c r="G440" t="s">
        <v>29</v>
      </c>
      <c r="H440" t="s">
        <v>23</v>
      </c>
      <c r="I440" t="s">
        <v>73</v>
      </c>
      <c r="J440" t="s">
        <v>31</v>
      </c>
      <c r="K440" t="s">
        <v>59</v>
      </c>
      <c r="L440" t="s">
        <v>67</v>
      </c>
      <c r="M440" s="8">
        <v>83</v>
      </c>
      <c r="N440" s="10">
        <v>95</v>
      </c>
      <c r="O440" s="10">
        <v>7885</v>
      </c>
      <c r="P440" s="10">
        <v>4648</v>
      </c>
      <c r="Q440" s="2">
        <v>3237</v>
      </c>
      <c r="R440" s="3">
        <v>0</v>
      </c>
      <c r="S440" t="s">
        <v>70</v>
      </c>
      <c r="T440" s="2">
        <v>369.3</v>
      </c>
    </row>
    <row r="441" spans="1:20" x14ac:dyDescent="0.25">
      <c r="A441">
        <v>100440</v>
      </c>
      <c r="B441" s="6">
        <v>45577</v>
      </c>
      <c r="C441">
        <v>2024</v>
      </c>
      <c r="D441" t="s">
        <v>43</v>
      </c>
      <c r="E441">
        <v>10</v>
      </c>
      <c r="F441" t="s">
        <v>44</v>
      </c>
      <c r="G441" t="s">
        <v>35</v>
      </c>
      <c r="H441" t="s">
        <v>23</v>
      </c>
      <c r="I441" t="s">
        <v>36</v>
      </c>
      <c r="J441" t="s">
        <v>68</v>
      </c>
      <c r="K441" t="s">
        <v>51</v>
      </c>
      <c r="L441" t="s">
        <v>92</v>
      </c>
      <c r="M441" s="8">
        <v>68</v>
      </c>
      <c r="N441" s="10">
        <v>50</v>
      </c>
      <c r="O441" s="10">
        <v>3298</v>
      </c>
      <c r="P441" s="10">
        <v>1972</v>
      </c>
      <c r="Q441" s="2">
        <v>1326</v>
      </c>
      <c r="R441" s="3">
        <v>0.03</v>
      </c>
      <c r="S441" t="s">
        <v>70</v>
      </c>
      <c r="T441" s="2">
        <v>129.84</v>
      </c>
    </row>
    <row r="442" spans="1:20" x14ac:dyDescent="0.25">
      <c r="A442">
        <v>100441</v>
      </c>
      <c r="B442" s="6">
        <v>45096</v>
      </c>
      <c r="C442">
        <v>2023</v>
      </c>
      <c r="D442" t="s">
        <v>20</v>
      </c>
      <c r="E442">
        <v>6</v>
      </c>
      <c r="F442" t="s">
        <v>48</v>
      </c>
      <c r="G442" t="s">
        <v>29</v>
      </c>
      <c r="H442" t="s">
        <v>23</v>
      </c>
      <c r="I442" t="s">
        <v>85</v>
      </c>
      <c r="J442" t="s">
        <v>54</v>
      </c>
      <c r="K442" t="s">
        <v>59</v>
      </c>
      <c r="L442" t="s">
        <v>67</v>
      </c>
      <c r="M442" s="8">
        <v>41</v>
      </c>
      <c r="N442" s="10">
        <v>95</v>
      </c>
      <c r="O442" s="10">
        <v>3778.15</v>
      </c>
      <c r="P442" s="10">
        <v>2296</v>
      </c>
      <c r="Q442" s="2">
        <v>1482.15</v>
      </c>
      <c r="R442" s="3">
        <v>0.03</v>
      </c>
      <c r="S442" t="s">
        <v>28</v>
      </c>
      <c r="T442" s="2">
        <v>196.89</v>
      </c>
    </row>
    <row r="443" spans="1:20" x14ac:dyDescent="0.25">
      <c r="A443">
        <v>100442</v>
      </c>
      <c r="B443" s="6">
        <v>45814</v>
      </c>
      <c r="C443">
        <v>2025</v>
      </c>
      <c r="D443" t="s">
        <v>20</v>
      </c>
      <c r="E443">
        <v>6</v>
      </c>
      <c r="F443" t="s">
        <v>48</v>
      </c>
      <c r="G443" t="s">
        <v>22</v>
      </c>
      <c r="H443" t="s">
        <v>23</v>
      </c>
      <c r="I443" t="s">
        <v>24</v>
      </c>
      <c r="J443" t="s">
        <v>42</v>
      </c>
      <c r="K443" t="s">
        <v>32</v>
      </c>
      <c r="L443" t="s">
        <v>37</v>
      </c>
      <c r="M443" s="8">
        <v>96</v>
      </c>
      <c r="N443" s="10">
        <v>120</v>
      </c>
      <c r="O443" s="10">
        <v>10944</v>
      </c>
      <c r="P443" s="10">
        <v>7488</v>
      </c>
      <c r="Q443" s="2">
        <v>3456</v>
      </c>
      <c r="R443" s="3">
        <v>0.05</v>
      </c>
      <c r="S443" t="s">
        <v>38</v>
      </c>
      <c r="T443" s="2">
        <v>583.78</v>
      </c>
    </row>
    <row r="444" spans="1:20" x14ac:dyDescent="0.25">
      <c r="A444">
        <v>100443</v>
      </c>
      <c r="B444" s="6">
        <v>45844</v>
      </c>
      <c r="C444">
        <v>2025</v>
      </c>
      <c r="D444" t="s">
        <v>39</v>
      </c>
      <c r="E444">
        <v>7</v>
      </c>
      <c r="F444" t="s">
        <v>75</v>
      </c>
      <c r="G444" t="s">
        <v>22</v>
      </c>
      <c r="H444" t="s">
        <v>23</v>
      </c>
      <c r="I444" t="s">
        <v>71</v>
      </c>
      <c r="J444" t="s">
        <v>54</v>
      </c>
      <c r="K444" t="s">
        <v>59</v>
      </c>
      <c r="L444" t="s">
        <v>91</v>
      </c>
      <c r="M444" s="8">
        <v>113</v>
      </c>
      <c r="N444" s="10">
        <v>140</v>
      </c>
      <c r="O444" s="10">
        <v>15029</v>
      </c>
      <c r="P444" s="10">
        <v>9266</v>
      </c>
      <c r="Q444" s="2">
        <v>5763</v>
      </c>
      <c r="R444" s="3">
        <v>0.05</v>
      </c>
      <c r="S444" t="s">
        <v>70</v>
      </c>
      <c r="T444" s="2">
        <v>601.67999999999995</v>
      </c>
    </row>
    <row r="445" spans="1:20" x14ac:dyDescent="0.25">
      <c r="A445">
        <v>100444</v>
      </c>
      <c r="B445" s="6">
        <v>45356</v>
      </c>
      <c r="C445">
        <v>2024</v>
      </c>
      <c r="D445" t="s">
        <v>63</v>
      </c>
      <c r="E445">
        <v>3</v>
      </c>
      <c r="F445" t="s">
        <v>64</v>
      </c>
      <c r="G445" t="s">
        <v>35</v>
      </c>
      <c r="H445" t="s">
        <v>23</v>
      </c>
      <c r="I445" t="s">
        <v>36</v>
      </c>
      <c r="J445" t="s">
        <v>31</v>
      </c>
      <c r="K445" t="s">
        <v>32</v>
      </c>
      <c r="L445" t="s">
        <v>47</v>
      </c>
      <c r="M445" s="8">
        <v>128</v>
      </c>
      <c r="N445" s="10">
        <v>180</v>
      </c>
      <c r="O445" s="10">
        <v>23040</v>
      </c>
      <c r="P445" s="10">
        <v>14720</v>
      </c>
      <c r="Q445" s="2">
        <v>8320</v>
      </c>
      <c r="R445" s="3">
        <v>0</v>
      </c>
      <c r="S445" t="s">
        <v>57</v>
      </c>
      <c r="T445" s="2">
        <v>920.38</v>
      </c>
    </row>
    <row r="446" spans="1:20" x14ac:dyDescent="0.25">
      <c r="A446">
        <v>100445</v>
      </c>
      <c r="B446" s="6">
        <v>45092</v>
      </c>
      <c r="C446">
        <v>2023</v>
      </c>
      <c r="D446" t="s">
        <v>20</v>
      </c>
      <c r="E446">
        <v>6</v>
      </c>
      <c r="F446" t="s">
        <v>48</v>
      </c>
      <c r="G446" t="s">
        <v>22</v>
      </c>
      <c r="H446" t="s">
        <v>23</v>
      </c>
      <c r="I446" t="s">
        <v>65</v>
      </c>
      <c r="J446" t="s">
        <v>66</v>
      </c>
      <c r="K446" t="s">
        <v>59</v>
      </c>
      <c r="L446" t="s">
        <v>86</v>
      </c>
      <c r="M446" s="8">
        <v>22</v>
      </c>
      <c r="N446" s="10">
        <v>160</v>
      </c>
      <c r="O446" s="10">
        <v>3520</v>
      </c>
      <c r="P446" s="10">
        <v>2090</v>
      </c>
      <c r="Q446" s="2">
        <v>1430</v>
      </c>
      <c r="R446" s="3">
        <v>0</v>
      </c>
      <c r="S446" t="s">
        <v>70</v>
      </c>
      <c r="T446" s="2">
        <v>163.66</v>
      </c>
    </row>
    <row r="447" spans="1:20" x14ac:dyDescent="0.25">
      <c r="A447">
        <v>100446</v>
      </c>
      <c r="B447" s="6">
        <v>45802</v>
      </c>
      <c r="C447">
        <v>2025</v>
      </c>
      <c r="D447" t="s">
        <v>20</v>
      </c>
      <c r="E447">
        <v>5</v>
      </c>
      <c r="F447" t="s">
        <v>21</v>
      </c>
      <c r="G447" t="s">
        <v>29</v>
      </c>
      <c r="H447" t="s">
        <v>23</v>
      </c>
      <c r="I447" t="s">
        <v>30</v>
      </c>
      <c r="J447" t="s">
        <v>31</v>
      </c>
      <c r="K447" t="s">
        <v>32</v>
      </c>
      <c r="L447" t="s">
        <v>47</v>
      </c>
      <c r="M447" s="8">
        <v>38</v>
      </c>
      <c r="N447" s="10">
        <v>180</v>
      </c>
      <c r="O447" s="10">
        <v>6634.8</v>
      </c>
      <c r="P447" s="10">
        <v>4370</v>
      </c>
      <c r="Q447" s="2">
        <v>2264.8000000000002</v>
      </c>
      <c r="R447" s="3">
        <v>0.03</v>
      </c>
      <c r="S447" t="s">
        <v>70</v>
      </c>
      <c r="T447" s="2">
        <v>130.38</v>
      </c>
    </row>
    <row r="448" spans="1:20" x14ac:dyDescent="0.25">
      <c r="A448">
        <v>100447</v>
      </c>
      <c r="B448" s="6">
        <v>45365</v>
      </c>
      <c r="C448">
        <v>2024</v>
      </c>
      <c r="D448" t="s">
        <v>63</v>
      </c>
      <c r="E448">
        <v>3</v>
      </c>
      <c r="F448" t="s">
        <v>64</v>
      </c>
      <c r="G448" t="s">
        <v>29</v>
      </c>
      <c r="H448" t="s">
        <v>23</v>
      </c>
      <c r="I448" t="s">
        <v>85</v>
      </c>
      <c r="J448" t="s">
        <v>25</v>
      </c>
      <c r="K448" t="s">
        <v>59</v>
      </c>
      <c r="L448" t="s">
        <v>67</v>
      </c>
      <c r="M448" s="8">
        <v>54</v>
      </c>
      <c r="N448" s="10">
        <v>95</v>
      </c>
      <c r="O448" s="10">
        <v>4617</v>
      </c>
      <c r="P448" s="10">
        <v>3024</v>
      </c>
      <c r="Q448" s="2">
        <v>1593</v>
      </c>
      <c r="R448" s="3">
        <v>0.1</v>
      </c>
      <c r="S448" t="s">
        <v>57</v>
      </c>
      <c r="T448" s="2">
        <v>242.81</v>
      </c>
    </row>
    <row r="449" spans="1:20" x14ac:dyDescent="0.25">
      <c r="A449">
        <v>100448</v>
      </c>
      <c r="B449" s="6">
        <v>45014</v>
      </c>
      <c r="C449">
        <v>2023</v>
      </c>
      <c r="D449" t="s">
        <v>63</v>
      </c>
      <c r="E449">
        <v>3</v>
      </c>
      <c r="F449" t="s">
        <v>64</v>
      </c>
      <c r="G449" t="s">
        <v>29</v>
      </c>
      <c r="H449" t="s">
        <v>23</v>
      </c>
      <c r="I449" t="s">
        <v>30</v>
      </c>
      <c r="J449" t="s">
        <v>54</v>
      </c>
      <c r="K449" t="s">
        <v>32</v>
      </c>
      <c r="L449" t="s">
        <v>74</v>
      </c>
      <c r="M449" s="8">
        <v>46</v>
      </c>
      <c r="N449" s="10">
        <v>25</v>
      </c>
      <c r="O449" s="10">
        <v>1058</v>
      </c>
      <c r="P449" s="10">
        <v>644</v>
      </c>
      <c r="Q449" s="2">
        <v>414</v>
      </c>
      <c r="R449" s="3">
        <v>0.08</v>
      </c>
      <c r="S449" t="s">
        <v>70</v>
      </c>
      <c r="T449" s="2">
        <v>52.1</v>
      </c>
    </row>
    <row r="450" spans="1:20" x14ac:dyDescent="0.25">
      <c r="A450">
        <v>100449</v>
      </c>
      <c r="B450" s="6">
        <v>45533</v>
      </c>
      <c r="C450">
        <v>2024</v>
      </c>
      <c r="D450" t="s">
        <v>39</v>
      </c>
      <c r="E450">
        <v>8</v>
      </c>
      <c r="F450" t="s">
        <v>58</v>
      </c>
      <c r="G450" t="s">
        <v>45</v>
      </c>
      <c r="H450" t="s">
        <v>23</v>
      </c>
      <c r="I450" t="s">
        <v>88</v>
      </c>
      <c r="J450" t="s">
        <v>31</v>
      </c>
      <c r="K450" t="s">
        <v>32</v>
      </c>
      <c r="L450" t="s">
        <v>47</v>
      </c>
      <c r="M450" s="8">
        <v>62</v>
      </c>
      <c r="N450" s="10">
        <v>180</v>
      </c>
      <c r="O450" s="10">
        <v>10044</v>
      </c>
      <c r="P450" s="10">
        <v>7130</v>
      </c>
      <c r="Q450" s="2">
        <v>2914</v>
      </c>
      <c r="R450" s="3">
        <v>0.1</v>
      </c>
      <c r="S450" t="s">
        <v>28</v>
      </c>
      <c r="T450" s="2">
        <v>601.97</v>
      </c>
    </row>
    <row r="451" spans="1:20" x14ac:dyDescent="0.25">
      <c r="A451">
        <v>100450</v>
      </c>
      <c r="B451" s="6">
        <v>45851</v>
      </c>
      <c r="C451">
        <v>2025</v>
      </c>
      <c r="D451" t="s">
        <v>39</v>
      </c>
      <c r="E451">
        <v>7</v>
      </c>
      <c r="F451" t="s">
        <v>75</v>
      </c>
      <c r="G451" t="s">
        <v>22</v>
      </c>
      <c r="H451" t="s">
        <v>23</v>
      </c>
      <c r="I451" t="s">
        <v>41</v>
      </c>
      <c r="J451" t="s">
        <v>50</v>
      </c>
      <c r="K451" t="s">
        <v>51</v>
      </c>
      <c r="L451" t="s">
        <v>76</v>
      </c>
      <c r="M451" s="8">
        <v>80</v>
      </c>
      <c r="N451" s="10">
        <v>40</v>
      </c>
      <c r="O451" s="10">
        <v>3136</v>
      </c>
      <c r="P451" s="10">
        <v>1840</v>
      </c>
      <c r="Q451" s="2">
        <v>1296</v>
      </c>
      <c r="R451" s="3">
        <v>0.02</v>
      </c>
      <c r="S451" t="s">
        <v>38</v>
      </c>
      <c r="T451" s="2">
        <v>86.6</v>
      </c>
    </row>
    <row r="452" spans="1:20" x14ac:dyDescent="0.25">
      <c r="A452">
        <v>100451</v>
      </c>
      <c r="B452" s="6">
        <v>45654</v>
      </c>
      <c r="C452">
        <v>2024</v>
      </c>
      <c r="D452" t="s">
        <v>43</v>
      </c>
      <c r="E452">
        <v>12</v>
      </c>
      <c r="F452" t="s">
        <v>83</v>
      </c>
      <c r="G452" t="s">
        <v>35</v>
      </c>
      <c r="H452" t="s">
        <v>23</v>
      </c>
      <c r="I452" t="s">
        <v>80</v>
      </c>
      <c r="J452" t="s">
        <v>31</v>
      </c>
      <c r="K452" t="s">
        <v>32</v>
      </c>
      <c r="L452" t="s">
        <v>37</v>
      </c>
      <c r="M452" s="8">
        <v>93</v>
      </c>
      <c r="N452" s="10">
        <v>120</v>
      </c>
      <c r="O452" s="10">
        <v>10044</v>
      </c>
      <c r="P452" s="10">
        <v>7254</v>
      </c>
      <c r="Q452" s="2">
        <v>2790</v>
      </c>
      <c r="R452" s="3">
        <v>0.1</v>
      </c>
      <c r="S452" t="s">
        <v>38</v>
      </c>
      <c r="T452" s="2">
        <v>570.11</v>
      </c>
    </row>
    <row r="453" spans="1:20" x14ac:dyDescent="0.25">
      <c r="A453">
        <v>100452</v>
      </c>
      <c r="B453" s="6">
        <v>45162</v>
      </c>
      <c r="C453">
        <v>2023</v>
      </c>
      <c r="D453" t="s">
        <v>39</v>
      </c>
      <c r="E453">
        <v>8</v>
      </c>
      <c r="F453" t="s">
        <v>58</v>
      </c>
      <c r="G453" t="s">
        <v>29</v>
      </c>
      <c r="H453" t="s">
        <v>23</v>
      </c>
      <c r="I453" t="s">
        <v>30</v>
      </c>
      <c r="J453" t="s">
        <v>68</v>
      </c>
      <c r="K453" t="s">
        <v>26</v>
      </c>
      <c r="L453" t="s">
        <v>78</v>
      </c>
      <c r="M453" s="8">
        <v>145</v>
      </c>
      <c r="N453" s="10">
        <v>95</v>
      </c>
      <c r="O453" s="10">
        <v>13499.5</v>
      </c>
      <c r="P453" s="10">
        <v>8410</v>
      </c>
      <c r="Q453" s="2">
        <v>5089.5</v>
      </c>
      <c r="R453" s="3">
        <v>0.02</v>
      </c>
      <c r="S453" t="s">
        <v>38</v>
      </c>
      <c r="T453" s="2">
        <v>217.73</v>
      </c>
    </row>
    <row r="454" spans="1:20" x14ac:dyDescent="0.25">
      <c r="A454">
        <v>100453</v>
      </c>
      <c r="B454" s="6">
        <v>45999</v>
      </c>
      <c r="C454">
        <v>2025</v>
      </c>
      <c r="D454" t="s">
        <v>43</v>
      </c>
      <c r="E454">
        <v>12</v>
      </c>
      <c r="F454" t="s">
        <v>83</v>
      </c>
      <c r="G454" t="s">
        <v>29</v>
      </c>
      <c r="H454" t="s">
        <v>23</v>
      </c>
      <c r="I454" t="s">
        <v>73</v>
      </c>
      <c r="J454" t="s">
        <v>68</v>
      </c>
      <c r="K454" t="s">
        <v>51</v>
      </c>
      <c r="L454" t="s">
        <v>72</v>
      </c>
      <c r="M454" s="8">
        <v>110</v>
      </c>
      <c r="N454" s="10">
        <v>90</v>
      </c>
      <c r="O454" s="10">
        <v>9900</v>
      </c>
      <c r="P454" s="10">
        <v>5720</v>
      </c>
      <c r="Q454" s="2">
        <v>4180</v>
      </c>
      <c r="R454" s="3">
        <v>0</v>
      </c>
      <c r="S454" t="s">
        <v>38</v>
      </c>
      <c r="T454" s="2">
        <v>637.59</v>
      </c>
    </row>
    <row r="455" spans="1:20" x14ac:dyDescent="0.25">
      <c r="A455">
        <v>100454</v>
      </c>
      <c r="B455" s="6">
        <v>45309</v>
      </c>
      <c r="C455">
        <v>2024</v>
      </c>
      <c r="D455" t="s">
        <v>63</v>
      </c>
      <c r="E455">
        <v>1</v>
      </c>
      <c r="F455" t="s">
        <v>79</v>
      </c>
      <c r="G455" t="s">
        <v>29</v>
      </c>
      <c r="H455" t="s">
        <v>23</v>
      </c>
      <c r="I455" t="s">
        <v>30</v>
      </c>
      <c r="J455" t="s">
        <v>66</v>
      </c>
      <c r="K455" t="s">
        <v>51</v>
      </c>
      <c r="L455" t="s">
        <v>76</v>
      </c>
      <c r="M455" s="8">
        <v>139</v>
      </c>
      <c r="N455" s="10">
        <v>40</v>
      </c>
      <c r="O455" s="10">
        <v>5115.2</v>
      </c>
      <c r="P455" s="10">
        <v>3197</v>
      </c>
      <c r="Q455" s="2">
        <v>1918.2</v>
      </c>
      <c r="R455" s="3">
        <v>0.08</v>
      </c>
      <c r="S455" t="s">
        <v>57</v>
      </c>
      <c r="T455" s="2">
        <v>275.54000000000002</v>
      </c>
    </row>
    <row r="456" spans="1:20" x14ac:dyDescent="0.25">
      <c r="A456">
        <v>100455</v>
      </c>
      <c r="B456" s="6">
        <v>45379</v>
      </c>
      <c r="C456">
        <v>2024</v>
      </c>
      <c r="D456" t="s">
        <v>63</v>
      </c>
      <c r="E456">
        <v>3</v>
      </c>
      <c r="F456" t="s">
        <v>64</v>
      </c>
      <c r="G456" t="s">
        <v>29</v>
      </c>
      <c r="H456" t="s">
        <v>23</v>
      </c>
      <c r="I456" t="s">
        <v>85</v>
      </c>
      <c r="J456" t="s">
        <v>54</v>
      </c>
      <c r="K456" t="s">
        <v>26</v>
      </c>
      <c r="L456" t="s">
        <v>82</v>
      </c>
      <c r="M456" s="8">
        <v>108</v>
      </c>
      <c r="N456" s="10">
        <v>105</v>
      </c>
      <c r="O456" s="10">
        <v>11340</v>
      </c>
      <c r="P456" s="10">
        <v>6588</v>
      </c>
      <c r="Q456" s="2">
        <v>4752</v>
      </c>
      <c r="R456" s="3">
        <v>0</v>
      </c>
      <c r="S456" t="s">
        <v>38</v>
      </c>
      <c r="T456" s="2">
        <v>278.77999999999997</v>
      </c>
    </row>
    <row r="457" spans="1:20" x14ac:dyDescent="0.25">
      <c r="A457">
        <v>100456</v>
      </c>
      <c r="B457" s="6">
        <v>45661</v>
      </c>
      <c r="C457">
        <v>2025</v>
      </c>
      <c r="D457" t="s">
        <v>63</v>
      </c>
      <c r="E457">
        <v>1</v>
      </c>
      <c r="F457" t="s">
        <v>79</v>
      </c>
      <c r="G457" t="s">
        <v>22</v>
      </c>
      <c r="H457" t="s">
        <v>23</v>
      </c>
      <c r="I457" t="s">
        <v>41</v>
      </c>
      <c r="J457" t="s">
        <v>68</v>
      </c>
      <c r="K457" t="s">
        <v>26</v>
      </c>
      <c r="L457" t="s">
        <v>78</v>
      </c>
      <c r="M457" s="8">
        <v>18</v>
      </c>
      <c r="N457" s="10">
        <v>95</v>
      </c>
      <c r="O457" s="10">
        <v>1675.8</v>
      </c>
      <c r="P457" s="10">
        <v>1044</v>
      </c>
      <c r="Q457" s="2">
        <v>631.79999999999995</v>
      </c>
      <c r="R457" s="3">
        <v>0.02</v>
      </c>
      <c r="S457" t="s">
        <v>57</v>
      </c>
      <c r="T457" s="2">
        <v>57.13</v>
      </c>
    </row>
    <row r="458" spans="1:20" x14ac:dyDescent="0.25">
      <c r="A458">
        <v>100457</v>
      </c>
      <c r="B458" s="6">
        <v>45862</v>
      </c>
      <c r="C458">
        <v>2025</v>
      </c>
      <c r="D458" t="s">
        <v>39</v>
      </c>
      <c r="E458">
        <v>7</v>
      </c>
      <c r="F458" t="s">
        <v>75</v>
      </c>
      <c r="G458" t="s">
        <v>45</v>
      </c>
      <c r="H458" t="s">
        <v>23</v>
      </c>
      <c r="I458" t="s">
        <v>90</v>
      </c>
      <c r="J458" t="s">
        <v>31</v>
      </c>
      <c r="K458" t="s">
        <v>32</v>
      </c>
      <c r="L458" t="s">
        <v>74</v>
      </c>
      <c r="M458" s="8">
        <v>72</v>
      </c>
      <c r="N458" s="10">
        <v>25</v>
      </c>
      <c r="O458" s="10">
        <v>1800</v>
      </c>
      <c r="P458" s="10">
        <v>1008</v>
      </c>
      <c r="Q458" s="2">
        <v>792</v>
      </c>
      <c r="R458" s="3">
        <v>0</v>
      </c>
      <c r="S458" t="s">
        <v>28</v>
      </c>
      <c r="T458" s="2">
        <v>82.69</v>
      </c>
    </row>
    <row r="459" spans="1:20" x14ac:dyDescent="0.25">
      <c r="A459">
        <v>100458</v>
      </c>
      <c r="B459" s="6">
        <v>45586</v>
      </c>
      <c r="C459">
        <v>2024</v>
      </c>
      <c r="D459" t="s">
        <v>43</v>
      </c>
      <c r="E459">
        <v>10</v>
      </c>
      <c r="F459" t="s">
        <v>44</v>
      </c>
      <c r="G459" t="s">
        <v>35</v>
      </c>
      <c r="H459" t="s">
        <v>23</v>
      </c>
      <c r="I459" t="s">
        <v>53</v>
      </c>
      <c r="J459" t="s">
        <v>54</v>
      </c>
      <c r="K459" t="s">
        <v>59</v>
      </c>
      <c r="L459" t="s">
        <v>60</v>
      </c>
      <c r="M459" s="8">
        <v>85</v>
      </c>
      <c r="N459" s="10">
        <v>45</v>
      </c>
      <c r="O459" s="10">
        <v>3710.25</v>
      </c>
      <c r="P459" s="10">
        <v>2295</v>
      </c>
      <c r="Q459" s="2">
        <v>1415.25</v>
      </c>
      <c r="R459" s="3">
        <v>0.03</v>
      </c>
      <c r="S459" t="s">
        <v>38</v>
      </c>
      <c r="T459" s="2">
        <v>226.71</v>
      </c>
    </row>
    <row r="460" spans="1:20" x14ac:dyDescent="0.25">
      <c r="A460">
        <v>100459</v>
      </c>
      <c r="B460" s="6">
        <v>44974</v>
      </c>
      <c r="C460">
        <v>2023</v>
      </c>
      <c r="D460" t="s">
        <v>63</v>
      </c>
      <c r="E460">
        <v>2</v>
      </c>
      <c r="F460" t="s">
        <v>81</v>
      </c>
      <c r="G460" t="s">
        <v>35</v>
      </c>
      <c r="H460" t="s">
        <v>23</v>
      </c>
      <c r="I460" t="s">
        <v>80</v>
      </c>
      <c r="J460" t="s">
        <v>61</v>
      </c>
      <c r="K460" t="s">
        <v>51</v>
      </c>
      <c r="L460" t="s">
        <v>72</v>
      </c>
      <c r="M460" s="8">
        <v>98</v>
      </c>
      <c r="N460" s="10">
        <v>90</v>
      </c>
      <c r="O460" s="10">
        <v>8555.4</v>
      </c>
      <c r="P460" s="10">
        <v>5096</v>
      </c>
      <c r="Q460" s="2">
        <v>3459.4</v>
      </c>
      <c r="R460" s="3">
        <v>0.03</v>
      </c>
      <c r="S460" t="s">
        <v>28</v>
      </c>
      <c r="T460" s="2">
        <v>553.38</v>
      </c>
    </row>
    <row r="461" spans="1:20" x14ac:dyDescent="0.25">
      <c r="A461">
        <v>100460</v>
      </c>
      <c r="B461" s="6">
        <v>45905</v>
      </c>
      <c r="C461">
        <v>2025</v>
      </c>
      <c r="D461" t="s">
        <v>39</v>
      </c>
      <c r="E461">
        <v>9</v>
      </c>
      <c r="F461" t="s">
        <v>40</v>
      </c>
      <c r="G461" t="s">
        <v>45</v>
      </c>
      <c r="H461" t="s">
        <v>23</v>
      </c>
      <c r="I461" t="s">
        <v>46</v>
      </c>
      <c r="J461" t="s">
        <v>31</v>
      </c>
      <c r="K461" t="s">
        <v>59</v>
      </c>
      <c r="L461" t="s">
        <v>86</v>
      </c>
      <c r="M461" s="8">
        <v>104</v>
      </c>
      <c r="N461" s="10">
        <v>160</v>
      </c>
      <c r="O461" s="10">
        <v>16140.8</v>
      </c>
      <c r="P461" s="10">
        <v>9880</v>
      </c>
      <c r="Q461" s="2">
        <v>6260.8</v>
      </c>
      <c r="R461" s="3">
        <v>0.03</v>
      </c>
      <c r="S461" t="s">
        <v>38</v>
      </c>
      <c r="T461" s="2">
        <v>1103.43</v>
      </c>
    </row>
    <row r="462" spans="1:20" x14ac:dyDescent="0.25">
      <c r="A462">
        <v>100461</v>
      </c>
      <c r="B462" s="6">
        <v>45412</v>
      </c>
      <c r="C462">
        <v>2024</v>
      </c>
      <c r="D462" t="s">
        <v>20</v>
      </c>
      <c r="E462">
        <v>4</v>
      </c>
      <c r="F462" t="s">
        <v>34</v>
      </c>
      <c r="G462" t="s">
        <v>22</v>
      </c>
      <c r="H462" t="s">
        <v>23</v>
      </c>
      <c r="I462" t="s">
        <v>41</v>
      </c>
      <c r="J462" t="s">
        <v>66</v>
      </c>
      <c r="K462" t="s">
        <v>55</v>
      </c>
      <c r="L462" t="s">
        <v>93</v>
      </c>
      <c r="M462" s="8">
        <v>140</v>
      </c>
      <c r="N462" s="10">
        <v>60</v>
      </c>
      <c r="O462" s="10">
        <v>8232</v>
      </c>
      <c r="P462" s="10">
        <v>5880</v>
      </c>
      <c r="Q462" s="2">
        <v>2352</v>
      </c>
      <c r="R462" s="3">
        <v>0.02</v>
      </c>
      <c r="S462" t="s">
        <v>70</v>
      </c>
      <c r="T462" s="2">
        <v>497.33</v>
      </c>
    </row>
    <row r="463" spans="1:20" x14ac:dyDescent="0.25">
      <c r="A463">
        <v>100462</v>
      </c>
      <c r="B463" s="6">
        <v>45348</v>
      </c>
      <c r="C463">
        <v>2024</v>
      </c>
      <c r="D463" t="s">
        <v>63</v>
      </c>
      <c r="E463">
        <v>2</v>
      </c>
      <c r="F463" t="s">
        <v>81</v>
      </c>
      <c r="G463" t="s">
        <v>29</v>
      </c>
      <c r="H463" t="s">
        <v>23</v>
      </c>
      <c r="I463" t="s">
        <v>30</v>
      </c>
      <c r="J463" t="s">
        <v>25</v>
      </c>
      <c r="K463" t="s">
        <v>59</v>
      </c>
      <c r="L463" t="s">
        <v>60</v>
      </c>
      <c r="M463" s="8">
        <v>15</v>
      </c>
      <c r="N463" s="10">
        <v>45</v>
      </c>
      <c r="O463" s="10">
        <v>654.75</v>
      </c>
      <c r="P463" s="10">
        <v>405</v>
      </c>
      <c r="Q463" s="2">
        <v>249.75</v>
      </c>
      <c r="R463" s="3">
        <v>0.03</v>
      </c>
      <c r="S463" t="s">
        <v>28</v>
      </c>
      <c r="T463" s="2">
        <v>38.549999999999997</v>
      </c>
    </row>
    <row r="464" spans="1:20" x14ac:dyDescent="0.25">
      <c r="A464">
        <v>100463</v>
      </c>
      <c r="B464" s="6">
        <v>45753</v>
      </c>
      <c r="C464">
        <v>2025</v>
      </c>
      <c r="D464" t="s">
        <v>20</v>
      </c>
      <c r="E464">
        <v>4</v>
      </c>
      <c r="F464" t="s">
        <v>34</v>
      </c>
      <c r="G464" t="s">
        <v>22</v>
      </c>
      <c r="H464" t="s">
        <v>23</v>
      </c>
      <c r="I464" t="s">
        <v>71</v>
      </c>
      <c r="J464" t="s">
        <v>66</v>
      </c>
      <c r="K464" t="s">
        <v>26</v>
      </c>
      <c r="L464" t="s">
        <v>78</v>
      </c>
      <c r="M464" s="8">
        <v>61</v>
      </c>
      <c r="N464" s="10">
        <v>95</v>
      </c>
      <c r="O464" s="10">
        <v>5505.25</v>
      </c>
      <c r="P464" s="10">
        <v>3538</v>
      </c>
      <c r="Q464" s="2">
        <v>1967.25</v>
      </c>
      <c r="R464" s="3">
        <v>0.05</v>
      </c>
      <c r="S464" t="s">
        <v>70</v>
      </c>
      <c r="T464" s="2">
        <v>149.34</v>
      </c>
    </row>
    <row r="465" spans="1:20" x14ac:dyDescent="0.25">
      <c r="A465">
        <v>100464</v>
      </c>
      <c r="B465" s="6">
        <v>45309</v>
      </c>
      <c r="C465">
        <v>2024</v>
      </c>
      <c r="D465" t="s">
        <v>63</v>
      </c>
      <c r="E465">
        <v>1</v>
      </c>
      <c r="F465" t="s">
        <v>79</v>
      </c>
      <c r="G465" t="s">
        <v>35</v>
      </c>
      <c r="H465" t="s">
        <v>23</v>
      </c>
      <c r="I465" t="s">
        <v>80</v>
      </c>
      <c r="J465" t="s">
        <v>42</v>
      </c>
      <c r="K465" t="s">
        <v>32</v>
      </c>
      <c r="L465" t="s">
        <v>74</v>
      </c>
      <c r="M465" s="8">
        <v>123</v>
      </c>
      <c r="N465" s="10">
        <v>25</v>
      </c>
      <c r="O465" s="10">
        <v>3075</v>
      </c>
      <c r="P465" s="10">
        <v>1722</v>
      </c>
      <c r="Q465" s="2">
        <v>1353</v>
      </c>
      <c r="R465" s="3">
        <v>0</v>
      </c>
      <c r="S465" t="s">
        <v>38</v>
      </c>
      <c r="T465" s="2">
        <v>109.81</v>
      </c>
    </row>
    <row r="466" spans="1:20" x14ac:dyDescent="0.25">
      <c r="A466">
        <v>100465</v>
      </c>
      <c r="B466" s="6">
        <v>45407</v>
      </c>
      <c r="C466">
        <v>2024</v>
      </c>
      <c r="D466" t="s">
        <v>20</v>
      </c>
      <c r="E466">
        <v>4</v>
      </c>
      <c r="F466" t="s">
        <v>34</v>
      </c>
      <c r="G466" t="s">
        <v>45</v>
      </c>
      <c r="H466" t="s">
        <v>23</v>
      </c>
      <c r="I466" t="s">
        <v>90</v>
      </c>
      <c r="J466" t="s">
        <v>54</v>
      </c>
      <c r="K466" t="s">
        <v>32</v>
      </c>
      <c r="L466" t="s">
        <v>47</v>
      </c>
      <c r="M466" s="8">
        <v>67</v>
      </c>
      <c r="N466" s="10">
        <v>180</v>
      </c>
      <c r="O466" s="10">
        <v>11818.8</v>
      </c>
      <c r="P466" s="10">
        <v>7705</v>
      </c>
      <c r="Q466" s="2">
        <v>4113.8</v>
      </c>
      <c r="R466" s="3">
        <v>0.02</v>
      </c>
      <c r="S466" t="s">
        <v>38</v>
      </c>
      <c r="T466" s="2">
        <v>793.84</v>
      </c>
    </row>
    <row r="467" spans="1:20" x14ac:dyDescent="0.25">
      <c r="A467">
        <v>100466</v>
      </c>
      <c r="B467" s="6">
        <v>45241</v>
      </c>
      <c r="C467">
        <v>2023</v>
      </c>
      <c r="D467" t="s">
        <v>43</v>
      </c>
      <c r="E467">
        <v>11</v>
      </c>
      <c r="F467" t="s">
        <v>87</v>
      </c>
      <c r="G467" t="s">
        <v>35</v>
      </c>
      <c r="H467" t="s">
        <v>23</v>
      </c>
      <c r="I467" t="s">
        <v>53</v>
      </c>
      <c r="J467" t="s">
        <v>54</v>
      </c>
      <c r="K467" t="s">
        <v>55</v>
      </c>
      <c r="L467" t="s">
        <v>89</v>
      </c>
      <c r="M467" s="8">
        <v>25</v>
      </c>
      <c r="N467" s="10">
        <v>280</v>
      </c>
      <c r="O467" s="10">
        <v>6650</v>
      </c>
      <c r="P467" s="10">
        <v>5125</v>
      </c>
      <c r="Q467" s="2">
        <v>1525</v>
      </c>
      <c r="R467" s="3">
        <v>0.05</v>
      </c>
      <c r="S467" t="s">
        <v>70</v>
      </c>
      <c r="T467" s="2">
        <v>377.88</v>
      </c>
    </row>
    <row r="468" spans="1:20" x14ac:dyDescent="0.25">
      <c r="A468">
        <v>100467</v>
      </c>
      <c r="B468" s="6">
        <v>45797</v>
      </c>
      <c r="C468">
        <v>2025</v>
      </c>
      <c r="D468" t="s">
        <v>20</v>
      </c>
      <c r="E468">
        <v>5</v>
      </c>
      <c r="F468" t="s">
        <v>21</v>
      </c>
      <c r="G468" t="s">
        <v>45</v>
      </c>
      <c r="H468" t="s">
        <v>23</v>
      </c>
      <c r="I468" t="s">
        <v>62</v>
      </c>
      <c r="J468" t="s">
        <v>66</v>
      </c>
      <c r="K468" t="s">
        <v>51</v>
      </c>
      <c r="L468" t="s">
        <v>76</v>
      </c>
      <c r="M468" s="8">
        <v>103</v>
      </c>
      <c r="N468" s="10">
        <v>40</v>
      </c>
      <c r="O468" s="10">
        <v>3996.4</v>
      </c>
      <c r="P468" s="10">
        <v>2369</v>
      </c>
      <c r="Q468" s="2">
        <v>1627.4</v>
      </c>
      <c r="R468" s="3">
        <v>0.03</v>
      </c>
      <c r="S468" t="s">
        <v>38</v>
      </c>
      <c r="T468" s="2">
        <v>208.18</v>
      </c>
    </row>
    <row r="469" spans="1:20" x14ac:dyDescent="0.25">
      <c r="A469">
        <v>100468</v>
      </c>
      <c r="B469" s="6">
        <v>45775</v>
      </c>
      <c r="C469">
        <v>2025</v>
      </c>
      <c r="D469" t="s">
        <v>20</v>
      </c>
      <c r="E469">
        <v>4</v>
      </c>
      <c r="F469" t="s">
        <v>34</v>
      </c>
      <c r="G469" t="s">
        <v>29</v>
      </c>
      <c r="H469" t="s">
        <v>23</v>
      </c>
      <c r="I469" t="s">
        <v>30</v>
      </c>
      <c r="J469" t="s">
        <v>50</v>
      </c>
      <c r="K469" t="s">
        <v>59</v>
      </c>
      <c r="L469" t="s">
        <v>60</v>
      </c>
      <c r="M469" s="8">
        <v>117</v>
      </c>
      <c r="N469" s="10">
        <v>45</v>
      </c>
      <c r="O469" s="10">
        <v>5107.05</v>
      </c>
      <c r="P469" s="10">
        <v>3159</v>
      </c>
      <c r="Q469" s="2">
        <v>1948.05</v>
      </c>
      <c r="R469" s="3">
        <v>0.03</v>
      </c>
      <c r="S469" t="s">
        <v>38</v>
      </c>
      <c r="T469" s="2">
        <v>90.72</v>
      </c>
    </row>
    <row r="470" spans="1:20" x14ac:dyDescent="0.25">
      <c r="A470">
        <v>100469</v>
      </c>
      <c r="B470" s="6">
        <v>45234</v>
      </c>
      <c r="C470">
        <v>2023</v>
      </c>
      <c r="D470" t="s">
        <v>43</v>
      </c>
      <c r="E470">
        <v>11</v>
      </c>
      <c r="F470" t="s">
        <v>87</v>
      </c>
      <c r="G470" t="s">
        <v>45</v>
      </c>
      <c r="H470" t="s">
        <v>23</v>
      </c>
      <c r="I470" t="s">
        <v>88</v>
      </c>
      <c r="J470" t="s">
        <v>54</v>
      </c>
      <c r="K470" t="s">
        <v>55</v>
      </c>
      <c r="L470" t="s">
        <v>56</v>
      </c>
      <c r="M470" s="8">
        <v>84</v>
      </c>
      <c r="N470" s="10">
        <v>320</v>
      </c>
      <c r="O470" s="10">
        <v>26073.599999999999</v>
      </c>
      <c r="P470" s="10">
        <v>19740</v>
      </c>
      <c r="Q470" s="2">
        <v>6333.6</v>
      </c>
      <c r="R470" s="3">
        <v>0.03</v>
      </c>
      <c r="S470" t="s">
        <v>70</v>
      </c>
      <c r="T470" s="2">
        <v>731.66</v>
      </c>
    </row>
    <row r="471" spans="1:20" x14ac:dyDescent="0.25">
      <c r="A471">
        <v>100470</v>
      </c>
      <c r="B471" s="6">
        <v>45900</v>
      </c>
      <c r="C471">
        <v>2025</v>
      </c>
      <c r="D471" t="s">
        <v>39</v>
      </c>
      <c r="E471">
        <v>8</v>
      </c>
      <c r="F471" t="s">
        <v>58</v>
      </c>
      <c r="G471" t="s">
        <v>45</v>
      </c>
      <c r="H471" t="s">
        <v>23</v>
      </c>
      <c r="I471" t="s">
        <v>46</v>
      </c>
      <c r="J471" t="s">
        <v>66</v>
      </c>
      <c r="K471" t="s">
        <v>32</v>
      </c>
      <c r="L471" t="s">
        <v>74</v>
      </c>
      <c r="M471" s="8">
        <v>21</v>
      </c>
      <c r="N471" s="10">
        <v>25</v>
      </c>
      <c r="O471" s="10">
        <v>509.25</v>
      </c>
      <c r="P471" s="10">
        <v>294</v>
      </c>
      <c r="Q471" s="2">
        <v>215.25</v>
      </c>
      <c r="R471" s="3">
        <v>0.03</v>
      </c>
      <c r="S471" t="s">
        <v>38</v>
      </c>
      <c r="T471" s="2">
        <v>30.09</v>
      </c>
    </row>
    <row r="472" spans="1:20" x14ac:dyDescent="0.25">
      <c r="A472">
        <v>100471</v>
      </c>
      <c r="B472" s="6">
        <v>45541</v>
      </c>
      <c r="C472">
        <v>2024</v>
      </c>
      <c r="D472" t="s">
        <v>39</v>
      </c>
      <c r="E472">
        <v>9</v>
      </c>
      <c r="F472" t="s">
        <v>40</v>
      </c>
      <c r="G472" t="s">
        <v>22</v>
      </c>
      <c r="H472" t="s">
        <v>23</v>
      </c>
      <c r="I472" t="s">
        <v>24</v>
      </c>
      <c r="J472" t="s">
        <v>66</v>
      </c>
      <c r="K472" t="s">
        <v>26</v>
      </c>
      <c r="L472" t="s">
        <v>82</v>
      </c>
      <c r="M472" s="8">
        <v>94</v>
      </c>
      <c r="N472" s="10">
        <v>105</v>
      </c>
      <c r="O472" s="10">
        <v>9080.4</v>
      </c>
      <c r="P472" s="10">
        <v>5734</v>
      </c>
      <c r="Q472" s="2">
        <v>3346.4</v>
      </c>
      <c r="R472" s="3">
        <v>0.08</v>
      </c>
      <c r="S472" t="s">
        <v>38</v>
      </c>
      <c r="T472" s="2">
        <v>599.35</v>
      </c>
    </row>
    <row r="473" spans="1:20" x14ac:dyDescent="0.25">
      <c r="A473">
        <v>100472</v>
      </c>
      <c r="B473" s="6">
        <v>45419</v>
      </c>
      <c r="C473">
        <v>2024</v>
      </c>
      <c r="D473" t="s">
        <v>20</v>
      </c>
      <c r="E473">
        <v>5</v>
      </c>
      <c r="F473" t="s">
        <v>21</v>
      </c>
      <c r="G473" t="s">
        <v>29</v>
      </c>
      <c r="H473" t="s">
        <v>23</v>
      </c>
      <c r="I473" t="s">
        <v>30</v>
      </c>
      <c r="J473" t="s">
        <v>25</v>
      </c>
      <c r="K473" t="s">
        <v>59</v>
      </c>
      <c r="L473" t="s">
        <v>60</v>
      </c>
      <c r="M473" s="8">
        <v>124</v>
      </c>
      <c r="N473" s="10">
        <v>45</v>
      </c>
      <c r="O473" s="10">
        <v>5468.4</v>
      </c>
      <c r="P473" s="10">
        <v>3348</v>
      </c>
      <c r="Q473" s="2">
        <v>2120.4</v>
      </c>
      <c r="R473" s="3">
        <v>0.02</v>
      </c>
      <c r="S473" t="s">
        <v>38</v>
      </c>
      <c r="T473" s="2">
        <v>91.08</v>
      </c>
    </row>
    <row r="474" spans="1:20" x14ac:dyDescent="0.25">
      <c r="A474">
        <v>100473</v>
      </c>
      <c r="B474" s="6">
        <v>45030</v>
      </c>
      <c r="C474">
        <v>2023</v>
      </c>
      <c r="D474" t="s">
        <v>20</v>
      </c>
      <c r="E474">
        <v>4</v>
      </c>
      <c r="F474" t="s">
        <v>34</v>
      </c>
      <c r="G474" t="s">
        <v>22</v>
      </c>
      <c r="H474" t="s">
        <v>23</v>
      </c>
      <c r="I474" t="s">
        <v>24</v>
      </c>
      <c r="J474" t="s">
        <v>68</v>
      </c>
      <c r="K474" t="s">
        <v>51</v>
      </c>
      <c r="L474" t="s">
        <v>92</v>
      </c>
      <c r="M474" s="8">
        <v>15</v>
      </c>
      <c r="N474" s="10">
        <v>50</v>
      </c>
      <c r="O474" s="10">
        <v>712.5</v>
      </c>
      <c r="P474" s="10">
        <v>435</v>
      </c>
      <c r="Q474" s="2">
        <v>277.5</v>
      </c>
      <c r="R474" s="3">
        <v>0.05</v>
      </c>
      <c r="S474" t="s">
        <v>70</v>
      </c>
      <c r="T474" s="2">
        <v>23.13</v>
      </c>
    </row>
    <row r="475" spans="1:20" x14ac:dyDescent="0.25">
      <c r="A475">
        <v>100474</v>
      </c>
      <c r="B475" s="6">
        <v>45219</v>
      </c>
      <c r="C475">
        <v>2023</v>
      </c>
      <c r="D475" t="s">
        <v>43</v>
      </c>
      <c r="E475">
        <v>10</v>
      </c>
      <c r="F475" t="s">
        <v>44</v>
      </c>
      <c r="G475" t="s">
        <v>22</v>
      </c>
      <c r="H475" t="s">
        <v>23</v>
      </c>
      <c r="I475" t="s">
        <v>65</v>
      </c>
      <c r="J475" t="s">
        <v>68</v>
      </c>
      <c r="K475" t="s">
        <v>26</v>
      </c>
      <c r="L475" t="s">
        <v>78</v>
      </c>
      <c r="M475" s="8">
        <v>52</v>
      </c>
      <c r="N475" s="10">
        <v>95</v>
      </c>
      <c r="O475" s="10">
        <v>4841.2</v>
      </c>
      <c r="P475" s="10">
        <v>3016</v>
      </c>
      <c r="Q475" s="2">
        <v>1825.2</v>
      </c>
      <c r="R475" s="3">
        <v>0.02</v>
      </c>
      <c r="S475" t="s">
        <v>57</v>
      </c>
      <c r="T475" s="2">
        <v>193.93</v>
      </c>
    </row>
    <row r="476" spans="1:20" x14ac:dyDescent="0.25">
      <c r="A476">
        <v>100475</v>
      </c>
      <c r="B476" s="6">
        <v>45626</v>
      </c>
      <c r="C476">
        <v>2024</v>
      </c>
      <c r="D476" t="s">
        <v>43</v>
      </c>
      <c r="E476">
        <v>11</v>
      </c>
      <c r="F476" t="s">
        <v>87</v>
      </c>
      <c r="G476" t="s">
        <v>35</v>
      </c>
      <c r="H476" t="s">
        <v>23</v>
      </c>
      <c r="I476" t="s">
        <v>53</v>
      </c>
      <c r="J476" t="s">
        <v>68</v>
      </c>
      <c r="K476" t="s">
        <v>51</v>
      </c>
      <c r="L476" t="s">
        <v>52</v>
      </c>
      <c r="M476" s="8">
        <v>113</v>
      </c>
      <c r="N476" s="10">
        <v>75</v>
      </c>
      <c r="O476" s="10">
        <v>8305.5</v>
      </c>
      <c r="P476" s="10">
        <v>4972</v>
      </c>
      <c r="Q476" s="2">
        <v>3333.5</v>
      </c>
      <c r="R476" s="3">
        <v>0.02</v>
      </c>
      <c r="S476" t="s">
        <v>38</v>
      </c>
      <c r="T476" s="2">
        <v>512.65</v>
      </c>
    </row>
    <row r="477" spans="1:20" x14ac:dyDescent="0.25">
      <c r="A477">
        <v>100476</v>
      </c>
      <c r="B477" s="6">
        <v>45535</v>
      </c>
      <c r="C477">
        <v>2024</v>
      </c>
      <c r="D477" t="s">
        <v>39</v>
      </c>
      <c r="E477">
        <v>8</v>
      </c>
      <c r="F477" t="s">
        <v>58</v>
      </c>
      <c r="G477" t="s">
        <v>22</v>
      </c>
      <c r="H477" t="s">
        <v>23</v>
      </c>
      <c r="I477" t="s">
        <v>65</v>
      </c>
      <c r="J477" t="s">
        <v>42</v>
      </c>
      <c r="K477" t="s">
        <v>32</v>
      </c>
      <c r="L477" t="s">
        <v>47</v>
      </c>
      <c r="M477" s="8">
        <v>123</v>
      </c>
      <c r="N477" s="10">
        <v>180</v>
      </c>
      <c r="O477" s="10">
        <v>19926</v>
      </c>
      <c r="P477" s="10">
        <v>14145</v>
      </c>
      <c r="Q477" s="2">
        <v>5781</v>
      </c>
      <c r="R477" s="3">
        <v>0.1</v>
      </c>
      <c r="S477" t="s">
        <v>38</v>
      </c>
      <c r="T477" s="2">
        <v>366.63</v>
      </c>
    </row>
    <row r="478" spans="1:20" x14ac:dyDescent="0.25">
      <c r="A478">
        <v>100477</v>
      </c>
      <c r="B478" s="6">
        <v>45110</v>
      </c>
      <c r="C478">
        <v>2023</v>
      </c>
      <c r="D478" t="s">
        <v>39</v>
      </c>
      <c r="E478">
        <v>7</v>
      </c>
      <c r="F478" t="s">
        <v>75</v>
      </c>
      <c r="G478" t="s">
        <v>29</v>
      </c>
      <c r="H478" t="s">
        <v>23</v>
      </c>
      <c r="I478" t="s">
        <v>30</v>
      </c>
      <c r="J478" t="s">
        <v>31</v>
      </c>
      <c r="K478" t="s">
        <v>32</v>
      </c>
      <c r="L478" t="s">
        <v>33</v>
      </c>
      <c r="M478" s="8">
        <v>34</v>
      </c>
      <c r="N478" s="10">
        <v>60</v>
      </c>
      <c r="O478" s="10">
        <v>1876.8</v>
      </c>
      <c r="P478" s="10">
        <v>1292</v>
      </c>
      <c r="Q478" s="2">
        <v>584.79999999999995</v>
      </c>
      <c r="R478" s="3">
        <v>0.08</v>
      </c>
      <c r="S478" t="s">
        <v>70</v>
      </c>
      <c r="T478" s="2">
        <v>47.7</v>
      </c>
    </row>
    <row r="479" spans="1:20" x14ac:dyDescent="0.25">
      <c r="A479">
        <v>100478</v>
      </c>
      <c r="B479" s="6">
        <v>45928</v>
      </c>
      <c r="C479">
        <v>2025</v>
      </c>
      <c r="D479" t="s">
        <v>39</v>
      </c>
      <c r="E479">
        <v>9</v>
      </c>
      <c r="F479" t="s">
        <v>40</v>
      </c>
      <c r="G479" t="s">
        <v>45</v>
      </c>
      <c r="H479" t="s">
        <v>23</v>
      </c>
      <c r="I479" t="s">
        <v>88</v>
      </c>
      <c r="J479" t="s">
        <v>25</v>
      </c>
      <c r="K479" t="s">
        <v>59</v>
      </c>
      <c r="L479" t="s">
        <v>91</v>
      </c>
      <c r="M479" s="8">
        <v>19</v>
      </c>
      <c r="N479" s="10">
        <v>140</v>
      </c>
      <c r="O479" s="10">
        <v>2660</v>
      </c>
      <c r="P479" s="10">
        <v>1558</v>
      </c>
      <c r="Q479" s="2">
        <v>1102</v>
      </c>
      <c r="R479" s="3">
        <v>0</v>
      </c>
      <c r="S479" t="s">
        <v>57</v>
      </c>
      <c r="T479" s="2">
        <v>82.95</v>
      </c>
    </row>
    <row r="480" spans="1:20" x14ac:dyDescent="0.25">
      <c r="A480">
        <v>100479</v>
      </c>
      <c r="B480" s="6">
        <v>45390</v>
      </c>
      <c r="C480">
        <v>2024</v>
      </c>
      <c r="D480" t="s">
        <v>20</v>
      </c>
      <c r="E480">
        <v>4</v>
      </c>
      <c r="F480" t="s">
        <v>34</v>
      </c>
      <c r="G480" t="s">
        <v>45</v>
      </c>
      <c r="H480" t="s">
        <v>23</v>
      </c>
      <c r="I480" t="s">
        <v>90</v>
      </c>
      <c r="J480" t="s">
        <v>54</v>
      </c>
      <c r="K480" t="s">
        <v>59</v>
      </c>
      <c r="L480" t="s">
        <v>60</v>
      </c>
      <c r="M480" s="8">
        <v>53</v>
      </c>
      <c r="N480" s="10">
        <v>45</v>
      </c>
      <c r="O480" s="10">
        <v>2313.4499999999998</v>
      </c>
      <c r="P480" s="10">
        <v>1431</v>
      </c>
      <c r="Q480" s="2">
        <v>882.45</v>
      </c>
      <c r="R480" s="3">
        <v>0.03</v>
      </c>
      <c r="S480" t="s">
        <v>38</v>
      </c>
      <c r="T480" s="2">
        <v>85.9</v>
      </c>
    </row>
    <row r="481" spans="1:20" x14ac:dyDescent="0.25">
      <c r="A481">
        <v>100480</v>
      </c>
      <c r="B481" s="6">
        <v>45066</v>
      </c>
      <c r="C481">
        <v>2023</v>
      </c>
      <c r="D481" t="s">
        <v>20</v>
      </c>
      <c r="E481">
        <v>5</v>
      </c>
      <c r="F481" t="s">
        <v>21</v>
      </c>
      <c r="G481" t="s">
        <v>22</v>
      </c>
      <c r="H481" t="s">
        <v>23</v>
      </c>
      <c r="I481" t="s">
        <v>65</v>
      </c>
      <c r="J481" t="s">
        <v>66</v>
      </c>
      <c r="K481" t="s">
        <v>51</v>
      </c>
      <c r="L481" t="s">
        <v>52</v>
      </c>
      <c r="M481" s="8">
        <v>121</v>
      </c>
      <c r="N481" s="10">
        <v>75</v>
      </c>
      <c r="O481" s="10">
        <v>8893.5</v>
      </c>
      <c r="P481" s="10">
        <v>5324</v>
      </c>
      <c r="Q481" s="2">
        <v>3569.5</v>
      </c>
      <c r="R481" s="3">
        <v>0.02</v>
      </c>
      <c r="S481" t="s">
        <v>28</v>
      </c>
      <c r="T481" s="2">
        <v>226.64</v>
      </c>
    </row>
    <row r="482" spans="1:20" x14ac:dyDescent="0.25">
      <c r="A482">
        <v>100481</v>
      </c>
      <c r="B482" s="6">
        <v>45075</v>
      </c>
      <c r="C482">
        <v>2023</v>
      </c>
      <c r="D482" t="s">
        <v>20</v>
      </c>
      <c r="E482">
        <v>5</v>
      </c>
      <c r="F482" t="s">
        <v>21</v>
      </c>
      <c r="G482" t="s">
        <v>45</v>
      </c>
      <c r="H482" t="s">
        <v>23</v>
      </c>
      <c r="I482" t="s">
        <v>62</v>
      </c>
      <c r="J482" t="s">
        <v>68</v>
      </c>
      <c r="K482" t="s">
        <v>26</v>
      </c>
      <c r="L482" t="s">
        <v>78</v>
      </c>
      <c r="M482" s="8">
        <v>125</v>
      </c>
      <c r="N482" s="10">
        <v>95</v>
      </c>
      <c r="O482" s="10">
        <v>11637.5</v>
      </c>
      <c r="P482" s="10">
        <v>7250</v>
      </c>
      <c r="Q482" s="2">
        <v>4387.5</v>
      </c>
      <c r="R482" s="3">
        <v>0.02</v>
      </c>
      <c r="S482" t="s">
        <v>38</v>
      </c>
      <c r="T482" s="2">
        <v>490</v>
      </c>
    </row>
    <row r="483" spans="1:20" x14ac:dyDescent="0.25">
      <c r="A483">
        <v>100482</v>
      </c>
      <c r="B483" s="6">
        <v>45901</v>
      </c>
      <c r="C483">
        <v>2025</v>
      </c>
      <c r="D483" t="s">
        <v>39</v>
      </c>
      <c r="E483">
        <v>9</v>
      </c>
      <c r="F483" t="s">
        <v>40</v>
      </c>
      <c r="G483" t="s">
        <v>35</v>
      </c>
      <c r="H483" t="s">
        <v>23</v>
      </c>
      <c r="I483" t="s">
        <v>77</v>
      </c>
      <c r="J483" t="s">
        <v>31</v>
      </c>
      <c r="K483" t="s">
        <v>32</v>
      </c>
      <c r="L483" t="s">
        <v>37</v>
      </c>
      <c r="M483" s="8">
        <v>131</v>
      </c>
      <c r="N483" s="10">
        <v>120</v>
      </c>
      <c r="O483" s="10">
        <v>15248.4</v>
      </c>
      <c r="P483" s="10">
        <v>10218</v>
      </c>
      <c r="Q483" s="2">
        <v>5030.3999999999996</v>
      </c>
      <c r="R483" s="3">
        <v>0.03</v>
      </c>
      <c r="S483" t="s">
        <v>38</v>
      </c>
      <c r="T483" s="2">
        <v>985.55</v>
      </c>
    </row>
    <row r="484" spans="1:20" x14ac:dyDescent="0.25">
      <c r="A484">
        <v>100483</v>
      </c>
      <c r="B484" s="6">
        <v>45397</v>
      </c>
      <c r="C484">
        <v>2024</v>
      </c>
      <c r="D484" t="s">
        <v>20</v>
      </c>
      <c r="E484">
        <v>4</v>
      </c>
      <c r="F484" t="s">
        <v>34</v>
      </c>
      <c r="G484" t="s">
        <v>29</v>
      </c>
      <c r="H484" t="s">
        <v>23</v>
      </c>
      <c r="I484" t="s">
        <v>30</v>
      </c>
      <c r="J484" t="s">
        <v>68</v>
      </c>
      <c r="K484" t="s">
        <v>55</v>
      </c>
      <c r="L484" t="s">
        <v>56</v>
      </c>
      <c r="M484" s="8">
        <v>113</v>
      </c>
      <c r="N484" s="10">
        <v>320</v>
      </c>
      <c r="O484" s="10">
        <v>34352</v>
      </c>
      <c r="P484" s="10">
        <v>26555</v>
      </c>
      <c r="Q484" s="2">
        <v>7797</v>
      </c>
      <c r="R484" s="3">
        <v>0.05</v>
      </c>
      <c r="S484" t="s">
        <v>70</v>
      </c>
      <c r="T484" s="2">
        <v>2212.66</v>
      </c>
    </row>
    <row r="485" spans="1:20" x14ac:dyDescent="0.25">
      <c r="A485">
        <v>100484</v>
      </c>
      <c r="B485" s="6">
        <v>45935</v>
      </c>
      <c r="C485">
        <v>2025</v>
      </c>
      <c r="D485" t="s">
        <v>43</v>
      </c>
      <c r="E485">
        <v>10</v>
      </c>
      <c r="F485" t="s">
        <v>44</v>
      </c>
      <c r="G485" t="s">
        <v>29</v>
      </c>
      <c r="H485" t="s">
        <v>23</v>
      </c>
      <c r="I485" t="s">
        <v>30</v>
      </c>
      <c r="J485" t="s">
        <v>61</v>
      </c>
      <c r="K485" t="s">
        <v>51</v>
      </c>
      <c r="L485" t="s">
        <v>72</v>
      </c>
      <c r="M485" s="8">
        <v>14</v>
      </c>
      <c r="N485" s="10">
        <v>90</v>
      </c>
      <c r="O485" s="10">
        <v>1260</v>
      </c>
      <c r="P485" s="10">
        <v>728</v>
      </c>
      <c r="Q485" s="2">
        <v>532</v>
      </c>
      <c r="R485" s="3">
        <v>0</v>
      </c>
      <c r="S485" t="s">
        <v>38</v>
      </c>
      <c r="T485" s="2">
        <v>24.14</v>
      </c>
    </row>
    <row r="486" spans="1:20" x14ac:dyDescent="0.25">
      <c r="A486">
        <v>100485</v>
      </c>
      <c r="B486" s="6">
        <v>45796</v>
      </c>
      <c r="C486">
        <v>2025</v>
      </c>
      <c r="D486" t="s">
        <v>20</v>
      </c>
      <c r="E486">
        <v>5</v>
      </c>
      <c r="F486" t="s">
        <v>21</v>
      </c>
      <c r="G486" t="s">
        <v>45</v>
      </c>
      <c r="H486" t="s">
        <v>23</v>
      </c>
      <c r="I486" t="s">
        <v>46</v>
      </c>
      <c r="J486" t="s">
        <v>66</v>
      </c>
      <c r="K486" t="s">
        <v>32</v>
      </c>
      <c r="L486" t="s">
        <v>47</v>
      </c>
      <c r="M486" s="8">
        <v>11</v>
      </c>
      <c r="N486" s="10">
        <v>180</v>
      </c>
      <c r="O486" s="10">
        <v>1881</v>
      </c>
      <c r="P486" s="10">
        <v>1265</v>
      </c>
      <c r="Q486" s="2">
        <v>616</v>
      </c>
      <c r="R486" s="3">
        <v>0.05</v>
      </c>
      <c r="S486" t="s">
        <v>28</v>
      </c>
      <c r="T486" s="2">
        <v>31.57</v>
      </c>
    </row>
    <row r="487" spans="1:20" x14ac:dyDescent="0.25">
      <c r="A487">
        <v>100486</v>
      </c>
      <c r="B487" s="6">
        <v>45034</v>
      </c>
      <c r="C487">
        <v>2023</v>
      </c>
      <c r="D487" t="s">
        <v>20</v>
      </c>
      <c r="E487">
        <v>4</v>
      </c>
      <c r="F487" t="s">
        <v>34</v>
      </c>
      <c r="G487" t="s">
        <v>29</v>
      </c>
      <c r="H487" t="s">
        <v>23</v>
      </c>
      <c r="I487" t="s">
        <v>30</v>
      </c>
      <c r="J487" t="s">
        <v>42</v>
      </c>
      <c r="K487" t="s">
        <v>32</v>
      </c>
      <c r="L487" t="s">
        <v>74</v>
      </c>
      <c r="M487" s="8">
        <v>134</v>
      </c>
      <c r="N487" s="10">
        <v>25</v>
      </c>
      <c r="O487" s="10">
        <v>3082</v>
      </c>
      <c r="P487" s="10">
        <v>1876</v>
      </c>
      <c r="Q487" s="2">
        <v>1206</v>
      </c>
      <c r="R487" s="3">
        <v>0.08</v>
      </c>
      <c r="S487" t="s">
        <v>38</v>
      </c>
      <c r="T487" s="2">
        <v>212.95</v>
      </c>
    </row>
    <row r="488" spans="1:20" x14ac:dyDescent="0.25">
      <c r="A488">
        <v>100487</v>
      </c>
      <c r="B488" s="6">
        <v>45624</v>
      </c>
      <c r="C488">
        <v>2024</v>
      </c>
      <c r="D488" t="s">
        <v>43</v>
      </c>
      <c r="E488">
        <v>11</v>
      </c>
      <c r="F488" t="s">
        <v>87</v>
      </c>
      <c r="G488" t="s">
        <v>45</v>
      </c>
      <c r="H488" t="s">
        <v>23</v>
      </c>
      <c r="I488" t="s">
        <v>62</v>
      </c>
      <c r="J488" t="s">
        <v>54</v>
      </c>
      <c r="K488" t="s">
        <v>51</v>
      </c>
      <c r="L488" t="s">
        <v>52</v>
      </c>
      <c r="M488" s="8">
        <v>40</v>
      </c>
      <c r="N488" s="10">
        <v>75</v>
      </c>
      <c r="O488" s="10">
        <v>3000</v>
      </c>
      <c r="P488" s="10">
        <v>1760</v>
      </c>
      <c r="Q488" s="2">
        <v>1240</v>
      </c>
      <c r="R488" s="3">
        <v>0</v>
      </c>
      <c r="S488" t="s">
        <v>38</v>
      </c>
      <c r="T488" s="2">
        <v>159.18</v>
      </c>
    </row>
    <row r="489" spans="1:20" x14ac:dyDescent="0.25">
      <c r="A489">
        <v>100488</v>
      </c>
      <c r="B489" s="6">
        <v>45037</v>
      </c>
      <c r="C489">
        <v>2023</v>
      </c>
      <c r="D489" t="s">
        <v>20</v>
      </c>
      <c r="E489">
        <v>4</v>
      </c>
      <c r="F489" t="s">
        <v>34</v>
      </c>
      <c r="G489" t="s">
        <v>45</v>
      </c>
      <c r="H489" t="s">
        <v>23</v>
      </c>
      <c r="I489" t="s">
        <v>46</v>
      </c>
      <c r="J489" t="s">
        <v>61</v>
      </c>
      <c r="K489" t="s">
        <v>32</v>
      </c>
      <c r="L489" t="s">
        <v>33</v>
      </c>
      <c r="M489" s="8">
        <v>88</v>
      </c>
      <c r="N489" s="10">
        <v>60</v>
      </c>
      <c r="O489" s="10">
        <v>4857.6000000000004</v>
      </c>
      <c r="P489" s="10">
        <v>3344</v>
      </c>
      <c r="Q489" s="2">
        <v>1513.6</v>
      </c>
      <c r="R489" s="3">
        <v>0.08</v>
      </c>
      <c r="S489" t="s">
        <v>57</v>
      </c>
      <c r="T489" s="2">
        <v>200.4</v>
      </c>
    </row>
    <row r="490" spans="1:20" x14ac:dyDescent="0.25">
      <c r="A490">
        <v>100489</v>
      </c>
      <c r="B490" s="6">
        <v>45628</v>
      </c>
      <c r="C490">
        <v>2024</v>
      </c>
      <c r="D490" t="s">
        <v>43</v>
      </c>
      <c r="E490">
        <v>12</v>
      </c>
      <c r="F490" t="s">
        <v>83</v>
      </c>
      <c r="G490" t="s">
        <v>22</v>
      </c>
      <c r="H490" t="s">
        <v>23</v>
      </c>
      <c r="I490" t="s">
        <v>71</v>
      </c>
      <c r="J490" t="s">
        <v>66</v>
      </c>
      <c r="K490" t="s">
        <v>51</v>
      </c>
      <c r="L490" t="s">
        <v>76</v>
      </c>
      <c r="M490" s="8">
        <v>150</v>
      </c>
      <c r="N490" s="10">
        <v>40</v>
      </c>
      <c r="O490" s="10">
        <v>6000</v>
      </c>
      <c r="P490" s="10">
        <v>3450</v>
      </c>
      <c r="Q490" s="2">
        <v>2550</v>
      </c>
      <c r="R490" s="3">
        <v>0</v>
      </c>
      <c r="S490" t="s">
        <v>28</v>
      </c>
      <c r="T490" s="2">
        <v>244.01</v>
      </c>
    </row>
    <row r="491" spans="1:20" x14ac:dyDescent="0.25">
      <c r="A491">
        <v>100490</v>
      </c>
      <c r="B491" s="6">
        <v>45089</v>
      </c>
      <c r="C491">
        <v>2023</v>
      </c>
      <c r="D491" t="s">
        <v>20</v>
      </c>
      <c r="E491">
        <v>6</v>
      </c>
      <c r="F491" t="s">
        <v>48</v>
      </c>
      <c r="G491" t="s">
        <v>35</v>
      </c>
      <c r="H491" t="s">
        <v>23</v>
      </c>
      <c r="I491" t="s">
        <v>36</v>
      </c>
      <c r="J491" t="s">
        <v>54</v>
      </c>
      <c r="K491" t="s">
        <v>51</v>
      </c>
      <c r="L491" t="s">
        <v>92</v>
      </c>
      <c r="M491" s="8">
        <v>63</v>
      </c>
      <c r="N491" s="10">
        <v>50</v>
      </c>
      <c r="O491" s="10">
        <v>2992.5</v>
      </c>
      <c r="P491" s="10">
        <v>1827</v>
      </c>
      <c r="Q491" s="2">
        <v>1165.5</v>
      </c>
      <c r="R491" s="3">
        <v>0.05</v>
      </c>
      <c r="S491" t="s">
        <v>38</v>
      </c>
      <c r="T491" s="2">
        <v>173.51</v>
      </c>
    </row>
    <row r="492" spans="1:20" x14ac:dyDescent="0.25">
      <c r="A492">
        <v>100491</v>
      </c>
      <c r="B492" s="6">
        <v>45601</v>
      </c>
      <c r="C492">
        <v>2024</v>
      </c>
      <c r="D492" t="s">
        <v>43</v>
      </c>
      <c r="E492">
        <v>11</v>
      </c>
      <c r="F492" t="s">
        <v>87</v>
      </c>
      <c r="G492" t="s">
        <v>29</v>
      </c>
      <c r="H492" t="s">
        <v>23</v>
      </c>
      <c r="I492" t="s">
        <v>85</v>
      </c>
      <c r="J492" t="s">
        <v>54</v>
      </c>
      <c r="K492" t="s">
        <v>26</v>
      </c>
      <c r="L492" t="s">
        <v>78</v>
      </c>
      <c r="M492" s="8">
        <v>58</v>
      </c>
      <c r="N492" s="10">
        <v>95</v>
      </c>
      <c r="O492" s="10">
        <v>5344.7</v>
      </c>
      <c r="P492" s="10">
        <v>3364</v>
      </c>
      <c r="Q492" s="2">
        <v>1980.7</v>
      </c>
      <c r="R492" s="3">
        <v>0.03</v>
      </c>
      <c r="S492" t="s">
        <v>70</v>
      </c>
      <c r="T492" s="2">
        <v>257.04000000000002</v>
      </c>
    </row>
    <row r="493" spans="1:20" x14ac:dyDescent="0.25">
      <c r="A493">
        <v>100492</v>
      </c>
      <c r="B493" s="6">
        <v>45316</v>
      </c>
      <c r="C493">
        <v>2024</v>
      </c>
      <c r="D493" t="s">
        <v>63</v>
      </c>
      <c r="E493">
        <v>1</v>
      </c>
      <c r="F493" t="s">
        <v>79</v>
      </c>
      <c r="G493" t="s">
        <v>35</v>
      </c>
      <c r="H493" t="s">
        <v>23</v>
      </c>
      <c r="I493" t="s">
        <v>53</v>
      </c>
      <c r="J493" t="s">
        <v>61</v>
      </c>
      <c r="K493" t="s">
        <v>59</v>
      </c>
      <c r="L493" t="s">
        <v>86</v>
      </c>
      <c r="M493" s="8">
        <v>141</v>
      </c>
      <c r="N493" s="10">
        <v>160</v>
      </c>
      <c r="O493" s="10">
        <v>21432</v>
      </c>
      <c r="P493" s="10">
        <v>13395</v>
      </c>
      <c r="Q493" s="2">
        <v>8037</v>
      </c>
      <c r="R493" s="3">
        <v>0.05</v>
      </c>
      <c r="S493" t="s">
        <v>38</v>
      </c>
      <c r="T493" s="2">
        <v>1164</v>
      </c>
    </row>
    <row r="494" spans="1:20" x14ac:dyDescent="0.25">
      <c r="A494">
        <v>100493</v>
      </c>
      <c r="B494" s="6">
        <v>45482</v>
      </c>
      <c r="C494">
        <v>2024</v>
      </c>
      <c r="D494" t="s">
        <v>39</v>
      </c>
      <c r="E494">
        <v>7</v>
      </c>
      <c r="F494" t="s">
        <v>75</v>
      </c>
      <c r="G494" t="s">
        <v>22</v>
      </c>
      <c r="H494" t="s">
        <v>23</v>
      </c>
      <c r="I494" t="s">
        <v>24</v>
      </c>
      <c r="J494" t="s">
        <v>25</v>
      </c>
      <c r="K494" t="s">
        <v>59</v>
      </c>
      <c r="L494" t="s">
        <v>67</v>
      </c>
      <c r="M494" s="8">
        <v>90</v>
      </c>
      <c r="N494" s="10">
        <v>95</v>
      </c>
      <c r="O494" s="10">
        <v>8122.5</v>
      </c>
      <c r="P494" s="10">
        <v>5040</v>
      </c>
      <c r="Q494" s="2">
        <v>3082.5</v>
      </c>
      <c r="R494" s="3">
        <v>0.05</v>
      </c>
      <c r="S494" t="s">
        <v>70</v>
      </c>
      <c r="T494" s="2">
        <v>225.25</v>
      </c>
    </row>
    <row r="495" spans="1:20" x14ac:dyDescent="0.25">
      <c r="A495">
        <v>100494</v>
      </c>
      <c r="B495" s="6">
        <v>45358</v>
      </c>
      <c r="C495">
        <v>2024</v>
      </c>
      <c r="D495" t="s">
        <v>63</v>
      </c>
      <c r="E495">
        <v>3</v>
      </c>
      <c r="F495" t="s">
        <v>64</v>
      </c>
      <c r="G495" t="s">
        <v>29</v>
      </c>
      <c r="H495" t="s">
        <v>23</v>
      </c>
      <c r="I495" t="s">
        <v>49</v>
      </c>
      <c r="J495" t="s">
        <v>31</v>
      </c>
      <c r="K495" t="s">
        <v>51</v>
      </c>
      <c r="L495" t="s">
        <v>92</v>
      </c>
      <c r="M495" s="8">
        <v>80</v>
      </c>
      <c r="N495" s="10">
        <v>50</v>
      </c>
      <c r="O495" s="10">
        <v>3920</v>
      </c>
      <c r="P495" s="10">
        <v>2320</v>
      </c>
      <c r="Q495" s="2">
        <v>1600</v>
      </c>
      <c r="R495" s="3">
        <v>0.02</v>
      </c>
      <c r="S495" t="s">
        <v>57</v>
      </c>
      <c r="T495" s="2">
        <v>81.63</v>
      </c>
    </row>
    <row r="496" spans="1:20" x14ac:dyDescent="0.25">
      <c r="A496">
        <v>100495</v>
      </c>
      <c r="B496" s="6">
        <v>45752</v>
      </c>
      <c r="C496">
        <v>2025</v>
      </c>
      <c r="D496" t="s">
        <v>20</v>
      </c>
      <c r="E496">
        <v>4</v>
      </c>
      <c r="F496" t="s">
        <v>34</v>
      </c>
      <c r="G496" t="s">
        <v>29</v>
      </c>
      <c r="H496" t="s">
        <v>23</v>
      </c>
      <c r="I496" t="s">
        <v>85</v>
      </c>
      <c r="J496" t="s">
        <v>31</v>
      </c>
      <c r="K496" t="s">
        <v>51</v>
      </c>
      <c r="L496" t="s">
        <v>52</v>
      </c>
      <c r="M496" s="8">
        <v>77</v>
      </c>
      <c r="N496" s="10">
        <v>75</v>
      </c>
      <c r="O496" s="10">
        <v>5601.75</v>
      </c>
      <c r="P496" s="10">
        <v>3388</v>
      </c>
      <c r="Q496" s="2">
        <v>2213.75</v>
      </c>
      <c r="R496" s="3">
        <v>0.03</v>
      </c>
      <c r="S496" t="s">
        <v>38</v>
      </c>
      <c r="T496" s="2">
        <v>93.01</v>
      </c>
    </row>
    <row r="497" spans="1:20" x14ac:dyDescent="0.25">
      <c r="A497">
        <v>100496</v>
      </c>
      <c r="B497" s="6">
        <v>45355</v>
      </c>
      <c r="C497">
        <v>2024</v>
      </c>
      <c r="D497" t="s">
        <v>63</v>
      </c>
      <c r="E497">
        <v>3</v>
      </c>
      <c r="F497" t="s">
        <v>64</v>
      </c>
      <c r="G497" t="s">
        <v>35</v>
      </c>
      <c r="H497" t="s">
        <v>23</v>
      </c>
      <c r="I497" t="s">
        <v>80</v>
      </c>
      <c r="J497" t="s">
        <v>54</v>
      </c>
      <c r="K497" t="s">
        <v>59</v>
      </c>
      <c r="L497" t="s">
        <v>86</v>
      </c>
      <c r="M497" s="8">
        <v>40</v>
      </c>
      <c r="N497" s="10">
        <v>160</v>
      </c>
      <c r="O497" s="10">
        <v>6400</v>
      </c>
      <c r="P497" s="10">
        <v>3800</v>
      </c>
      <c r="Q497" s="2">
        <v>2600</v>
      </c>
      <c r="R497" s="3">
        <v>0</v>
      </c>
      <c r="S497" t="s">
        <v>57</v>
      </c>
      <c r="T497" s="2">
        <v>207.83</v>
      </c>
    </row>
    <row r="498" spans="1:20" x14ac:dyDescent="0.25">
      <c r="A498">
        <v>100497</v>
      </c>
      <c r="B498" s="6">
        <v>45127</v>
      </c>
      <c r="C498">
        <v>2023</v>
      </c>
      <c r="D498" t="s">
        <v>39</v>
      </c>
      <c r="E498">
        <v>7</v>
      </c>
      <c r="F498" t="s">
        <v>75</v>
      </c>
      <c r="G498" t="s">
        <v>22</v>
      </c>
      <c r="H498" t="s">
        <v>23</v>
      </c>
      <c r="I498" t="s">
        <v>71</v>
      </c>
      <c r="J498" t="s">
        <v>42</v>
      </c>
      <c r="K498" t="s">
        <v>26</v>
      </c>
      <c r="L498" t="s">
        <v>69</v>
      </c>
      <c r="M498" s="8">
        <v>117</v>
      </c>
      <c r="N498" s="10">
        <v>130</v>
      </c>
      <c r="O498" s="10">
        <v>13993.2</v>
      </c>
      <c r="P498" s="10">
        <v>8892</v>
      </c>
      <c r="Q498" s="2">
        <v>5101.2</v>
      </c>
      <c r="R498" s="3">
        <v>0.08</v>
      </c>
      <c r="S498" t="s">
        <v>38</v>
      </c>
      <c r="T498" s="2">
        <v>698.93</v>
      </c>
    </row>
    <row r="499" spans="1:20" x14ac:dyDescent="0.25">
      <c r="A499">
        <v>100498</v>
      </c>
      <c r="B499" s="6">
        <v>45724</v>
      </c>
      <c r="C499">
        <v>2025</v>
      </c>
      <c r="D499" t="s">
        <v>63</v>
      </c>
      <c r="E499">
        <v>3</v>
      </c>
      <c r="F499" t="s">
        <v>64</v>
      </c>
      <c r="G499" t="s">
        <v>35</v>
      </c>
      <c r="H499" t="s">
        <v>23</v>
      </c>
      <c r="I499" t="s">
        <v>36</v>
      </c>
      <c r="J499" t="s">
        <v>25</v>
      </c>
      <c r="K499" t="s">
        <v>59</v>
      </c>
      <c r="L499" t="s">
        <v>60</v>
      </c>
      <c r="M499" s="8">
        <v>126</v>
      </c>
      <c r="N499" s="10">
        <v>45</v>
      </c>
      <c r="O499" s="10">
        <v>5499.9</v>
      </c>
      <c r="P499" s="10">
        <v>3402</v>
      </c>
      <c r="Q499" s="2">
        <v>2097.9</v>
      </c>
      <c r="R499" s="3">
        <v>0.03</v>
      </c>
      <c r="S499" t="s">
        <v>28</v>
      </c>
      <c r="T499" s="2">
        <v>303.77</v>
      </c>
    </row>
    <row r="500" spans="1:20" x14ac:dyDescent="0.25">
      <c r="A500">
        <v>100499</v>
      </c>
      <c r="B500" s="6">
        <v>45589</v>
      </c>
      <c r="C500">
        <v>2024</v>
      </c>
      <c r="D500" t="s">
        <v>43</v>
      </c>
      <c r="E500">
        <v>10</v>
      </c>
      <c r="F500" t="s">
        <v>44</v>
      </c>
      <c r="G500" t="s">
        <v>45</v>
      </c>
      <c r="H500" t="s">
        <v>23</v>
      </c>
      <c r="I500" t="s">
        <v>88</v>
      </c>
      <c r="J500" t="s">
        <v>31</v>
      </c>
      <c r="K500" t="s">
        <v>59</v>
      </c>
      <c r="L500" t="s">
        <v>86</v>
      </c>
      <c r="M500" s="8">
        <v>117</v>
      </c>
      <c r="N500" s="10">
        <v>160</v>
      </c>
      <c r="O500" s="10">
        <v>18158.400000000001</v>
      </c>
      <c r="P500" s="10">
        <v>11115</v>
      </c>
      <c r="Q500" s="2">
        <v>7043.4</v>
      </c>
      <c r="R500" s="3">
        <v>0.03</v>
      </c>
      <c r="S500" t="s">
        <v>70</v>
      </c>
      <c r="T500" s="2">
        <v>1186.26</v>
      </c>
    </row>
    <row r="501" spans="1:20" x14ac:dyDescent="0.25">
      <c r="A501">
        <v>100500</v>
      </c>
      <c r="B501" s="6">
        <v>45534</v>
      </c>
      <c r="C501">
        <v>2024</v>
      </c>
      <c r="D501" t="s">
        <v>39</v>
      </c>
      <c r="E501">
        <v>8</v>
      </c>
      <c r="F501" t="s">
        <v>58</v>
      </c>
      <c r="G501" t="s">
        <v>45</v>
      </c>
      <c r="H501" t="s">
        <v>23</v>
      </c>
      <c r="I501" t="s">
        <v>46</v>
      </c>
      <c r="J501" t="s">
        <v>68</v>
      </c>
      <c r="K501" t="s">
        <v>55</v>
      </c>
      <c r="L501" t="s">
        <v>84</v>
      </c>
      <c r="M501" s="8">
        <v>121</v>
      </c>
      <c r="N501" s="10">
        <v>55</v>
      </c>
      <c r="O501" s="10">
        <v>6122.6</v>
      </c>
      <c r="P501" s="10">
        <v>4477</v>
      </c>
      <c r="Q501" s="2">
        <v>1645.6</v>
      </c>
      <c r="R501" s="3">
        <v>0.08</v>
      </c>
      <c r="S501" t="s">
        <v>38</v>
      </c>
      <c r="T501" s="2">
        <v>280.20999999999998</v>
      </c>
    </row>
  </sheetData>
  <autoFilter ref="A1:T50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1"/>
  <sheetViews>
    <sheetView workbookViewId="0">
      <selection sqref="A1:T501"/>
    </sheetView>
  </sheetViews>
  <sheetFormatPr defaultRowHeight="15" x14ac:dyDescent="0.25"/>
  <cols>
    <col min="1" max="1" width="11.140625" customWidth="1"/>
    <col min="2" max="2" width="13.42578125" customWidth="1"/>
    <col min="4" max="4" width="10" customWidth="1"/>
    <col min="6" max="6" width="15.42578125" customWidth="1"/>
    <col min="7" max="7" width="9.28515625" customWidth="1"/>
    <col min="8" max="8" width="10.140625" customWidth="1"/>
    <col min="10" max="10" width="14.85546875" customWidth="1"/>
    <col min="11" max="11" width="11" customWidth="1"/>
    <col min="12" max="12" width="10" customWidth="1"/>
    <col min="13" max="13" width="10.85546875" customWidth="1"/>
    <col min="14" max="14" width="12.42578125" customWidth="1"/>
    <col min="18" max="18" width="10.85546875" customWidth="1"/>
    <col min="19" max="19" width="20.5703125" customWidth="1"/>
    <col min="20" max="20" width="18.855468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100001</v>
      </c>
      <c r="B2" s="6">
        <v>45787</v>
      </c>
      <c r="C2">
        <v>2025</v>
      </c>
      <c r="D2" t="s">
        <v>20</v>
      </c>
      <c r="E2">
        <v>5</v>
      </c>
      <c r="F2" t="s">
        <v>21</v>
      </c>
      <c r="G2" t="s">
        <v>22</v>
      </c>
      <c r="H2" t="s">
        <v>23</v>
      </c>
      <c r="I2" t="s">
        <v>24</v>
      </c>
      <c r="J2" t="s">
        <v>25</v>
      </c>
      <c r="K2" t="s">
        <v>26</v>
      </c>
      <c r="L2" t="s">
        <v>27</v>
      </c>
      <c r="M2">
        <v>112</v>
      </c>
      <c r="N2">
        <v>110</v>
      </c>
      <c r="O2">
        <v>11950.4</v>
      </c>
      <c r="P2">
        <v>7616</v>
      </c>
      <c r="Q2">
        <v>4334.3999999999996</v>
      </c>
      <c r="R2">
        <v>0.03</v>
      </c>
      <c r="S2" t="s">
        <v>28</v>
      </c>
      <c r="T2">
        <v>244.97</v>
      </c>
    </row>
    <row r="3" spans="1:20" x14ac:dyDescent="0.25">
      <c r="A3">
        <v>100002</v>
      </c>
      <c r="B3" s="6">
        <v>45798</v>
      </c>
      <c r="C3">
        <v>2025</v>
      </c>
      <c r="D3" t="s">
        <v>20</v>
      </c>
      <c r="E3">
        <v>5</v>
      </c>
      <c r="F3" t="s">
        <v>21</v>
      </c>
      <c r="G3" t="s">
        <v>29</v>
      </c>
      <c r="H3" t="s">
        <v>23</v>
      </c>
      <c r="I3" t="s">
        <v>30</v>
      </c>
      <c r="J3" t="s">
        <v>31</v>
      </c>
      <c r="K3" t="s">
        <v>32</v>
      </c>
      <c r="L3" t="s">
        <v>33</v>
      </c>
      <c r="M3">
        <v>97</v>
      </c>
      <c r="N3">
        <v>60</v>
      </c>
      <c r="O3">
        <v>5354.4</v>
      </c>
      <c r="P3">
        <v>3686</v>
      </c>
      <c r="Q3">
        <v>1668.4</v>
      </c>
      <c r="R3">
        <v>0.08</v>
      </c>
      <c r="S3" t="s">
        <v>28</v>
      </c>
      <c r="T3">
        <v>142.85</v>
      </c>
    </row>
    <row r="4" spans="1:20" x14ac:dyDescent="0.25">
      <c r="A4">
        <v>100003</v>
      </c>
      <c r="B4" s="6">
        <v>45386</v>
      </c>
      <c r="C4">
        <v>2024</v>
      </c>
      <c r="D4" t="s">
        <v>20</v>
      </c>
      <c r="E4">
        <v>4</v>
      </c>
      <c r="F4" t="s">
        <v>34</v>
      </c>
      <c r="G4" t="s">
        <v>35</v>
      </c>
      <c r="H4" t="s">
        <v>23</v>
      </c>
      <c r="I4" t="s">
        <v>36</v>
      </c>
      <c r="J4" t="s">
        <v>31</v>
      </c>
      <c r="K4" t="s">
        <v>32</v>
      </c>
      <c r="L4" t="s">
        <v>37</v>
      </c>
      <c r="M4">
        <v>58</v>
      </c>
      <c r="N4">
        <v>120</v>
      </c>
      <c r="O4">
        <v>6751.2</v>
      </c>
      <c r="P4">
        <v>4524</v>
      </c>
      <c r="Q4">
        <v>2227.1999999999998</v>
      </c>
      <c r="R4">
        <v>0.03</v>
      </c>
      <c r="S4" t="s">
        <v>38</v>
      </c>
      <c r="T4">
        <v>249.74</v>
      </c>
    </row>
    <row r="5" spans="1:20" x14ac:dyDescent="0.25">
      <c r="A5">
        <v>100004</v>
      </c>
      <c r="B5" s="6">
        <v>45902</v>
      </c>
      <c r="C5">
        <v>2025</v>
      </c>
      <c r="D5" t="s">
        <v>39</v>
      </c>
      <c r="E5">
        <v>9</v>
      </c>
      <c r="F5" t="s">
        <v>40</v>
      </c>
      <c r="G5" t="s">
        <v>22</v>
      </c>
      <c r="H5" t="s">
        <v>23</v>
      </c>
      <c r="I5" t="s">
        <v>41</v>
      </c>
      <c r="J5" t="s">
        <v>42</v>
      </c>
      <c r="K5" t="s">
        <v>32</v>
      </c>
      <c r="L5" t="s">
        <v>33</v>
      </c>
      <c r="M5">
        <v>60</v>
      </c>
      <c r="N5">
        <v>60</v>
      </c>
      <c r="O5">
        <v>3492</v>
      </c>
      <c r="P5">
        <v>2280</v>
      </c>
      <c r="Q5">
        <v>1212</v>
      </c>
      <c r="R5">
        <v>0.03</v>
      </c>
      <c r="S5" t="s">
        <v>38</v>
      </c>
      <c r="T5">
        <v>241.22</v>
      </c>
    </row>
    <row r="6" spans="1:20" x14ac:dyDescent="0.25">
      <c r="A6">
        <v>100005</v>
      </c>
      <c r="B6" s="6">
        <v>45573</v>
      </c>
      <c r="C6">
        <v>2024</v>
      </c>
      <c r="D6" t="s">
        <v>43</v>
      </c>
      <c r="E6">
        <v>10</v>
      </c>
      <c r="F6" t="s">
        <v>44</v>
      </c>
      <c r="G6" t="s">
        <v>45</v>
      </c>
      <c r="H6" t="s">
        <v>23</v>
      </c>
      <c r="I6" t="s">
        <v>46</v>
      </c>
      <c r="J6" t="s">
        <v>42</v>
      </c>
      <c r="K6" t="s">
        <v>32</v>
      </c>
      <c r="L6" t="s">
        <v>47</v>
      </c>
      <c r="M6">
        <v>98</v>
      </c>
      <c r="N6">
        <v>180</v>
      </c>
      <c r="O6">
        <v>15876</v>
      </c>
      <c r="P6">
        <v>11270</v>
      </c>
      <c r="Q6">
        <v>4606</v>
      </c>
      <c r="R6">
        <v>0.1</v>
      </c>
      <c r="S6" t="s">
        <v>38</v>
      </c>
      <c r="T6">
        <v>944.02</v>
      </c>
    </row>
    <row r="7" spans="1:20" x14ac:dyDescent="0.25">
      <c r="A7">
        <v>100006</v>
      </c>
      <c r="B7" s="6">
        <v>45824</v>
      </c>
      <c r="C7">
        <v>2025</v>
      </c>
      <c r="D7" t="s">
        <v>20</v>
      </c>
      <c r="E7">
        <v>6</v>
      </c>
      <c r="F7" t="s">
        <v>48</v>
      </c>
      <c r="G7" t="s">
        <v>29</v>
      </c>
      <c r="H7" t="s">
        <v>23</v>
      </c>
      <c r="I7" t="s">
        <v>49</v>
      </c>
      <c r="J7" t="s">
        <v>50</v>
      </c>
      <c r="K7" t="s">
        <v>51</v>
      </c>
      <c r="L7" t="s">
        <v>52</v>
      </c>
      <c r="M7">
        <v>17</v>
      </c>
      <c r="N7">
        <v>75</v>
      </c>
      <c r="O7">
        <v>1275</v>
      </c>
      <c r="P7">
        <v>748</v>
      </c>
      <c r="Q7">
        <v>527</v>
      </c>
      <c r="R7">
        <v>0</v>
      </c>
      <c r="S7" t="s">
        <v>38</v>
      </c>
      <c r="T7">
        <v>82.89</v>
      </c>
    </row>
    <row r="8" spans="1:20" x14ac:dyDescent="0.25">
      <c r="A8">
        <v>100007</v>
      </c>
      <c r="B8" s="6">
        <v>45952</v>
      </c>
      <c r="C8">
        <v>2025</v>
      </c>
      <c r="D8" t="s">
        <v>43</v>
      </c>
      <c r="E8">
        <v>10</v>
      </c>
      <c r="F8" t="s">
        <v>44</v>
      </c>
      <c r="G8" t="s">
        <v>35</v>
      </c>
      <c r="H8" t="s">
        <v>23</v>
      </c>
      <c r="I8" t="s">
        <v>36</v>
      </c>
      <c r="J8" t="s">
        <v>50</v>
      </c>
      <c r="K8" t="s">
        <v>32</v>
      </c>
      <c r="L8" t="s">
        <v>47</v>
      </c>
      <c r="M8">
        <v>63</v>
      </c>
      <c r="N8">
        <v>180</v>
      </c>
      <c r="O8">
        <v>11340</v>
      </c>
      <c r="P8">
        <v>7245</v>
      </c>
      <c r="Q8">
        <v>4095</v>
      </c>
      <c r="R8">
        <v>0</v>
      </c>
      <c r="S8" t="s">
        <v>28</v>
      </c>
      <c r="T8">
        <v>695.43</v>
      </c>
    </row>
    <row r="9" spans="1:20" x14ac:dyDescent="0.25">
      <c r="A9">
        <v>100008</v>
      </c>
      <c r="B9" s="6">
        <v>45922</v>
      </c>
      <c r="C9">
        <v>2025</v>
      </c>
      <c r="D9" t="s">
        <v>39</v>
      </c>
      <c r="E9">
        <v>9</v>
      </c>
      <c r="F9" t="s">
        <v>40</v>
      </c>
      <c r="G9" t="s">
        <v>35</v>
      </c>
      <c r="H9" t="s">
        <v>23</v>
      </c>
      <c r="I9" t="s">
        <v>53</v>
      </c>
      <c r="J9" t="s">
        <v>54</v>
      </c>
      <c r="K9" t="s">
        <v>55</v>
      </c>
      <c r="L9" t="s">
        <v>56</v>
      </c>
      <c r="M9">
        <v>49</v>
      </c>
      <c r="N9">
        <v>320</v>
      </c>
      <c r="O9">
        <v>14425.6</v>
      </c>
      <c r="P9">
        <v>11515</v>
      </c>
      <c r="Q9">
        <v>2910.6</v>
      </c>
      <c r="R9">
        <v>0.08</v>
      </c>
      <c r="S9" t="s">
        <v>57</v>
      </c>
      <c r="T9">
        <v>809.31</v>
      </c>
    </row>
    <row r="10" spans="1:20" x14ac:dyDescent="0.25">
      <c r="A10">
        <v>100009</v>
      </c>
      <c r="B10" s="6">
        <v>45143</v>
      </c>
      <c r="C10">
        <v>2023</v>
      </c>
      <c r="D10" t="s">
        <v>39</v>
      </c>
      <c r="E10">
        <v>8</v>
      </c>
      <c r="F10" t="s">
        <v>58</v>
      </c>
      <c r="G10" t="s">
        <v>29</v>
      </c>
      <c r="H10" t="s">
        <v>23</v>
      </c>
      <c r="I10" t="s">
        <v>49</v>
      </c>
      <c r="J10" t="s">
        <v>42</v>
      </c>
      <c r="K10" t="s">
        <v>59</v>
      </c>
      <c r="L10" t="s">
        <v>60</v>
      </c>
      <c r="M10">
        <v>24</v>
      </c>
      <c r="N10">
        <v>45</v>
      </c>
      <c r="O10">
        <v>1080</v>
      </c>
      <c r="P10">
        <v>648</v>
      </c>
      <c r="Q10">
        <v>432</v>
      </c>
      <c r="R10">
        <v>0</v>
      </c>
      <c r="S10" t="s">
        <v>57</v>
      </c>
      <c r="T10">
        <v>17.13</v>
      </c>
    </row>
    <row r="11" spans="1:20" x14ac:dyDescent="0.25">
      <c r="A11">
        <v>100010</v>
      </c>
      <c r="B11" s="6">
        <v>45574</v>
      </c>
      <c r="C11">
        <v>2024</v>
      </c>
      <c r="D11" t="s">
        <v>43</v>
      </c>
      <c r="E11">
        <v>10</v>
      </c>
      <c r="F11" t="s">
        <v>44</v>
      </c>
      <c r="G11" t="s">
        <v>29</v>
      </c>
      <c r="H11" t="s">
        <v>23</v>
      </c>
      <c r="I11" t="s">
        <v>30</v>
      </c>
      <c r="J11" t="s">
        <v>61</v>
      </c>
      <c r="K11" t="s">
        <v>26</v>
      </c>
      <c r="L11" t="s">
        <v>27</v>
      </c>
      <c r="M11">
        <v>145</v>
      </c>
      <c r="N11">
        <v>110</v>
      </c>
      <c r="O11">
        <v>15152.5</v>
      </c>
      <c r="P11">
        <v>9860</v>
      </c>
      <c r="Q11">
        <v>5292.5</v>
      </c>
      <c r="R11">
        <v>0.05</v>
      </c>
      <c r="S11" t="s">
        <v>28</v>
      </c>
      <c r="T11">
        <v>870.05</v>
      </c>
    </row>
    <row r="12" spans="1:20" x14ac:dyDescent="0.25">
      <c r="A12">
        <v>100011</v>
      </c>
      <c r="B12" s="6">
        <v>45944</v>
      </c>
      <c r="C12">
        <v>2025</v>
      </c>
      <c r="D12" t="s">
        <v>43</v>
      </c>
      <c r="E12">
        <v>10</v>
      </c>
      <c r="F12" t="s">
        <v>44</v>
      </c>
      <c r="G12" t="s">
        <v>45</v>
      </c>
      <c r="H12" t="s">
        <v>23</v>
      </c>
      <c r="I12" t="s">
        <v>62</v>
      </c>
      <c r="J12" t="s">
        <v>54</v>
      </c>
      <c r="K12" t="s">
        <v>55</v>
      </c>
      <c r="L12" t="s">
        <v>56</v>
      </c>
      <c r="M12">
        <v>21</v>
      </c>
      <c r="N12">
        <v>320</v>
      </c>
      <c r="O12">
        <v>6585.6</v>
      </c>
      <c r="P12">
        <v>4935</v>
      </c>
      <c r="Q12">
        <v>1650.6</v>
      </c>
      <c r="R12">
        <v>0.02</v>
      </c>
      <c r="S12" t="s">
        <v>57</v>
      </c>
      <c r="T12">
        <v>121.81</v>
      </c>
    </row>
    <row r="13" spans="1:20" x14ac:dyDescent="0.25">
      <c r="A13">
        <v>100012</v>
      </c>
      <c r="B13" s="6">
        <v>45731</v>
      </c>
      <c r="C13">
        <v>2025</v>
      </c>
      <c r="D13" t="s">
        <v>63</v>
      </c>
      <c r="E13">
        <v>3</v>
      </c>
      <c r="F13" t="s">
        <v>64</v>
      </c>
      <c r="G13" t="s">
        <v>22</v>
      </c>
      <c r="H13" t="s">
        <v>23</v>
      </c>
      <c r="I13" t="s">
        <v>65</v>
      </c>
      <c r="J13" t="s">
        <v>66</v>
      </c>
      <c r="K13" t="s">
        <v>59</v>
      </c>
      <c r="L13" t="s">
        <v>67</v>
      </c>
      <c r="M13">
        <v>44</v>
      </c>
      <c r="N13">
        <v>95</v>
      </c>
      <c r="O13">
        <v>4054.6</v>
      </c>
      <c r="P13">
        <v>2464</v>
      </c>
      <c r="Q13">
        <v>1590.6</v>
      </c>
      <c r="R13">
        <v>0.03</v>
      </c>
      <c r="S13" t="s">
        <v>57</v>
      </c>
      <c r="T13">
        <v>87.49</v>
      </c>
    </row>
    <row r="14" spans="1:20" x14ac:dyDescent="0.25">
      <c r="A14">
        <v>100013</v>
      </c>
      <c r="B14" s="6">
        <v>45955</v>
      </c>
      <c r="C14">
        <v>2025</v>
      </c>
      <c r="D14" t="s">
        <v>43</v>
      </c>
      <c r="E14">
        <v>10</v>
      </c>
      <c r="F14" t="s">
        <v>44</v>
      </c>
      <c r="G14" t="s">
        <v>35</v>
      </c>
      <c r="H14" t="s">
        <v>23</v>
      </c>
      <c r="I14" t="s">
        <v>53</v>
      </c>
      <c r="J14" t="s">
        <v>68</v>
      </c>
      <c r="K14" t="s">
        <v>26</v>
      </c>
      <c r="L14" t="s">
        <v>69</v>
      </c>
      <c r="M14">
        <v>36</v>
      </c>
      <c r="N14">
        <v>130</v>
      </c>
      <c r="O14">
        <v>4539.6000000000004</v>
      </c>
      <c r="P14">
        <v>2736</v>
      </c>
      <c r="Q14">
        <v>1803.6</v>
      </c>
      <c r="R14">
        <v>0.03</v>
      </c>
      <c r="S14" t="s">
        <v>70</v>
      </c>
      <c r="T14">
        <v>174.84</v>
      </c>
    </row>
    <row r="15" spans="1:20" x14ac:dyDescent="0.25">
      <c r="A15">
        <v>100014</v>
      </c>
      <c r="B15" s="6">
        <v>45790</v>
      </c>
      <c r="C15">
        <v>2025</v>
      </c>
      <c r="D15" t="s">
        <v>20</v>
      </c>
      <c r="E15">
        <v>5</v>
      </c>
      <c r="F15" t="s">
        <v>21</v>
      </c>
      <c r="G15" t="s">
        <v>22</v>
      </c>
      <c r="H15" t="s">
        <v>23</v>
      </c>
      <c r="I15" t="s">
        <v>71</v>
      </c>
      <c r="J15" t="s">
        <v>61</v>
      </c>
      <c r="K15" t="s">
        <v>51</v>
      </c>
      <c r="L15" t="s">
        <v>72</v>
      </c>
      <c r="M15">
        <v>141</v>
      </c>
      <c r="N15">
        <v>90</v>
      </c>
      <c r="O15">
        <v>11674.8</v>
      </c>
      <c r="P15">
        <v>7332</v>
      </c>
      <c r="Q15">
        <v>4342.8</v>
      </c>
      <c r="R15">
        <v>0.08</v>
      </c>
      <c r="S15" t="s">
        <v>70</v>
      </c>
      <c r="T15">
        <v>335.2</v>
      </c>
    </row>
    <row r="16" spans="1:20" x14ac:dyDescent="0.25">
      <c r="A16">
        <v>100015</v>
      </c>
      <c r="B16" s="6">
        <v>45467</v>
      </c>
      <c r="C16">
        <v>2024</v>
      </c>
      <c r="D16" t="s">
        <v>20</v>
      </c>
      <c r="E16">
        <v>6</v>
      </c>
      <c r="F16" t="s">
        <v>48</v>
      </c>
      <c r="G16" t="s">
        <v>29</v>
      </c>
      <c r="H16" t="s">
        <v>23</v>
      </c>
      <c r="I16" t="s">
        <v>73</v>
      </c>
      <c r="J16" t="s">
        <v>66</v>
      </c>
      <c r="K16" t="s">
        <v>32</v>
      </c>
      <c r="L16" t="s">
        <v>74</v>
      </c>
      <c r="M16">
        <v>95</v>
      </c>
      <c r="N16">
        <v>25</v>
      </c>
      <c r="O16">
        <v>2185</v>
      </c>
      <c r="P16">
        <v>1330</v>
      </c>
      <c r="Q16">
        <v>855</v>
      </c>
      <c r="R16">
        <v>0.08</v>
      </c>
      <c r="S16" t="s">
        <v>70</v>
      </c>
      <c r="T16">
        <v>107.81</v>
      </c>
    </row>
    <row r="17" spans="1:20" x14ac:dyDescent="0.25">
      <c r="A17">
        <v>100016</v>
      </c>
      <c r="B17" s="6">
        <v>45572</v>
      </c>
      <c r="C17">
        <v>2024</v>
      </c>
      <c r="D17" t="s">
        <v>43</v>
      </c>
      <c r="E17">
        <v>10</v>
      </c>
      <c r="F17" t="s">
        <v>44</v>
      </c>
      <c r="G17" t="s">
        <v>29</v>
      </c>
      <c r="H17" t="s">
        <v>23</v>
      </c>
      <c r="I17" t="s">
        <v>49</v>
      </c>
      <c r="J17" t="s">
        <v>54</v>
      </c>
      <c r="K17" t="s">
        <v>32</v>
      </c>
      <c r="L17" t="s">
        <v>47</v>
      </c>
      <c r="M17">
        <v>39</v>
      </c>
      <c r="N17">
        <v>180</v>
      </c>
      <c r="O17">
        <v>6458.4</v>
      </c>
      <c r="P17">
        <v>4485</v>
      </c>
      <c r="Q17">
        <v>1973.4</v>
      </c>
      <c r="R17">
        <v>0.08</v>
      </c>
      <c r="S17" t="s">
        <v>28</v>
      </c>
      <c r="T17">
        <v>212.09</v>
      </c>
    </row>
    <row r="18" spans="1:20" x14ac:dyDescent="0.25">
      <c r="A18">
        <v>100017</v>
      </c>
      <c r="B18" s="6">
        <v>45116</v>
      </c>
      <c r="C18">
        <v>2023</v>
      </c>
      <c r="D18" t="s">
        <v>39</v>
      </c>
      <c r="E18">
        <v>7</v>
      </c>
      <c r="F18" t="s">
        <v>75</v>
      </c>
      <c r="G18" t="s">
        <v>45</v>
      </c>
      <c r="H18" t="s">
        <v>23</v>
      </c>
      <c r="I18" t="s">
        <v>46</v>
      </c>
      <c r="J18" t="s">
        <v>54</v>
      </c>
      <c r="K18" t="s">
        <v>51</v>
      </c>
      <c r="L18" t="s">
        <v>76</v>
      </c>
      <c r="M18">
        <v>130</v>
      </c>
      <c r="N18">
        <v>40</v>
      </c>
      <c r="O18">
        <v>4784</v>
      </c>
      <c r="P18">
        <v>2990</v>
      </c>
      <c r="Q18">
        <v>1794</v>
      </c>
      <c r="R18">
        <v>0.08</v>
      </c>
      <c r="S18" t="s">
        <v>38</v>
      </c>
      <c r="T18">
        <v>298.24</v>
      </c>
    </row>
    <row r="19" spans="1:20" x14ac:dyDescent="0.25">
      <c r="A19">
        <v>100018</v>
      </c>
      <c r="B19" s="6">
        <v>45575</v>
      </c>
      <c r="C19">
        <v>2024</v>
      </c>
      <c r="D19" t="s">
        <v>43</v>
      </c>
      <c r="E19">
        <v>10</v>
      </c>
      <c r="F19" t="s">
        <v>44</v>
      </c>
      <c r="G19" t="s">
        <v>35</v>
      </c>
      <c r="H19" t="s">
        <v>23</v>
      </c>
      <c r="I19" t="s">
        <v>77</v>
      </c>
      <c r="J19" t="s">
        <v>42</v>
      </c>
      <c r="K19" t="s">
        <v>26</v>
      </c>
      <c r="L19" t="s">
        <v>78</v>
      </c>
      <c r="M19">
        <v>68</v>
      </c>
      <c r="N19">
        <v>95</v>
      </c>
      <c r="O19">
        <v>6330.8</v>
      </c>
      <c r="P19">
        <v>3944</v>
      </c>
      <c r="Q19">
        <v>2386.8000000000002</v>
      </c>
      <c r="R19">
        <v>0.02</v>
      </c>
      <c r="S19" t="s">
        <v>70</v>
      </c>
      <c r="T19">
        <v>275.60000000000002</v>
      </c>
    </row>
    <row r="20" spans="1:20" x14ac:dyDescent="0.25">
      <c r="A20">
        <v>100019</v>
      </c>
      <c r="B20" s="6">
        <v>45368</v>
      </c>
      <c r="C20">
        <v>2024</v>
      </c>
      <c r="D20" t="s">
        <v>63</v>
      </c>
      <c r="E20">
        <v>3</v>
      </c>
      <c r="F20" t="s">
        <v>64</v>
      </c>
      <c r="G20" t="s">
        <v>29</v>
      </c>
      <c r="H20" t="s">
        <v>23</v>
      </c>
      <c r="I20" t="s">
        <v>49</v>
      </c>
      <c r="J20" t="s">
        <v>42</v>
      </c>
      <c r="K20" t="s">
        <v>51</v>
      </c>
      <c r="L20" t="s">
        <v>76</v>
      </c>
      <c r="M20">
        <v>140</v>
      </c>
      <c r="N20">
        <v>40</v>
      </c>
      <c r="O20">
        <v>5488</v>
      </c>
      <c r="P20">
        <v>3220</v>
      </c>
      <c r="Q20">
        <v>2268</v>
      </c>
      <c r="R20">
        <v>0.02</v>
      </c>
      <c r="S20" t="s">
        <v>38</v>
      </c>
      <c r="T20">
        <v>168.3</v>
      </c>
    </row>
    <row r="21" spans="1:20" x14ac:dyDescent="0.25">
      <c r="A21">
        <v>100020</v>
      </c>
      <c r="B21" s="6">
        <v>44928</v>
      </c>
      <c r="C21">
        <v>2023</v>
      </c>
      <c r="D21" t="s">
        <v>63</v>
      </c>
      <c r="E21">
        <v>1</v>
      </c>
      <c r="F21" t="s">
        <v>79</v>
      </c>
      <c r="G21" t="s">
        <v>35</v>
      </c>
      <c r="H21" t="s">
        <v>23</v>
      </c>
      <c r="I21" t="s">
        <v>80</v>
      </c>
      <c r="J21" t="s">
        <v>50</v>
      </c>
      <c r="K21" t="s">
        <v>32</v>
      </c>
      <c r="L21" t="s">
        <v>37</v>
      </c>
      <c r="M21">
        <v>138</v>
      </c>
      <c r="N21">
        <v>120</v>
      </c>
      <c r="O21">
        <v>16228.8</v>
      </c>
      <c r="P21">
        <v>10764</v>
      </c>
      <c r="Q21">
        <v>5464.8</v>
      </c>
      <c r="R21">
        <v>0.02</v>
      </c>
      <c r="S21" t="s">
        <v>70</v>
      </c>
      <c r="T21">
        <v>372.76</v>
      </c>
    </row>
    <row r="22" spans="1:20" x14ac:dyDescent="0.25">
      <c r="A22">
        <v>100021</v>
      </c>
      <c r="B22" s="6">
        <v>45173</v>
      </c>
      <c r="C22">
        <v>2023</v>
      </c>
      <c r="D22" t="s">
        <v>39</v>
      </c>
      <c r="E22">
        <v>9</v>
      </c>
      <c r="F22" t="s">
        <v>40</v>
      </c>
      <c r="G22" t="s">
        <v>29</v>
      </c>
      <c r="H22" t="s">
        <v>23</v>
      </c>
      <c r="I22" t="s">
        <v>30</v>
      </c>
      <c r="J22" t="s">
        <v>66</v>
      </c>
      <c r="K22" t="s">
        <v>26</v>
      </c>
      <c r="L22" t="s">
        <v>69</v>
      </c>
      <c r="M22">
        <v>47</v>
      </c>
      <c r="N22">
        <v>130</v>
      </c>
      <c r="O22">
        <v>5926.7</v>
      </c>
      <c r="P22">
        <v>3572</v>
      </c>
      <c r="Q22">
        <v>2354.6999999999998</v>
      </c>
      <c r="R22">
        <v>0.03</v>
      </c>
      <c r="S22" t="s">
        <v>38</v>
      </c>
      <c r="T22">
        <v>295.01</v>
      </c>
    </row>
    <row r="23" spans="1:20" x14ac:dyDescent="0.25">
      <c r="A23">
        <v>100022</v>
      </c>
      <c r="B23" s="6">
        <v>45678</v>
      </c>
      <c r="C23">
        <v>2025</v>
      </c>
      <c r="D23" t="s">
        <v>63</v>
      </c>
      <c r="E23">
        <v>1</v>
      </c>
      <c r="F23" t="s">
        <v>79</v>
      </c>
      <c r="G23" t="s">
        <v>29</v>
      </c>
      <c r="H23" t="s">
        <v>23</v>
      </c>
      <c r="I23" t="s">
        <v>73</v>
      </c>
      <c r="J23" t="s">
        <v>50</v>
      </c>
      <c r="K23" t="s">
        <v>32</v>
      </c>
      <c r="L23" t="s">
        <v>74</v>
      </c>
      <c r="M23">
        <v>79</v>
      </c>
      <c r="N23">
        <v>25</v>
      </c>
      <c r="O23">
        <v>1876.25</v>
      </c>
      <c r="P23">
        <v>1106</v>
      </c>
      <c r="Q23">
        <v>770.25</v>
      </c>
      <c r="R23">
        <v>0.05</v>
      </c>
      <c r="S23" t="s">
        <v>57</v>
      </c>
      <c r="T23">
        <v>116.72</v>
      </c>
    </row>
    <row r="24" spans="1:20" x14ac:dyDescent="0.25">
      <c r="A24">
        <v>100023</v>
      </c>
      <c r="B24" s="6">
        <v>45329</v>
      </c>
      <c r="C24">
        <v>2024</v>
      </c>
      <c r="D24" t="s">
        <v>63</v>
      </c>
      <c r="E24">
        <v>2</v>
      </c>
      <c r="F24" t="s">
        <v>81</v>
      </c>
      <c r="G24" t="s">
        <v>35</v>
      </c>
      <c r="H24" t="s">
        <v>23</v>
      </c>
      <c r="I24" t="s">
        <v>53</v>
      </c>
      <c r="J24" t="s">
        <v>31</v>
      </c>
      <c r="K24" t="s">
        <v>26</v>
      </c>
      <c r="L24" t="s">
        <v>82</v>
      </c>
      <c r="M24">
        <v>105</v>
      </c>
      <c r="N24">
        <v>105</v>
      </c>
      <c r="O24">
        <v>11025</v>
      </c>
      <c r="P24">
        <v>6405</v>
      </c>
      <c r="Q24">
        <v>4620</v>
      </c>
      <c r="R24">
        <v>0</v>
      </c>
      <c r="S24" t="s">
        <v>38</v>
      </c>
      <c r="T24">
        <v>735.68</v>
      </c>
    </row>
    <row r="25" spans="1:20" x14ac:dyDescent="0.25">
      <c r="A25">
        <v>100024</v>
      </c>
      <c r="B25" s="6">
        <v>45264</v>
      </c>
      <c r="C25">
        <v>2023</v>
      </c>
      <c r="D25" t="s">
        <v>43</v>
      </c>
      <c r="E25">
        <v>12</v>
      </c>
      <c r="F25" t="s">
        <v>83</v>
      </c>
      <c r="G25" t="s">
        <v>29</v>
      </c>
      <c r="H25" t="s">
        <v>23</v>
      </c>
      <c r="I25" t="s">
        <v>73</v>
      </c>
      <c r="J25" t="s">
        <v>68</v>
      </c>
      <c r="K25" t="s">
        <v>26</v>
      </c>
      <c r="L25" t="s">
        <v>27</v>
      </c>
      <c r="M25">
        <v>51</v>
      </c>
      <c r="N25">
        <v>110</v>
      </c>
      <c r="O25">
        <v>5497.8</v>
      </c>
      <c r="P25">
        <v>3468</v>
      </c>
      <c r="Q25">
        <v>2029.8</v>
      </c>
      <c r="R25">
        <v>0.02</v>
      </c>
      <c r="S25" t="s">
        <v>28</v>
      </c>
      <c r="T25">
        <v>282.02999999999997</v>
      </c>
    </row>
    <row r="26" spans="1:20" x14ac:dyDescent="0.25">
      <c r="A26">
        <v>100025</v>
      </c>
      <c r="B26" s="6">
        <v>45807</v>
      </c>
      <c r="C26">
        <v>2025</v>
      </c>
      <c r="D26" t="s">
        <v>20</v>
      </c>
      <c r="E26">
        <v>5</v>
      </c>
      <c r="F26" t="s">
        <v>21</v>
      </c>
      <c r="G26" t="s">
        <v>35</v>
      </c>
      <c r="H26" t="s">
        <v>23</v>
      </c>
      <c r="I26" t="s">
        <v>77</v>
      </c>
      <c r="J26" t="s">
        <v>42</v>
      </c>
      <c r="K26" t="s">
        <v>32</v>
      </c>
      <c r="L26" t="s">
        <v>47</v>
      </c>
      <c r="M26">
        <v>46</v>
      </c>
      <c r="N26">
        <v>180</v>
      </c>
      <c r="O26">
        <v>7617.6</v>
      </c>
      <c r="P26">
        <v>5290</v>
      </c>
      <c r="Q26">
        <v>2327.6</v>
      </c>
      <c r="R26">
        <v>0.08</v>
      </c>
      <c r="S26" t="s">
        <v>38</v>
      </c>
      <c r="T26">
        <v>193.33</v>
      </c>
    </row>
    <row r="27" spans="1:20" x14ac:dyDescent="0.25">
      <c r="A27">
        <v>100026</v>
      </c>
      <c r="B27" s="6">
        <v>45742</v>
      </c>
      <c r="C27">
        <v>2025</v>
      </c>
      <c r="D27" t="s">
        <v>63</v>
      </c>
      <c r="E27">
        <v>3</v>
      </c>
      <c r="F27" t="s">
        <v>64</v>
      </c>
      <c r="G27" t="s">
        <v>29</v>
      </c>
      <c r="H27" t="s">
        <v>23</v>
      </c>
      <c r="I27" t="s">
        <v>30</v>
      </c>
      <c r="J27" t="s">
        <v>42</v>
      </c>
      <c r="K27" t="s">
        <v>55</v>
      </c>
      <c r="L27" t="s">
        <v>84</v>
      </c>
      <c r="M27">
        <v>129</v>
      </c>
      <c r="N27">
        <v>55</v>
      </c>
      <c r="O27">
        <v>6527.4</v>
      </c>
      <c r="P27">
        <v>4773</v>
      </c>
      <c r="Q27">
        <v>1754.4</v>
      </c>
      <c r="R27">
        <v>0.08</v>
      </c>
      <c r="S27" t="s">
        <v>38</v>
      </c>
      <c r="T27">
        <v>403.4</v>
      </c>
    </row>
    <row r="28" spans="1:20" x14ac:dyDescent="0.25">
      <c r="A28">
        <v>100027</v>
      </c>
      <c r="B28" s="6">
        <v>45030</v>
      </c>
      <c r="C28">
        <v>2023</v>
      </c>
      <c r="D28" t="s">
        <v>20</v>
      </c>
      <c r="E28">
        <v>4</v>
      </c>
      <c r="F28" t="s">
        <v>34</v>
      </c>
      <c r="G28" t="s">
        <v>29</v>
      </c>
      <c r="H28" t="s">
        <v>23</v>
      </c>
      <c r="I28" t="s">
        <v>85</v>
      </c>
      <c r="J28" t="s">
        <v>66</v>
      </c>
      <c r="K28" t="s">
        <v>32</v>
      </c>
      <c r="L28" t="s">
        <v>33</v>
      </c>
      <c r="M28">
        <v>108</v>
      </c>
      <c r="N28">
        <v>60</v>
      </c>
      <c r="O28">
        <v>5832</v>
      </c>
      <c r="P28">
        <v>4104</v>
      </c>
      <c r="Q28">
        <v>1728</v>
      </c>
      <c r="R28">
        <v>0.1</v>
      </c>
      <c r="S28" t="s">
        <v>70</v>
      </c>
      <c r="T28">
        <v>178.55</v>
      </c>
    </row>
    <row r="29" spans="1:20" x14ac:dyDescent="0.25">
      <c r="A29">
        <v>100028</v>
      </c>
      <c r="B29" s="6">
        <v>45748</v>
      </c>
      <c r="C29">
        <v>2025</v>
      </c>
      <c r="D29" t="s">
        <v>20</v>
      </c>
      <c r="E29">
        <v>4</v>
      </c>
      <c r="F29" t="s">
        <v>34</v>
      </c>
      <c r="G29" t="s">
        <v>22</v>
      </c>
      <c r="H29" t="s">
        <v>23</v>
      </c>
      <c r="I29" t="s">
        <v>65</v>
      </c>
      <c r="J29" t="s">
        <v>50</v>
      </c>
      <c r="K29" t="s">
        <v>55</v>
      </c>
      <c r="L29" t="s">
        <v>56</v>
      </c>
      <c r="M29">
        <v>77</v>
      </c>
      <c r="N29">
        <v>320</v>
      </c>
      <c r="O29">
        <v>24147.200000000001</v>
      </c>
      <c r="P29">
        <v>18095</v>
      </c>
      <c r="Q29">
        <v>6052.2</v>
      </c>
      <c r="R29">
        <v>0.02</v>
      </c>
      <c r="S29" t="s">
        <v>38</v>
      </c>
      <c r="T29">
        <v>794.37</v>
      </c>
    </row>
    <row r="30" spans="1:20" x14ac:dyDescent="0.25">
      <c r="A30">
        <v>100029</v>
      </c>
      <c r="B30" s="6">
        <v>45327</v>
      </c>
      <c r="C30">
        <v>2024</v>
      </c>
      <c r="D30" t="s">
        <v>63</v>
      </c>
      <c r="E30">
        <v>2</v>
      </c>
      <c r="F30" t="s">
        <v>81</v>
      </c>
      <c r="G30" t="s">
        <v>29</v>
      </c>
      <c r="H30" t="s">
        <v>23</v>
      </c>
      <c r="I30" t="s">
        <v>73</v>
      </c>
      <c r="J30" t="s">
        <v>66</v>
      </c>
      <c r="K30" t="s">
        <v>59</v>
      </c>
      <c r="L30" t="s">
        <v>67</v>
      </c>
      <c r="M30">
        <v>124</v>
      </c>
      <c r="N30">
        <v>95</v>
      </c>
      <c r="O30">
        <v>11191</v>
      </c>
      <c r="P30">
        <v>6944</v>
      </c>
      <c r="Q30">
        <v>4247</v>
      </c>
      <c r="R30">
        <v>0.05</v>
      </c>
      <c r="S30" t="s">
        <v>28</v>
      </c>
      <c r="T30">
        <v>322.02999999999997</v>
      </c>
    </row>
    <row r="31" spans="1:20" x14ac:dyDescent="0.25">
      <c r="A31">
        <v>100030</v>
      </c>
      <c r="B31" s="6">
        <v>45489</v>
      </c>
      <c r="C31">
        <v>2024</v>
      </c>
      <c r="D31" t="s">
        <v>39</v>
      </c>
      <c r="E31">
        <v>7</v>
      </c>
      <c r="F31" t="s">
        <v>75</v>
      </c>
      <c r="G31" t="s">
        <v>35</v>
      </c>
      <c r="H31" t="s">
        <v>23</v>
      </c>
      <c r="I31" t="s">
        <v>80</v>
      </c>
      <c r="J31" t="s">
        <v>31</v>
      </c>
      <c r="K31" t="s">
        <v>59</v>
      </c>
      <c r="L31" t="s">
        <v>86</v>
      </c>
      <c r="M31">
        <v>30</v>
      </c>
      <c r="N31">
        <v>160</v>
      </c>
      <c r="O31">
        <v>4656</v>
      </c>
      <c r="P31">
        <v>2850</v>
      </c>
      <c r="Q31">
        <v>1806</v>
      </c>
      <c r="R31">
        <v>0.03</v>
      </c>
      <c r="S31" t="s">
        <v>28</v>
      </c>
      <c r="T31">
        <v>217.57</v>
      </c>
    </row>
    <row r="32" spans="1:20" x14ac:dyDescent="0.25">
      <c r="A32">
        <v>100031</v>
      </c>
      <c r="B32" s="6">
        <v>45946</v>
      </c>
      <c r="C32">
        <v>2025</v>
      </c>
      <c r="D32" t="s">
        <v>43</v>
      </c>
      <c r="E32">
        <v>10</v>
      </c>
      <c r="F32" t="s">
        <v>44</v>
      </c>
      <c r="G32" t="s">
        <v>45</v>
      </c>
      <c r="H32" t="s">
        <v>23</v>
      </c>
      <c r="I32" t="s">
        <v>62</v>
      </c>
      <c r="J32" t="s">
        <v>66</v>
      </c>
      <c r="K32" t="s">
        <v>51</v>
      </c>
      <c r="L32" t="s">
        <v>52</v>
      </c>
      <c r="M32">
        <v>58</v>
      </c>
      <c r="N32">
        <v>75</v>
      </c>
      <c r="O32">
        <v>4350</v>
      </c>
      <c r="P32">
        <v>2552</v>
      </c>
      <c r="Q32">
        <v>1798</v>
      </c>
      <c r="R32">
        <v>0</v>
      </c>
      <c r="S32" t="s">
        <v>28</v>
      </c>
      <c r="T32">
        <v>303.2</v>
      </c>
    </row>
    <row r="33" spans="1:20" x14ac:dyDescent="0.25">
      <c r="A33">
        <v>100032</v>
      </c>
      <c r="B33" s="6">
        <v>45444</v>
      </c>
      <c r="C33">
        <v>2024</v>
      </c>
      <c r="D33" t="s">
        <v>20</v>
      </c>
      <c r="E33">
        <v>6</v>
      </c>
      <c r="F33" t="s">
        <v>48</v>
      </c>
      <c r="G33" t="s">
        <v>22</v>
      </c>
      <c r="H33" t="s">
        <v>23</v>
      </c>
      <c r="I33" t="s">
        <v>65</v>
      </c>
      <c r="J33" t="s">
        <v>25</v>
      </c>
      <c r="K33" t="s">
        <v>32</v>
      </c>
      <c r="L33" t="s">
        <v>47</v>
      </c>
      <c r="M33">
        <v>102</v>
      </c>
      <c r="N33">
        <v>180</v>
      </c>
      <c r="O33">
        <v>17809.2</v>
      </c>
      <c r="P33">
        <v>11730</v>
      </c>
      <c r="Q33">
        <v>6079.2</v>
      </c>
      <c r="R33">
        <v>0.03</v>
      </c>
      <c r="S33" t="s">
        <v>28</v>
      </c>
      <c r="T33">
        <v>1213.98</v>
      </c>
    </row>
    <row r="34" spans="1:20" x14ac:dyDescent="0.25">
      <c r="A34">
        <v>100033</v>
      </c>
      <c r="B34" s="6">
        <v>45117</v>
      </c>
      <c r="C34">
        <v>2023</v>
      </c>
      <c r="D34" t="s">
        <v>39</v>
      </c>
      <c r="E34">
        <v>7</v>
      </c>
      <c r="F34" t="s">
        <v>75</v>
      </c>
      <c r="G34" t="s">
        <v>45</v>
      </c>
      <c r="H34" t="s">
        <v>23</v>
      </c>
      <c r="I34" t="s">
        <v>46</v>
      </c>
      <c r="J34" t="s">
        <v>54</v>
      </c>
      <c r="K34" t="s">
        <v>32</v>
      </c>
      <c r="L34" t="s">
        <v>37</v>
      </c>
      <c r="M34">
        <v>76</v>
      </c>
      <c r="N34">
        <v>120</v>
      </c>
      <c r="O34">
        <v>9120</v>
      </c>
      <c r="P34">
        <v>5928</v>
      </c>
      <c r="Q34">
        <v>3192</v>
      </c>
      <c r="R34">
        <v>0</v>
      </c>
      <c r="S34" t="s">
        <v>57</v>
      </c>
      <c r="T34">
        <v>416.09</v>
      </c>
    </row>
    <row r="35" spans="1:20" x14ac:dyDescent="0.25">
      <c r="A35">
        <v>100034</v>
      </c>
      <c r="B35" s="6">
        <v>45612</v>
      </c>
      <c r="C35">
        <v>2024</v>
      </c>
      <c r="D35" t="s">
        <v>43</v>
      </c>
      <c r="E35">
        <v>11</v>
      </c>
      <c r="F35" t="s">
        <v>87</v>
      </c>
      <c r="G35" t="s">
        <v>29</v>
      </c>
      <c r="H35" t="s">
        <v>23</v>
      </c>
      <c r="I35" t="s">
        <v>85</v>
      </c>
      <c r="J35" t="s">
        <v>42</v>
      </c>
      <c r="K35" t="s">
        <v>59</v>
      </c>
      <c r="L35" t="s">
        <v>86</v>
      </c>
      <c r="M35">
        <v>136</v>
      </c>
      <c r="N35">
        <v>160</v>
      </c>
      <c r="O35">
        <v>21107.200000000001</v>
      </c>
      <c r="P35">
        <v>12920</v>
      </c>
      <c r="Q35">
        <v>8187.2</v>
      </c>
      <c r="R35">
        <v>0.03</v>
      </c>
      <c r="S35" t="s">
        <v>57</v>
      </c>
      <c r="T35">
        <v>1335.15</v>
      </c>
    </row>
    <row r="36" spans="1:20" x14ac:dyDescent="0.25">
      <c r="A36">
        <v>100035</v>
      </c>
      <c r="B36" s="6">
        <v>45172</v>
      </c>
      <c r="C36">
        <v>2023</v>
      </c>
      <c r="D36" t="s">
        <v>39</v>
      </c>
      <c r="E36">
        <v>9</v>
      </c>
      <c r="F36" t="s">
        <v>40</v>
      </c>
      <c r="G36" t="s">
        <v>29</v>
      </c>
      <c r="H36" t="s">
        <v>23</v>
      </c>
      <c r="I36" t="s">
        <v>30</v>
      </c>
      <c r="J36" t="s">
        <v>61</v>
      </c>
      <c r="K36" t="s">
        <v>51</v>
      </c>
      <c r="L36" t="s">
        <v>52</v>
      </c>
      <c r="M36">
        <v>35</v>
      </c>
      <c r="N36">
        <v>75</v>
      </c>
      <c r="O36">
        <v>2415</v>
      </c>
      <c r="P36">
        <v>1540</v>
      </c>
      <c r="Q36">
        <v>875</v>
      </c>
      <c r="R36">
        <v>0.08</v>
      </c>
      <c r="S36" t="s">
        <v>38</v>
      </c>
      <c r="T36">
        <v>151.38999999999999</v>
      </c>
    </row>
    <row r="37" spans="1:20" x14ac:dyDescent="0.25">
      <c r="A37">
        <v>100036</v>
      </c>
      <c r="B37" s="6">
        <v>45829</v>
      </c>
      <c r="C37">
        <v>2025</v>
      </c>
      <c r="D37" t="s">
        <v>20</v>
      </c>
      <c r="E37">
        <v>6</v>
      </c>
      <c r="F37" t="s">
        <v>48</v>
      </c>
      <c r="G37" t="s">
        <v>45</v>
      </c>
      <c r="H37" t="s">
        <v>23</v>
      </c>
      <c r="I37" t="s">
        <v>62</v>
      </c>
      <c r="J37" t="s">
        <v>50</v>
      </c>
      <c r="K37" t="s">
        <v>26</v>
      </c>
      <c r="L37" t="s">
        <v>27</v>
      </c>
      <c r="M37">
        <v>17</v>
      </c>
      <c r="N37">
        <v>110</v>
      </c>
      <c r="O37">
        <v>1776.5</v>
      </c>
      <c r="P37">
        <v>1156</v>
      </c>
      <c r="Q37">
        <v>620.5</v>
      </c>
      <c r="R37">
        <v>0.05</v>
      </c>
      <c r="S37" t="s">
        <v>28</v>
      </c>
      <c r="T37">
        <v>104.4</v>
      </c>
    </row>
    <row r="38" spans="1:20" x14ac:dyDescent="0.25">
      <c r="A38">
        <v>100037</v>
      </c>
      <c r="B38" s="6">
        <v>45760</v>
      </c>
      <c r="C38">
        <v>2025</v>
      </c>
      <c r="D38" t="s">
        <v>20</v>
      </c>
      <c r="E38">
        <v>4</v>
      </c>
      <c r="F38" t="s">
        <v>34</v>
      </c>
      <c r="G38" t="s">
        <v>29</v>
      </c>
      <c r="H38" t="s">
        <v>23</v>
      </c>
      <c r="I38" t="s">
        <v>30</v>
      </c>
      <c r="J38" t="s">
        <v>68</v>
      </c>
      <c r="K38" t="s">
        <v>26</v>
      </c>
      <c r="L38" t="s">
        <v>69</v>
      </c>
      <c r="M38">
        <v>72</v>
      </c>
      <c r="N38">
        <v>130</v>
      </c>
      <c r="O38">
        <v>8424</v>
      </c>
      <c r="P38">
        <v>5472</v>
      </c>
      <c r="Q38">
        <v>2952</v>
      </c>
      <c r="R38">
        <v>0.1</v>
      </c>
      <c r="S38" t="s">
        <v>38</v>
      </c>
      <c r="T38">
        <v>515.04999999999995</v>
      </c>
    </row>
    <row r="39" spans="1:20" x14ac:dyDescent="0.25">
      <c r="A39">
        <v>100038</v>
      </c>
      <c r="B39" s="6">
        <v>45608</v>
      </c>
      <c r="C39">
        <v>2024</v>
      </c>
      <c r="D39" t="s">
        <v>43</v>
      </c>
      <c r="E39">
        <v>11</v>
      </c>
      <c r="F39" t="s">
        <v>87</v>
      </c>
      <c r="G39" t="s">
        <v>35</v>
      </c>
      <c r="H39" t="s">
        <v>23</v>
      </c>
      <c r="I39" t="s">
        <v>53</v>
      </c>
      <c r="J39" t="s">
        <v>50</v>
      </c>
      <c r="K39" t="s">
        <v>51</v>
      </c>
      <c r="L39" t="s">
        <v>72</v>
      </c>
      <c r="M39">
        <v>110</v>
      </c>
      <c r="N39">
        <v>90</v>
      </c>
      <c r="O39">
        <v>9603</v>
      </c>
      <c r="P39">
        <v>5720</v>
      </c>
      <c r="Q39">
        <v>3883</v>
      </c>
      <c r="R39">
        <v>0.03</v>
      </c>
      <c r="S39" t="s">
        <v>28</v>
      </c>
      <c r="T39">
        <v>550.73</v>
      </c>
    </row>
    <row r="40" spans="1:20" x14ac:dyDescent="0.25">
      <c r="A40">
        <v>100039</v>
      </c>
      <c r="B40" s="6">
        <v>45700</v>
      </c>
      <c r="C40">
        <v>2025</v>
      </c>
      <c r="D40" t="s">
        <v>63</v>
      </c>
      <c r="E40">
        <v>2</v>
      </c>
      <c r="F40" t="s">
        <v>81</v>
      </c>
      <c r="G40" t="s">
        <v>45</v>
      </c>
      <c r="H40" t="s">
        <v>23</v>
      </c>
      <c r="I40" t="s">
        <v>62</v>
      </c>
      <c r="J40" t="s">
        <v>61</v>
      </c>
      <c r="K40" t="s">
        <v>59</v>
      </c>
      <c r="L40" t="s">
        <v>67</v>
      </c>
      <c r="M40">
        <v>108</v>
      </c>
      <c r="N40">
        <v>95</v>
      </c>
      <c r="O40">
        <v>9747</v>
      </c>
      <c r="P40">
        <v>6048</v>
      </c>
      <c r="Q40">
        <v>3699</v>
      </c>
      <c r="R40">
        <v>0.05</v>
      </c>
      <c r="S40" t="s">
        <v>28</v>
      </c>
      <c r="T40">
        <v>535.45000000000005</v>
      </c>
    </row>
    <row r="41" spans="1:20" x14ac:dyDescent="0.25">
      <c r="A41">
        <v>100040</v>
      </c>
      <c r="B41" s="6">
        <v>45583</v>
      </c>
      <c r="C41">
        <v>2024</v>
      </c>
      <c r="D41" t="s">
        <v>43</v>
      </c>
      <c r="E41">
        <v>10</v>
      </c>
      <c r="F41" t="s">
        <v>44</v>
      </c>
      <c r="G41" t="s">
        <v>29</v>
      </c>
      <c r="H41" t="s">
        <v>23</v>
      </c>
      <c r="I41" t="s">
        <v>30</v>
      </c>
      <c r="J41" t="s">
        <v>54</v>
      </c>
      <c r="K41" t="s">
        <v>51</v>
      </c>
      <c r="L41" t="s">
        <v>76</v>
      </c>
      <c r="M41">
        <v>99</v>
      </c>
      <c r="N41">
        <v>40</v>
      </c>
      <c r="O41">
        <v>3960</v>
      </c>
      <c r="P41">
        <v>2277</v>
      </c>
      <c r="Q41">
        <v>1683</v>
      </c>
      <c r="R41">
        <v>0</v>
      </c>
      <c r="S41" t="s">
        <v>70</v>
      </c>
      <c r="T41">
        <v>269.06</v>
      </c>
    </row>
    <row r="42" spans="1:20" x14ac:dyDescent="0.25">
      <c r="A42">
        <v>100041</v>
      </c>
      <c r="B42" s="6">
        <v>45939</v>
      </c>
      <c r="C42">
        <v>2025</v>
      </c>
      <c r="D42" t="s">
        <v>43</v>
      </c>
      <c r="E42">
        <v>10</v>
      </c>
      <c r="F42" t="s">
        <v>44</v>
      </c>
      <c r="G42" t="s">
        <v>45</v>
      </c>
      <c r="H42" t="s">
        <v>23</v>
      </c>
      <c r="I42" t="s">
        <v>88</v>
      </c>
      <c r="J42" t="s">
        <v>42</v>
      </c>
      <c r="K42" t="s">
        <v>55</v>
      </c>
      <c r="L42" t="s">
        <v>89</v>
      </c>
      <c r="M42">
        <v>43</v>
      </c>
      <c r="N42">
        <v>280</v>
      </c>
      <c r="O42">
        <v>11799.2</v>
      </c>
      <c r="P42">
        <v>8815</v>
      </c>
      <c r="Q42">
        <v>2984.2</v>
      </c>
      <c r="R42">
        <v>0.02</v>
      </c>
      <c r="S42" t="s">
        <v>57</v>
      </c>
      <c r="T42">
        <v>237.91</v>
      </c>
    </row>
    <row r="43" spans="1:20" x14ac:dyDescent="0.25">
      <c r="A43">
        <v>100042</v>
      </c>
      <c r="B43" s="6">
        <v>45823</v>
      </c>
      <c r="C43">
        <v>2025</v>
      </c>
      <c r="D43" t="s">
        <v>20</v>
      </c>
      <c r="E43">
        <v>6</v>
      </c>
      <c r="F43" t="s">
        <v>48</v>
      </c>
      <c r="G43" t="s">
        <v>29</v>
      </c>
      <c r="H43" t="s">
        <v>23</v>
      </c>
      <c r="I43" t="s">
        <v>73</v>
      </c>
      <c r="J43" t="s">
        <v>50</v>
      </c>
      <c r="K43" t="s">
        <v>26</v>
      </c>
      <c r="L43" t="s">
        <v>69</v>
      </c>
      <c r="M43">
        <v>78</v>
      </c>
      <c r="N43">
        <v>130</v>
      </c>
      <c r="O43">
        <v>9633</v>
      </c>
      <c r="P43">
        <v>5928</v>
      </c>
      <c r="Q43">
        <v>3705</v>
      </c>
      <c r="R43">
        <v>0.05</v>
      </c>
      <c r="S43" t="s">
        <v>70</v>
      </c>
      <c r="T43">
        <v>366.81</v>
      </c>
    </row>
    <row r="44" spans="1:20" x14ac:dyDescent="0.25">
      <c r="A44">
        <v>100043</v>
      </c>
      <c r="B44" s="6">
        <v>45923</v>
      </c>
      <c r="C44">
        <v>2025</v>
      </c>
      <c r="D44" t="s">
        <v>39</v>
      </c>
      <c r="E44">
        <v>9</v>
      </c>
      <c r="F44" t="s">
        <v>40</v>
      </c>
      <c r="G44" t="s">
        <v>35</v>
      </c>
      <c r="H44" t="s">
        <v>23</v>
      </c>
      <c r="I44" t="s">
        <v>77</v>
      </c>
      <c r="J44" t="s">
        <v>66</v>
      </c>
      <c r="K44" t="s">
        <v>51</v>
      </c>
      <c r="L44" t="s">
        <v>72</v>
      </c>
      <c r="M44">
        <v>78</v>
      </c>
      <c r="N44">
        <v>90</v>
      </c>
      <c r="O44">
        <v>7020</v>
      </c>
      <c r="P44">
        <v>4056</v>
      </c>
      <c r="Q44">
        <v>2964</v>
      </c>
      <c r="R44">
        <v>0</v>
      </c>
      <c r="S44" t="s">
        <v>57</v>
      </c>
      <c r="T44">
        <v>225.54</v>
      </c>
    </row>
    <row r="45" spans="1:20" x14ac:dyDescent="0.25">
      <c r="A45">
        <v>100044</v>
      </c>
      <c r="B45" s="6">
        <v>45838</v>
      </c>
      <c r="C45">
        <v>2025</v>
      </c>
      <c r="D45" t="s">
        <v>20</v>
      </c>
      <c r="E45">
        <v>6</v>
      </c>
      <c r="F45" t="s">
        <v>48</v>
      </c>
      <c r="G45" t="s">
        <v>35</v>
      </c>
      <c r="H45" t="s">
        <v>23</v>
      </c>
      <c r="I45" t="s">
        <v>36</v>
      </c>
      <c r="J45" t="s">
        <v>54</v>
      </c>
      <c r="K45" t="s">
        <v>59</v>
      </c>
      <c r="L45" t="s">
        <v>67</v>
      </c>
      <c r="M45">
        <v>109</v>
      </c>
      <c r="N45">
        <v>95</v>
      </c>
      <c r="O45">
        <v>10355</v>
      </c>
      <c r="P45">
        <v>6104</v>
      </c>
      <c r="Q45">
        <v>4251</v>
      </c>
      <c r="R45">
        <v>0</v>
      </c>
      <c r="S45" t="s">
        <v>38</v>
      </c>
      <c r="T45">
        <v>402.41</v>
      </c>
    </row>
    <row r="46" spans="1:20" x14ac:dyDescent="0.25">
      <c r="A46">
        <v>100045</v>
      </c>
      <c r="B46" s="6">
        <v>45728</v>
      </c>
      <c r="C46">
        <v>2025</v>
      </c>
      <c r="D46" t="s">
        <v>63</v>
      </c>
      <c r="E46">
        <v>3</v>
      </c>
      <c r="F46" t="s">
        <v>64</v>
      </c>
      <c r="G46" t="s">
        <v>29</v>
      </c>
      <c r="H46" t="s">
        <v>23</v>
      </c>
      <c r="I46" t="s">
        <v>30</v>
      </c>
      <c r="J46" t="s">
        <v>50</v>
      </c>
      <c r="K46" t="s">
        <v>32</v>
      </c>
      <c r="L46" t="s">
        <v>74</v>
      </c>
      <c r="M46">
        <v>105</v>
      </c>
      <c r="N46">
        <v>25</v>
      </c>
      <c r="O46">
        <v>2415</v>
      </c>
      <c r="P46">
        <v>1470</v>
      </c>
      <c r="Q46">
        <v>945</v>
      </c>
      <c r="R46">
        <v>0.08</v>
      </c>
      <c r="S46" t="s">
        <v>70</v>
      </c>
      <c r="T46">
        <v>123.72</v>
      </c>
    </row>
    <row r="47" spans="1:20" x14ac:dyDescent="0.25">
      <c r="A47">
        <v>100046</v>
      </c>
      <c r="B47" s="6">
        <v>45262</v>
      </c>
      <c r="C47">
        <v>2023</v>
      </c>
      <c r="D47" t="s">
        <v>43</v>
      </c>
      <c r="E47">
        <v>12</v>
      </c>
      <c r="F47" t="s">
        <v>83</v>
      </c>
      <c r="G47" t="s">
        <v>22</v>
      </c>
      <c r="H47" t="s">
        <v>23</v>
      </c>
      <c r="I47" t="s">
        <v>41</v>
      </c>
      <c r="J47" t="s">
        <v>50</v>
      </c>
      <c r="K47" t="s">
        <v>32</v>
      </c>
      <c r="L47" t="s">
        <v>47</v>
      </c>
      <c r="M47">
        <v>93</v>
      </c>
      <c r="N47">
        <v>180</v>
      </c>
      <c r="O47">
        <v>15903</v>
      </c>
      <c r="P47">
        <v>10695</v>
      </c>
      <c r="Q47">
        <v>5208</v>
      </c>
      <c r="R47">
        <v>0.05</v>
      </c>
      <c r="S47" t="s">
        <v>38</v>
      </c>
      <c r="T47">
        <v>578.05999999999995</v>
      </c>
    </row>
    <row r="48" spans="1:20" x14ac:dyDescent="0.25">
      <c r="A48">
        <v>100047</v>
      </c>
      <c r="B48" s="6">
        <v>45883</v>
      </c>
      <c r="C48">
        <v>2025</v>
      </c>
      <c r="D48" t="s">
        <v>39</v>
      </c>
      <c r="E48">
        <v>8</v>
      </c>
      <c r="F48" t="s">
        <v>58</v>
      </c>
      <c r="G48" t="s">
        <v>22</v>
      </c>
      <c r="H48" t="s">
        <v>23</v>
      </c>
      <c r="I48" t="s">
        <v>24</v>
      </c>
      <c r="J48" t="s">
        <v>50</v>
      </c>
      <c r="K48" t="s">
        <v>55</v>
      </c>
      <c r="L48" t="s">
        <v>89</v>
      </c>
      <c r="M48">
        <v>74</v>
      </c>
      <c r="N48">
        <v>280</v>
      </c>
      <c r="O48">
        <v>18648</v>
      </c>
      <c r="P48">
        <v>15170</v>
      </c>
      <c r="Q48">
        <v>3478</v>
      </c>
      <c r="R48">
        <v>0.1</v>
      </c>
      <c r="S48" t="s">
        <v>38</v>
      </c>
      <c r="T48">
        <v>1208.28</v>
      </c>
    </row>
    <row r="49" spans="1:20" x14ac:dyDescent="0.25">
      <c r="A49">
        <v>100048</v>
      </c>
      <c r="B49" s="6">
        <v>44938</v>
      </c>
      <c r="C49">
        <v>2023</v>
      </c>
      <c r="D49" t="s">
        <v>63</v>
      </c>
      <c r="E49">
        <v>1</v>
      </c>
      <c r="F49" t="s">
        <v>79</v>
      </c>
      <c r="G49" t="s">
        <v>22</v>
      </c>
      <c r="H49" t="s">
        <v>23</v>
      </c>
      <c r="I49" t="s">
        <v>41</v>
      </c>
      <c r="J49" t="s">
        <v>61</v>
      </c>
      <c r="K49" t="s">
        <v>32</v>
      </c>
      <c r="L49" t="s">
        <v>74</v>
      </c>
      <c r="M49">
        <v>44</v>
      </c>
      <c r="N49">
        <v>25</v>
      </c>
      <c r="O49">
        <v>1078</v>
      </c>
      <c r="P49">
        <v>616</v>
      </c>
      <c r="Q49">
        <v>462</v>
      </c>
      <c r="R49">
        <v>0.02</v>
      </c>
      <c r="S49" t="s">
        <v>57</v>
      </c>
      <c r="T49">
        <v>55.05</v>
      </c>
    </row>
    <row r="50" spans="1:20" x14ac:dyDescent="0.25">
      <c r="A50">
        <v>100049</v>
      </c>
      <c r="B50" s="6">
        <v>45948</v>
      </c>
      <c r="C50">
        <v>2025</v>
      </c>
      <c r="D50" t="s">
        <v>43</v>
      </c>
      <c r="E50">
        <v>10</v>
      </c>
      <c r="F50" t="s">
        <v>44</v>
      </c>
      <c r="G50" t="s">
        <v>35</v>
      </c>
      <c r="H50" t="s">
        <v>23</v>
      </c>
      <c r="I50" t="s">
        <v>53</v>
      </c>
      <c r="J50" t="s">
        <v>61</v>
      </c>
      <c r="K50" t="s">
        <v>51</v>
      </c>
      <c r="L50" t="s">
        <v>72</v>
      </c>
      <c r="M50">
        <v>67</v>
      </c>
      <c r="N50">
        <v>90</v>
      </c>
      <c r="O50">
        <v>5728.5</v>
      </c>
      <c r="P50">
        <v>3484</v>
      </c>
      <c r="Q50">
        <v>2244.5</v>
      </c>
      <c r="R50">
        <v>0.05</v>
      </c>
      <c r="S50" t="s">
        <v>38</v>
      </c>
      <c r="T50">
        <v>284.08999999999997</v>
      </c>
    </row>
    <row r="51" spans="1:20" x14ac:dyDescent="0.25">
      <c r="A51">
        <v>100050</v>
      </c>
      <c r="B51" s="6">
        <v>45655</v>
      </c>
      <c r="C51">
        <v>2024</v>
      </c>
      <c r="D51" t="s">
        <v>43</v>
      </c>
      <c r="E51">
        <v>12</v>
      </c>
      <c r="F51" t="s">
        <v>83</v>
      </c>
      <c r="G51" t="s">
        <v>45</v>
      </c>
      <c r="H51" t="s">
        <v>23</v>
      </c>
      <c r="I51" t="s">
        <v>46</v>
      </c>
      <c r="J51" t="s">
        <v>42</v>
      </c>
      <c r="K51" t="s">
        <v>51</v>
      </c>
      <c r="L51" t="s">
        <v>76</v>
      </c>
      <c r="M51">
        <v>110</v>
      </c>
      <c r="N51">
        <v>40</v>
      </c>
      <c r="O51">
        <v>4180</v>
      </c>
      <c r="P51">
        <v>2530</v>
      </c>
      <c r="Q51">
        <v>1650</v>
      </c>
      <c r="R51">
        <v>0.05</v>
      </c>
      <c r="S51" t="s">
        <v>57</v>
      </c>
      <c r="T51">
        <v>248.19</v>
      </c>
    </row>
    <row r="52" spans="1:20" x14ac:dyDescent="0.25">
      <c r="A52">
        <v>100051</v>
      </c>
      <c r="B52" s="6">
        <v>45904</v>
      </c>
      <c r="C52">
        <v>2025</v>
      </c>
      <c r="D52" t="s">
        <v>39</v>
      </c>
      <c r="E52">
        <v>9</v>
      </c>
      <c r="F52" t="s">
        <v>40</v>
      </c>
      <c r="G52" t="s">
        <v>45</v>
      </c>
      <c r="H52" t="s">
        <v>23</v>
      </c>
      <c r="I52" t="s">
        <v>90</v>
      </c>
      <c r="J52" t="s">
        <v>54</v>
      </c>
      <c r="K52" t="s">
        <v>59</v>
      </c>
      <c r="L52" t="s">
        <v>67</v>
      </c>
      <c r="M52">
        <v>46</v>
      </c>
      <c r="N52">
        <v>95</v>
      </c>
      <c r="O52">
        <v>4282.6000000000004</v>
      </c>
      <c r="P52">
        <v>2576</v>
      </c>
      <c r="Q52">
        <v>1706.6</v>
      </c>
      <c r="R52">
        <v>0.02</v>
      </c>
      <c r="S52" t="s">
        <v>57</v>
      </c>
      <c r="T52">
        <v>224.37</v>
      </c>
    </row>
    <row r="53" spans="1:20" x14ac:dyDescent="0.25">
      <c r="A53">
        <v>100052</v>
      </c>
      <c r="B53" s="6">
        <v>45799</v>
      </c>
      <c r="C53">
        <v>2025</v>
      </c>
      <c r="D53" t="s">
        <v>20</v>
      </c>
      <c r="E53">
        <v>5</v>
      </c>
      <c r="F53" t="s">
        <v>21</v>
      </c>
      <c r="G53" t="s">
        <v>35</v>
      </c>
      <c r="H53" t="s">
        <v>23</v>
      </c>
      <c r="I53" t="s">
        <v>77</v>
      </c>
      <c r="J53" t="s">
        <v>25</v>
      </c>
      <c r="K53" t="s">
        <v>59</v>
      </c>
      <c r="L53" t="s">
        <v>91</v>
      </c>
      <c r="M53">
        <v>121</v>
      </c>
      <c r="N53">
        <v>140</v>
      </c>
      <c r="O53">
        <v>16431.8</v>
      </c>
      <c r="P53">
        <v>9922</v>
      </c>
      <c r="Q53">
        <v>6509.8</v>
      </c>
      <c r="R53">
        <v>0.03</v>
      </c>
      <c r="S53" t="s">
        <v>38</v>
      </c>
      <c r="T53">
        <v>515.46</v>
      </c>
    </row>
    <row r="54" spans="1:20" x14ac:dyDescent="0.25">
      <c r="A54">
        <v>100053</v>
      </c>
      <c r="B54" s="6">
        <v>45322</v>
      </c>
      <c r="C54">
        <v>2024</v>
      </c>
      <c r="D54" t="s">
        <v>63</v>
      </c>
      <c r="E54">
        <v>1</v>
      </c>
      <c r="F54" t="s">
        <v>79</v>
      </c>
      <c r="G54" t="s">
        <v>45</v>
      </c>
      <c r="H54" t="s">
        <v>23</v>
      </c>
      <c r="I54" t="s">
        <v>46</v>
      </c>
      <c r="J54" t="s">
        <v>25</v>
      </c>
      <c r="K54" t="s">
        <v>26</v>
      </c>
      <c r="L54" t="s">
        <v>27</v>
      </c>
      <c r="M54">
        <v>37</v>
      </c>
      <c r="N54">
        <v>110</v>
      </c>
      <c r="O54">
        <v>3663</v>
      </c>
      <c r="P54">
        <v>2516</v>
      </c>
      <c r="Q54">
        <v>1147</v>
      </c>
      <c r="R54">
        <v>0.1</v>
      </c>
      <c r="S54" t="s">
        <v>70</v>
      </c>
      <c r="T54">
        <v>246.46</v>
      </c>
    </row>
    <row r="55" spans="1:20" x14ac:dyDescent="0.25">
      <c r="A55">
        <v>100054</v>
      </c>
      <c r="B55" s="6">
        <v>45070</v>
      </c>
      <c r="C55">
        <v>2023</v>
      </c>
      <c r="D55" t="s">
        <v>20</v>
      </c>
      <c r="E55">
        <v>5</v>
      </c>
      <c r="F55" t="s">
        <v>21</v>
      </c>
      <c r="G55" t="s">
        <v>45</v>
      </c>
      <c r="H55" t="s">
        <v>23</v>
      </c>
      <c r="I55" t="s">
        <v>46</v>
      </c>
      <c r="J55" t="s">
        <v>31</v>
      </c>
      <c r="K55" t="s">
        <v>51</v>
      </c>
      <c r="L55" t="s">
        <v>92</v>
      </c>
      <c r="M55">
        <v>132</v>
      </c>
      <c r="N55">
        <v>50</v>
      </c>
      <c r="O55">
        <v>6468</v>
      </c>
      <c r="P55">
        <v>3828</v>
      </c>
      <c r="Q55">
        <v>2640</v>
      </c>
      <c r="R55">
        <v>0.02</v>
      </c>
      <c r="S55" t="s">
        <v>57</v>
      </c>
      <c r="T55">
        <v>433.62</v>
      </c>
    </row>
    <row r="56" spans="1:20" x14ac:dyDescent="0.25">
      <c r="A56">
        <v>100055</v>
      </c>
      <c r="B56" s="6">
        <v>45035</v>
      </c>
      <c r="C56">
        <v>2023</v>
      </c>
      <c r="D56" t="s">
        <v>20</v>
      </c>
      <c r="E56">
        <v>4</v>
      </c>
      <c r="F56" t="s">
        <v>34</v>
      </c>
      <c r="G56" t="s">
        <v>45</v>
      </c>
      <c r="H56" t="s">
        <v>23</v>
      </c>
      <c r="I56" t="s">
        <v>88</v>
      </c>
      <c r="J56" t="s">
        <v>25</v>
      </c>
      <c r="K56" t="s">
        <v>55</v>
      </c>
      <c r="L56" t="s">
        <v>84</v>
      </c>
      <c r="M56">
        <v>131</v>
      </c>
      <c r="N56">
        <v>55</v>
      </c>
      <c r="O56">
        <v>6988.85</v>
      </c>
      <c r="P56">
        <v>4847</v>
      </c>
      <c r="Q56">
        <v>2141.85</v>
      </c>
      <c r="R56">
        <v>0.03</v>
      </c>
      <c r="S56" t="s">
        <v>57</v>
      </c>
      <c r="T56">
        <v>446.05</v>
      </c>
    </row>
    <row r="57" spans="1:20" x14ac:dyDescent="0.25">
      <c r="A57">
        <v>100056</v>
      </c>
      <c r="B57" s="6">
        <v>45677</v>
      </c>
      <c r="C57">
        <v>2025</v>
      </c>
      <c r="D57" t="s">
        <v>63</v>
      </c>
      <c r="E57">
        <v>1</v>
      </c>
      <c r="F57" t="s">
        <v>79</v>
      </c>
      <c r="G57" t="s">
        <v>29</v>
      </c>
      <c r="H57" t="s">
        <v>23</v>
      </c>
      <c r="I57" t="s">
        <v>73</v>
      </c>
      <c r="J57" t="s">
        <v>42</v>
      </c>
      <c r="K57" t="s">
        <v>26</v>
      </c>
      <c r="L57" t="s">
        <v>82</v>
      </c>
      <c r="M57">
        <v>16</v>
      </c>
      <c r="N57">
        <v>105</v>
      </c>
      <c r="O57">
        <v>1629.6</v>
      </c>
      <c r="P57">
        <v>976</v>
      </c>
      <c r="Q57">
        <v>653.6</v>
      </c>
      <c r="R57">
        <v>0.03</v>
      </c>
      <c r="S57" t="s">
        <v>57</v>
      </c>
      <c r="T57">
        <v>44.39</v>
      </c>
    </row>
    <row r="58" spans="1:20" x14ac:dyDescent="0.25">
      <c r="A58">
        <v>100057</v>
      </c>
      <c r="B58" s="6">
        <v>45560</v>
      </c>
      <c r="C58">
        <v>2024</v>
      </c>
      <c r="D58" t="s">
        <v>39</v>
      </c>
      <c r="E58">
        <v>9</v>
      </c>
      <c r="F58" t="s">
        <v>40</v>
      </c>
      <c r="G58" t="s">
        <v>35</v>
      </c>
      <c r="H58" t="s">
        <v>23</v>
      </c>
      <c r="I58" t="s">
        <v>77</v>
      </c>
      <c r="J58" t="s">
        <v>66</v>
      </c>
      <c r="K58" t="s">
        <v>59</v>
      </c>
      <c r="L58" t="s">
        <v>86</v>
      </c>
      <c r="M58">
        <v>92</v>
      </c>
      <c r="N58">
        <v>160</v>
      </c>
      <c r="O58">
        <v>13984</v>
      </c>
      <c r="P58">
        <v>8740</v>
      </c>
      <c r="Q58">
        <v>5244</v>
      </c>
      <c r="R58">
        <v>0.05</v>
      </c>
      <c r="S58" t="s">
        <v>57</v>
      </c>
      <c r="T58">
        <v>873.62</v>
      </c>
    </row>
    <row r="59" spans="1:20" x14ac:dyDescent="0.25">
      <c r="A59">
        <v>100058</v>
      </c>
      <c r="B59" s="6">
        <v>45437</v>
      </c>
      <c r="C59">
        <v>2024</v>
      </c>
      <c r="D59" t="s">
        <v>20</v>
      </c>
      <c r="E59">
        <v>5</v>
      </c>
      <c r="F59" t="s">
        <v>21</v>
      </c>
      <c r="G59" t="s">
        <v>22</v>
      </c>
      <c r="H59" t="s">
        <v>23</v>
      </c>
      <c r="I59" t="s">
        <v>71</v>
      </c>
      <c r="J59" t="s">
        <v>50</v>
      </c>
      <c r="K59" t="s">
        <v>59</v>
      </c>
      <c r="L59" t="s">
        <v>91</v>
      </c>
      <c r="M59">
        <v>79</v>
      </c>
      <c r="N59">
        <v>140</v>
      </c>
      <c r="O59">
        <v>10507</v>
      </c>
      <c r="P59">
        <v>6478</v>
      </c>
      <c r="Q59">
        <v>4029</v>
      </c>
      <c r="R59">
        <v>0.05</v>
      </c>
      <c r="S59" t="s">
        <v>70</v>
      </c>
      <c r="T59">
        <v>435.95</v>
      </c>
    </row>
    <row r="60" spans="1:20" x14ac:dyDescent="0.25">
      <c r="A60">
        <v>100059</v>
      </c>
      <c r="B60" s="6">
        <v>45017</v>
      </c>
      <c r="C60">
        <v>2023</v>
      </c>
      <c r="D60" t="s">
        <v>20</v>
      </c>
      <c r="E60">
        <v>4</v>
      </c>
      <c r="F60" t="s">
        <v>34</v>
      </c>
      <c r="G60" t="s">
        <v>35</v>
      </c>
      <c r="H60" t="s">
        <v>23</v>
      </c>
      <c r="I60" t="s">
        <v>36</v>
      </c>
      <c r="J60" t="s">
        <v>50</v>
      </c>
      <c r="K60" t="s">
        <v>51</v>
      </c>
      <c r="L60" t="s">
        <v>76</v>
      </c>
      <c r="M60">
        <v>150</v>
      </c>
      <c r="N60">
        <v>40</v>
      </c>
      <c r="O60">
        <v>5820</v>
      </c>
      <c r="P60">
        <v>3450</v>
      </c>
      <c r="Q60">
        <v>2370</v>
      </c>
      <c r="R60">
        <v>0.03</v>
      </c>
      <c r="S60" t="s">
        <v>38</v>
      </c>
      <c r="T60">
        <v>270.23</v>
      </c>
    </row>
    <row r="61" spans="1:20" x14ac:dyDescent="0.25">
      <c r="A61">
        <v>100060</v>
      </c>
      <c r="B61" s="6">
        <v>45755</v>
      </c>
      <c r="C61">
        <v>2025</v>
      </c>
      <c r="D61" t="s">
        <v>20</v>
      </c>
      <c r="E61">
        <v>4</v>
      </c>
      <c r="F61" t="s">
        <v>34</v>
      </c>
      <c r="G61" t="s">
        <v>22</v>
      </c>
      <c r="H61" t="s">
        <v>23</v>
      </c>
      <c r="I61" t="s">
        <v>71</v>
      </c>
      <c r="J61" t="s">
        <v>42</v>
      </c>
      <c r="K61" t="s">
        <v>26</v>
      </c>
      <c r="L61" t="s">
        <v>69</v>
      </c>
      <c r="M61">
        <v>101</v>
      </c>
      <c r="N61">
        <v>130</v>
      </c>
      <c r="O61">
        <v>11817</v>
      </c>
      <c r="P61">
        <v>7676</v>
      </c>
      <c r="Q61">
        <v>4141</v>
      </c>
      <c r="R61">
        <v>0.1</v>
      </c>
      <c r="S61" t="s">
        <v>38</v>
      </c>
      <c r="T61">
        <v>420.9</v>
      </c>
    </row>
    <row r="62" spans="1:20" x14ac:dyDescent="0.25">
      <c r="A62">
        <v>100061</v>
      </c>
      <c r="B62" s="6">
        <v>45855</v>
      </c>
      <c r="C62">
        <v>2025</v>
      </c>
      <c r="D62" t="s">
        <v>39</v>
      </c>
      <c r="E62">
        <v>7</v>
      </c>
      <c r="F62" t="s">
        <v>75</v>
      </c>
      <c r="G62" t="s">
        <v>35</v>
      </c>
      <c r="H62" t="s">
        <v>23</v>
      </c>
      <c r="I62" t="s">
        <v>77</v>
      </c>
      <c r="J62" t="s">
        <v>61</v>
      </c>
      <c r="K62" t="s">
        <v>55</v>
      </c>
      <c r="L62" t="s">
        <v>56</v>
      </c>
      <c r="M62">
        <v>70</v>
      </c>
      <c r="N62">
        <v>320</v>
      </c>
      <c r="O62">
        <v>21952</v>
      </c>
      <c r="P62">
        <v>16450</v>
      </c>
      <c r="Q62">
        <v>5502</v>
      </c>
      <c r="R62">
        <v>0.02</v>
      </c>
      <c r="S62" t="s">
        <v>28</v>
      </c>
      <c r="T62">
        <v>381.68</v>
      </c>
    </row>
    <row r="63" spans="1:20" x14ac:dyDescent="0.25">
      <c r="A63">
        <v>100062</v>
      </c>
      <c r="B63" s="6">
        <v>44973</v>
      </c>
      <c r="C63">
        <v>2023</v>
      </c>
      <c r="D63" t="s">
        <v>63</v>
      </c>
      <c r="E63">
        <v>2</v>
      </c>
      <c r="F63" t="s">
        <v>81</v>
      </c>
      <c r="G63" t="s">
        <v>45</v>
      </c>
      <c r="H63" t="s">
        <v>23</v>
      </c>
      <c r="I63" t="s">
        <v>46</v>
      </c>
      <c r="J63" t="s">
        <v>31</v>
      </c>
      <c r="K63" t="s">
        <v>26</v>
      </c>
      <c r="L63" t="s">
        <v>69</v>
      </c>
      <c r="M63">
        <v>10</v>
      </c>
      <c r="N63">
        <v>130</v>
      </c>
      <c r="O63">
        <v>1235</v>
      </c>
      <c r="P63">
        <v>760</v>
      </c>
      <c r="Q63">
        <v>475</v>
      </c>
      <c r="R63">
        <v>0.05</v>
      </c>
      <c r="S63" t="s">
        <v>57</v>
      </c>
      <c r="T63">
        <v>58.21</v>
      </c>
    </row>
    <row r="64" spans="1:20" x14ac:dyDescent="0.25">
      <c r="A64">
        <v>100063</v>
      </c>
      <c r="B64" s="6">
        <v>45897</v>
      </c>
      <c r="C64">
        <v>2025</v>
      </c>
      <c r="D64" t="s">
        <v>39</v>
      </c>
      <c r="E64">
        <v>8</v>
      </c>
      <c r="F64" t="s">
        <v>58</v>
      </c>
      <c r="G64" t="s">
        <v>29</v>
      </c>
      <c r="H64" t="s">
        <v>23</v>
      </c>
      <c r="I64" t="s">
        <v>85</v>
      </c>
      <c r="J64" t="s">
        <v>31</v>
      </c>
      <c r="K64" t="s">
        <v>55</v>
      </c>
      <c r="L64" t="s">
        <v>56</v>
      </c>
      <c r="M64">
        <v>111</v>
      </c>
      <c r="N64">
        <v>320</v>
      </c>
      <c r="O64">
        <v>34454.400000000001</v>
      </c>
      <c r="P64">
        <v>26085</v>
      </c>
      <c r="Q64">
        <v>8369.4</v>
      </c>
      <c r="R64">
        <v>0.03</v>
      </c>
      <c r="S64" t="s">
        <v>38</v>
      </c>
      <c r="T64">
        <v>1691.96</v>
      </c>
    </row>
    <row r="65" spans="1:20" x14ac:dyDescent="0.25">
      <c r="A65">
        <v>100064</v>
      </c>
      <c r="B65" s="6">
        <v>45602</v>
      </c>
      <c r="C65">
        <v>2024</v>
      </c>
      <c r="D65" t="s">
        <v>43</v>
      </c>
      <c r="E65">
        <v>11</v>
      </c>
      <c r="F65" t="s">
        <v>87</v>
      </c>
      <c r="G65" t="s">
        <v>35</v>
      </c>
      <c r="H65" t="s">
        <v>23</v>
      </c>
      <c r="I65" t="s">
        <v>80</v>
      </c>
      <c r="J65" t="s">
        <v>31</v>
      </c>
      <c r="K65" t="s">
        <v>51</v>
      </c>
      <c r="L65" t="s">
        <v>76</v>
      </c>
      <c r="M65">
        <v>37</v>
      </c>
      <c r="N65">
        <v>40</v>
      </c>
      <c r="O65">
        <v>1480</v>
      </c>
      <c r="P65">
        <v>851</v>
      </c>
      <c r="Q65">
        <v>629</v>
      </c>
      <c r="R65">
        <v>0</v>
      </c>
      <c r="S65" t="s">
        <v>70</v>
      </c>
      <c r="T65">
        <v>101.52</v>
      </c>
    </row>
    <row r="66" spans="1:20" x14ac:dyDescent="0.25">
      <c r="A66">
        <v>100065</v>
      </c>
      <c r="B66" s="6">
        <v>45885</v>
      </c>
      <c r="C66">
        <v>2025</v>
      </c>
      <c r="D66" t="s">
        <v>39</v>
      </c>
      <c r="E66">
        <v>8</v>
      </c>
      <c r="F66" t="s">
        <v>58</v>
      </c>
      <c r="G66" t="s">
        <v>45</v>
      </c>
      <c r="H66" t="s">
        <v>23</v>
      </c>
      <c r="I66" t="s">
        <v>46</v>
      </c>
      <c r="J66" t="s">
        <v>68</v>
      </c>
      <c r="K66" t="s">
        <v>51</v>
      </c>
      <c r="L66" t="s">
        <v>72</v>
      </c>
      <c r="M66">
        <v>150</v>
      </c>
      <c r="N66">
        <v>90</v>
      </c>
      <c r="O66">
        <v>12420</v>
      </c>
      <c r="P66">
        <v>7800</v>
      </c>
      <c r="Q66">
        <v>4620</v>
      </c>
      <c r="R66">
        <v>0.08</v>
      </c>
      <c r="S66" t="s">
        <v>70</v>
      </c>
      <c r="T66">
        <v>748.18</v>
      </c>
    </row>
    <row r="67" spans="1:20" x14ac:dyDescent="0.25">
      <c r="A67">
        <v>100066</v>
      </c>
      <c r="B67" s="6">
        <v>45635</v>
      </c>
      <c r="C67">
        <v>2024</v>
      </c>
      <c r="D67" t="s">
        <v>43</v>
      </c>
      <c r="E67">
        <v>12</v>
      </c>
      <c r="F67" t="s">
        <v>83</v>
      </c>
      <c r="G67" t="s">
        <v>22</v>
      </c>
      <c r="H67" t="s">
        <v>23</v>
      </c>
      <c r="I67" t="s">
        <v>71</v>
      </c>
      <c r="J67" t="s">
        <v>54</v>
      </c>
      <c r="K67" t="s">
        <v>51</v>
      </c>
      <c r="L67" t="s">
        <v>72</v>
      </c>
      <c r="M67">
        <v>39</v>
      </c>
      <c r="N67">
        <v>90</v>
      </c>
      <c r="O67">
        <v>3229.2</v>
      </c>
      <c r="P67">
        <v>2028</v>
      </c>
      <c r="Q67">
        <v>1201.2</v>
      </c>
      <c r="R67">
        <v>0.08</v>
      </c>
      <c r="S67" t="s">
        <v>70</v>
      </c>
      <c r="T67">
        <v>56.47</v>
      </c>
    </row>
    <row r="68" spans="1:20" x14ac:dyDescent="0.25">
      <c r="A68">
        <v>100067</v>
      </c>
      <c r="B68" s="6">
        <v>45300</v>
      </c>
      <c r="C68">
        <v>2024</v>
      </c>
      <c r="D68" t="s">
        <v>63</v>
      </c>
      <c r="E68">
        <v>1</v>
      </c>
      <c r="F68" t="s">
        <v>79</v>
      </c>
      <c r="G68" t="s">
        <v>45</v>
      </c>
      <c r="H68" t="s">
        <v>23</v>
      </c>
      <c r="I68" t="s">
        <v>88</v>
      </c>
      <c r="J68" t="s">
        <v>66</v>
      </c>
      <c r="K68" t="s">
        <v>55</v>
      </c>
      <c r="L68" t="s">
        <v>93</v>
      </c>
      <c r="M68">
        <v>20</v>
      </c>
      <c r="N68">
        <v>60</v>
      </c>
      <c r="O68">
        <v>1140</v>
      </c>
      <c r="P68">
        <v>840</v>
      </c>
      <c r="Q68">
        <v>300</v>
      </c>
      <c r="R68">
        <v>0.05</v>
      </c>
      <c r="S68" t="s">
        <v>57</v>
      </c>
      <c r="T68">
        <v>40.98</v>
      </c>
    </row>
    <row r="69" spans="1:20" x14ac:dyDescent="0.25">
      <c r="A69">
        <v>100068</v>
      </c>
      <c r="B69" s="6">
        <v>45615</v>
      </c>
      <c r="C69">
        <v>2024</v>
      </c>
      <c r="D69" t="s">
        <v>43</v>
      </c>
      <c r="E69">
        <v>11</v>
      </c>
      <c r="F69" t="s">
        <v>87</v>
      </c>
      <c r="G69" t="s">
        <v>45</v>
      </c>
      <c r="H69" t="s">
        <v>23</v>
      </c>
      <c r="I69" t="s">
        <v>46</v>
      </c>
      <c r="J69" t="s">
        <v>50</v>
      </c>
      <c r="K69" t="s">
        <v>59</v>
      </c>
      <c r="L69" t="s">
        <v>67</v>
      </c>
      <c r="M69">
        <v>138</v>
      </c>
      <c r="N69">
        <v>95</v>
      </c>
      <c r="O69">
        <v>13110</v>
      </c>
      <c r="P69">
        <v>7728</v>
      </c>
      <c r="Q69">
        <v>5382</v>
      </c>
      <c r="R69">
        <v>0</v>
      </c>
      <c r="S69" t="s">
        <v>57</v>
      </c>
      <c r="T69">
        <v>250.99</v>
      </c>
    </row>
    <row r="70" spans="1:20" x14ac:dyDescent="0.25">
      <c r="A70">
        <v>100069</v>
      </c>
      <c r="B70" s="6">
        <v>45697</v>
      </c>
      <c r="C70">
        <v>2025</v>
      </c>
      <c r="D70" t="s">
        <v>63</v>
      </c>
      <c r="E70">
        <v>2</v>
      </c>
      <c r="F70" t="s">
        <v>81</v>
      </c>
      <c r="G70" t="s">
        <v>45</v>
      </c>
      <c r="H70" t="s">
        <v>23</v>
      </c>
      <c r="I70" t="s">
        <v>90</v>
      </c>
      <c r="J70" t="s">
        <v>66</v>
      </c>
      <c r="K70" t="s">
        <v>26</v>
      </c>
      <c r="L70" t="s">
        <v>27</v>
      </c>
      <c r="M70">
        <v>92</v>
      </c>
      <c r="N70">
        <v>110</v>
      </c>
      <c r="O70">
        <v>9917.6</v>
      </c>
      <c r="P70">
        <v>6256</v>
      </c>
      <c r="Q70">
        <v>3661.6</v>
      </c>
      <c r="R70">
        <v>0.02</v>
      </c>
      <c r="S70" t="s">
        <v>38</v>
      </c>
      <c r="T70">
        <v>394.52</v>
      </c>
    </row>
    <row r="71" spans="1:20" x14ac:dyDescent="0.25">
      <c r="A71">
        <v>100070</v>
      </c>
      <c r="B71" s="6">
        <v>45611</v>
      </c>
      <c r="C71">
        <v>2024</v>
      </c>
      <c r="D71" t="s">
        <v>43</v>
      </c>
      <c r="E71">
        <v>11</v>
      </c>
      <c r="F71" t="s">
        <v>87</v>
      </c>
      <c r="G71" t="s">
        <v>45</v>
      </c>
      <c r="H71" t="s">
        <v>23</v>
      </c>
      <c r="I71" t="s">
        <v>62</v>
      </c>
      <c r="J71" t="s">
        <v>54</v>
      </c>
      <c r="K71" t="s">
        <v>51</v>
      </c>
      <c r="L71" t="s">
        <v>92</v>
      </c>
      <c r="M71">
        <v>41</v>
      </c>
      <c r="N71">
        <v>50</v>
      </c>
      <c r="O71">
        <v>2050</v>
      </c>
      <c r="P71">
        <v>1189</v>
      </c>
      <c r="Q71">
        <v>861</v>
      </c>
      <c r="R71">
        <v>0</v>
      </c>
      <c r="S71" t="s">
        <v>57</v>
      </c>
      <c r="T71">
        <v>61.04</v>
      </c>
    </row>
    <row r="72" spans="1:20" x14ac:dyDescent="0.25">
      <c r="A72">
        <v>100071</v>
      </c>
      <c r="B72" s="6">
        <v>45600</v>
      </c>
      <c r="C72">
        <v>2024</v>
      </c>
      <c r="D72" t="s">
        <v>43</v>
      </c>
      <c r="E72">
        <v>11</v>
      </c>
      <c r="F72" t="s">
        <v>87</v>
      </c>
      <c r="G72" t="s">
        <v>35</v>
      </c>
      <c r="H72" t="s">
        <v>23</v>
      </c>
      <c r="I72" t="s">
        <v>36</v>
      </c>
      <c r="J72" t="s">
        <v>66</v>
      </c>
      <c r="K72" t="s">
        <v>26</v>
      </c>
      <c r="L72" t="s">
        <v>78</v>
      </c>
      <c r="M72">
        <v>21</v>
      </c>
      <c r="N72">
        <v>95</v>
      </c>
      <c r="O72">
        <v>1835.4</v>
      </c>
      <c r="P72">
        <v>1218</v>
      </c>
      <c r="Q72">
        <v>617.4</v>
      </c>
      <c r="R72">
        <v>0.08</v>
      </c>
      <c r="S72" t="s">
        <v>28</v>
      </c>
      <c r="T72">
        <v>125.25</v>
      </c>
    </row>
    <row r="73" spans="1:20" x14ac:dyDescent="0.25">
      <c r="A73">
        <v>100072</v>
      </c>
      <c r="B73" s="6">
        <v>45327</v>
      </c>
      <c r="C73">
        <v>2024</v>
      </c>
      <c r="D73" t="s">
        <v>63</v>
      </c>
      <c r="E73">
        <v>2</v>
      </c>
      <c r="F73" t="s">
        <v>81</v>
      </c>
      <c r="G73" t="s">
        <v>29</v>
      </c>
      <c r="H73" t="s">
        <v>23</v>
      </c>
      <c r="I73" t="s">
        <v>30</v>
      </c>
      <c r="J73" t="s">
        <v>54</v>
      </c>
      <c r="K73" t="s">
        <v>32</v>
      </c>
      <c r="L73" t="s">
        <v>74</v>
      </c>
      <c r="M73">
        <v>94</v>
      </c>
      <c r="N73">
        <v>25</v>
      </c>
      <c r="O73">
        <v>2232.5</v>
      </c>
      <c r="P73">
        <v>1316</v>
      </c>
      <c r="Q73">
        <v>916.5</v>
      </c>
      <c r="R73">
        <v>0.05</v>
      </c>
      <c r="S73" t="s">
        <v>38</v>
      </c>
      <c r="T73">
        <v>132.34</v>
      </c>
    </row>
    <row r="74" spans="1:20" x14ac:dyDescent="0.25">
      <c r="A74">
        <v>100073</v>
      </c>
      <c r="B74" s="6">
        <v>45690</v>
      </c>
      <c r="C74">
        <v>2025</v>
      </c>
      <c r="D74" t="s">
        <v>63</v>
      </c>
      <c r="E74">
        <v>2</v>
      </c>
      <c r="F74" t="s">
        <v>81</v>
      </c>
      <c r="G74" t="s">
        <v>35</v>
      </c>
      <c r="H74" t="s">
        <v>23</v>
      </c>
      <c r="I74" t="s">
        <v>36</v>
      </c>
      <c r="J74" t="s">
        <v>68</v>
      </c>
      <c r="K74" t="s">
        <v>59</v>
      </c>
      <c r="L74" t="s">
        <v>86</v>
      </c>
      <c r="M74">
        <v>39</v>
      </c>
      <c r="N74">
        <v>160</v>
      </c>
      <c r="O74">
        <v>6052.8</v>
      </c>
      <c r="P74">
        <v>3705</v>
      </c>
      <c r="Q74">
        <v>2347.8000000000002</v>
      </c>
      <c r="R74">
        <v>0.03</v>
      </c>
      <c r="S74" t="s">
        <v>38</v>
      </c>
      <c r="T74">
        <v>121.09</v>
      </c>
    </row>
    <row r="75" spans="1:20" x14ac:dyDescent="0.25">
      <c r="A75">
        <v>100074</v>
      </c>
      <c r="B75" s="6">
        <v>45092</v>
      </c>
      <c r="C75">
        <v>2023</v>
      </c>
      <c r="D75" t="s">
        <v>20</v>
      </c>
      <c r="E75">
        <v>6</v>
      </c>
      <c r="F75" t="s">
        <v>48</v>
      </c>
      <c r="G75" t="s">
        <v>45</v>
      </c>
      <c r="H75" t="s">
        <v>23</v>
      </c>
      <c r="I75" t="s">
        <v>62</v>
      </c>
      <c r="J75" t="s">
        <v>50</v>
      </c>
      <c r="K75" t="s">
        <v>55</v>
      </c>
      <c r="L75" t="s">
        <v>84</v>
      </c>
      <c r="M75">
        <v>115</v>
      </c>
      <c r="N75">
        <v>55</v>
      </c>
      <c r="O75">
        <v>5819</v>
      </c>
      <c r="P75">
        <v>4255</v>
      </c>
      <c r="Q75">
        <v>1564</v>
      </c>
      <c r="R75">
        <v>0.08</v>
      </c>
      <c r="S75" t="s">
        <v>70</v>
      </c>
      <c r="T75">
        <v>391.17</v>
      </c>
    </row>
    <row r="76" spans="1:20" x14ac:dyDescent="0.25">
      <c r="A76">
        <v>100075</v>
      </c>
      <c r="B76" s="6">
        <v>45711</v>
      </c>
      <c r="C76">
        <v>2025</v>
      </c>
      <c r="D76" t="s">
        <v>63</v>
      </c>
      <c r="E76">
        <v>2</v>
      </c>
      <c r="F76" t="s">
        <v>81</v>
      </c>
      <c r="G76" t="s">
        <v>29</v>
      </c>
      <c r="H76" t="s">
        <v>23</v>
      </c>
      <c r="I76" t="s">
        <v>49</v>
      </c>
      <c r="J76" t="s">
        <v>25</v>
      </c>
      <c r="K76" t="s">
        <v>51</v>
      </c>
      <c r="L76" t="s">
        <v>76</v>
      </c>
      <c r="M76">
        <v>15</v>
      </c>
      <c r="N76">
        <v>40</v>
      </c>
      <c r="O76">
        <v>582</v>
      </c>
      <c r="P76">
        <v>345</v>
      </c>
      <c r="Q76">
        <v>237</v>
      </c>
      <c r="R76">
        <v>0.03</v>
      </c>
      <c r="S76" t="s">
        <v>70</v>
      </c>
      <c r="T76">
        <v>19.25</v>
      </c>
    </row>
    <row r="77" spans="1:20" x14ac:dyDescent="0.25">
      <c r="A77">
        <v>100076</v>
      </c>
      <c r="B77" s="6">
        <v>45037</v>
      </c>
      <c r="C77">
        <v>2023</v>
      </c>
      <c r="D77" t="s">
        <v>20</v>
      </c>
      <c r="E77">
        <v>4</v>
      </c>
      <c r="F77" t="s">
        <v>34</v>
      </c>
      <c r="G77" t="s">
        <v>45</v>
      </c>
      <c r="H77" t="s">
        <v>23</v>
      </c>
      <c r="I77" t="s">
        <v>90</v>
      </c>
      <c r="J77" t="s">
        <v>50</v>
      </c>
      <c r="K77" t="s">
        <v>32</v>
      </c>
      <c r="L77" t="s">
        <v>74</v>
      </c>
      <c r="M77">
        <v>127</v>
      </c>
      <c r="N77">
        <v>25</v>
      </c>
      <c r="O77">
        <v>3016.25</v>
      </c>
      <c r="P77">
        <v>1778</v>
      </c>
      <c r="Q77">
        <v>1238.25</v>
      </c>
      <c r="R77">
        <v>0.05</v>
      </c>
      <c r="S77" t="s">
        <v>38</v>
      </c>
      <c r="T77">
        <v>75.12</v>
      </c>
    </row>
    <row r="78" spans="1:20" x14ac:dyDescent="0.25">
      <c r="A78">
        <v>100077</v>
      </c>
      <c r="B78" s="6">
        <v>45593</v>
      </c>
      <c r="C78">
        <v>2024</v>
      </c>
      <c r="D78" t="s">
        <v>43</v>
      </c>
      <c r="E78">
        <v>10</v>
      </c>
      <c r="F78" t="s">
        <v>44</v>
      </c>
      <c r="G78" t="s">
        <v>45</v>
      </c>
      <c r="H78" t="s">
        <v>23</v>
      </c>
      <c r="I78" t="s">
        <v>62</v>
      </c>
      <c r="J78" t="s">
        <v>50</v>
      </c>
      <c r="K78" t="s">
        <v>32</v>
      </c>
      <c r="L78" t="s">
        <v>33</v>
      </c>
      <c r="M78">
        <v>60</v>
      </c>
      <c r="N78">
        <v>60</v>
      </c>
      <c r="O78">
        <v>3600</v>
      </c>
      <c r="P78">
        <v>2280</v>
      </c>
      <c r="Q78">
        <v>1320</v>
      </c>
      <c r="R78">
        <v>0</v>
      </c>
      <c r="S78" t="s">
        <v>38</v>
      </c>
      <c r="T78">
        <v>87.45</v>
      </c>
    </row>
    <row r="79" spans="1:20" x14ac:dyDescent="0.25">
      <c r="A79">
        <v>100078</v>
      </c>
      <c r="B79" s="6">
        <v>45460</v>
      </c>
      <c r="C79">
        <v>2024</v>
      </c>
      <c r="D79" t="s">
        <v>20</v>
      </c>
      <c r="E79">
        <v>6</v>
      </c>
      <c r="F79" t="s">
        <v>48</v>
      </c>
      <c r="G79" t="s">
        <v>45</v>
      </c>
      <c r="H79" t="s">
        <v>23</v>
      </c>
      <c r="I79" t="s">
        <v>88</v>
      </c>
      <c r="J79" t="s">
        <v>66</v>
      </c>
      <c r="K79" t="s">
        <v>32</v>
      </c>
      <c r="L79" t="s">
        <v>37</v>
      </c>
      <c r="M79">
        <v>21</v>
      </c>
      <c r="N79">
        <v>120</v>
      </c>
      <c r="O79">
        <v>2469.6</v>
      </c>
      <c r="P79">
        <v>1638</v>
      </c>
      <c r="Q79">
        <v>831.6</v>
      </c>
      <c r="R79">
        <v>0.02</v>
      </c>
      <c r="S79" t="s">
        <v>38</v>
      </c>
      <c r="T79">
        <v>86.52</v>
      </c>
    </row>
    <row r="80" spans="1:20" x14ac:dyDescent="0.25">
      <c r="A80">
        <v>100079</v>
      </c>
      <c r="B80" s="6">
        <v>45720</v>
      </c>
      <c r="C80">
        <v>2025</v>
      </c>
      <c r="D80" t="s">
        <v>63</v>
      </c>
      <c r="E80">
        <v>3</v>
      </c>
      <c r="F80" t="s">
        <v>64</v>
      </c>
      <c r="G80" t="s">
        <v>45</v>
      </c>
      <c r="H80" t="s">
        <v>23</v>
      </c>
      <c r="I80" t="s">
        <v>90</v>
      </c>
      <c r="J80" t="s">
        <v>61</v>
      </c>
      <c r="K80" t="s">
        <v>59</v>
      </c>
      <c r="L80" t="s">
        <v>67</v>
      </c>
      <c r="M80">
        <v>65</v>
      </c>
      <c r="N80">
        <v>95</v>
      </c>
      <c r="O80">
        <v>5681</v>
      </c>
      <c r="P80">
        <v>3640</v>
      </c>
      <c r="Q80">
        <v>2041</v>
      </c>
      <c r="R80">
        <v>0.08</v>
      </c>
      <c r="S80" t="s">
        <v>38</v>
      </c>
      <c r="T80">
        <v>372.95</v>
      </c>
    </row>
    <row r="81" spans="1:20" x14ac:dyDescent="0.25">
      <c r="A81">
        <v>100080</v>
      </c>
      <c r="B81" s="6">
        <v>45730</v>
      </c>
      <c r="C81">
        <v>2025</v>
      </c>
      <c r="D81" t="s">
        <v>63</v>
      </c>
      <c r="E81">
        <v>3</v>
      </c>
      <c r="F81" t="s">
        <v>64</v>
      </c>
      <c r="G81" t="s">
        <v>45</v>
      </c>
      <c r="H81" t="s">
        <v>23</v>
      </c>
      <c r="I81" t="s">
        <v>62</v>
      </c>
      <c r="J81" t="s">
        <v>68</v>
      </c>
      <c r="K81" t="s">
        <v>26</v>
      </c>
      <c r="L81" t="s">
        <v>27</v>
      </c>
      <c r="M81">
        <v>56</v>
      </c>
      <c r="N81">
        <v>110</v>
      </c>
      <c r="O81">
        <v>5975.2</v>
      </c>
      <c r="P81">
        <v>3808</v>
      </c>
      <c r="Q81">
        <v>2167.1999999999998</v>
      </c>
      <c r="R81">
        <v>0.03</v>
      </c>
      <c r="S81" t="s">
        <v>57</v>
      </c>
      <c r="T81">
        <v>248.86</v>
      </c>
    </row>
    <row r="82" spans="1:20" x14ac:dyDescent="0.25">
      <c r="A82">
        <v>100081</v>
      </c>
      <c r="B82" s="6">
        <v>45004</v>
      </c>
      <c r="C82">
        <v>2023</v>
      </c>
      <c r="D82" t="s">
        <v>63</v>
      </c>
      <c r="E82">
        <v>3</v>
      </c>
      <c r="F82" t="s">
        <v>64</v>
      </c>
      <c r="G82" t="s">
        <v>29</v>
      </c>
      <c r="H82" t="s">
        <v>23</v>
      </c>
      <c r="I82" t="s">
        <v>85</v>
      </c>
      <c r="J82" t="s">
        <v>54</v>
      </c>
      <c r="K82" t="s">
        <v>26</v>
      </c>
      <c r="L82" t="s">
        <v>78</v>
      </c>
      <c r="M82">
        <v>65</v>
      </c>
      <c r="N82">
        <v>95</v>
      </c>
      <c r="O82">
        <v>6175</v>
      </c>
      <c r="P82">
        <v>3770</v>
      </c>
      <c r="Q82">
        <v>2405</v>
      </c>
      <c r="R82">
        <v>0</v>
      </c>
      <c r="S82" t="s">
        <v>70</v>
      </c>
      <c r="T82">
        <v>326</v>
      </c>
    </row>
    <row r="83" spans="1:20" x14ac:dyDescent="0.25">
      <c r="A83">
        <v>100082</v>
      </c>
      <c r="B83" s="6">
        <v>45732</v>
      </c>
      <c r="C83">
        <v>2025</v>
      </c>
      <c r="D83" t="s">
        <v>63</v>
      </c>
      <c r="E83">
        <v>3</v>
      </c>
      <c r="F83" t="s">
        <v>64</v>
      </c>
      <c r="G83" t="s">
        <v>22</v>
      </c>
      <c r="H83" t="s">
        <v>23</v>
      </c>
      <c r="I83" t="s">
        <v>24</v>
      </c>
      <c r="J83" t="s">
        <v>42</v>
      </c>
      <c r="K83" t="s">
        <v>51</v>
      </c>
      <c r="L83" t="s">
        <v>92</v>
      </c>
      <c r="M83">
        <v>128</v>
      </c>
      <c r="N83">
        <v>50</v>
      </c>
      <c r="O83">
        <v>6208</v>
      </c>
      <c r="P83">
        <v>3712</v>
      </c>
      <c r="Q83">
        <v>2496</v>
      </c>
      <c r="R83">
        <v>0.03</v>
      </c>
      <c r="S83" t="s">
        <v>57</v>
      </c>
      <c r="T83">
        <v>99.97</v>
      </c>
    </row>
    <row r="84" spans="1:20" x14ac:dyDescent="0.25">
      <c r="A84">
        <v>100083</v>
      </c>
      <c r="B84" s="6">
        <v>45012</v>
      </c>
      <c r="C84">
        <v>2023</v>
      </c>
      <c r="D84" t="s">
        <v>63</v>
      </c>
      <c r="E84">
        <v>3</v>
      </c>
      <c r="F84" t="s">
        <v>64</v>
      </c>
      <c r="G84" t="s">
        <v>35</v>
      </c>
      <c r="H84" t="s">
        <v>23</v>
      </c>
      <c r="I84" t="s">
        <v>36</v>
      </c>
      <c r="J84" t="s">
        <v>25</v>
      </c>
      <c r="K84" t="s">
        <v>32</v>
      </c>
      <c r="L84" t="s">
        <v>37</v>
      </c>
      <c r="M84">
        <v>22</v>
      </c>
      <c r="N84">
        <v>120</v>
      </c>
      <c r="O84">
        <v>2508</v>
      </c>
      <c r="P84">
        <v>1716</v>
      </c>
      <c r="Q84">
        <v>792</v>
      </c>
      <c r="R84">
        <v>0.05</v>
      </c>
      <c r="S84" t="s">
        <v>70</v>
      </c>
      <c r="T84">
        <v>131.30000000000001</v>
      </c>
    </row>
    <row r="85" spans="1:20" x14ac:dyDescent="0.25">
      <c r="A85">
        <v>100084</v>
      </c>
      <c r="B85" s="6">
        <v>45037</v>
      </c>
      <c r="C85">
        <v>2023</v>
      </c>
      <c r="D85" t="s">
        <v>20</v>
      </c>
      <c r="E85">
        <v>4</v>
      </c>
      <c r="F85" t="s">
        <v>34</v>
      </c>
      <c r="G85" t="s">
        <v>29</v>
      </c>
      <c r="H85" t="s">
        <v>23</v>
      </c>
      <c r="I85" t="s">
        <v>30</v>
      </c>
      <c r="J85" t="s">
        <v>68</v>
      </c>
      <c r="K85" t="s">
        <v>26</v>
      </c>
      <c r="L85" t="s">
        <v>69</v>
      </c>
      <c r="M85">
        <v>17</v>
      </c>
      <c r="N85">
        <v>130</v>
      </c>
      <c r="O85">
        <v>2099.5</v>
      </c>
      <c r="P85">
        <v>1292</v>
      </c>
      <c r="Q85">
        <v>807.5</v>
      </c>
      <c r="R85">
        <v>0.05</v>
      </c>
      <c r="S85" t="s">
        <v>38</v>
      </c>
      <c r="T85">
        <v>96.67</v>
      </c>
    </row>
    <row r="86" spans="1:20" x14ac:dyDescent="0.25">
      <c r="A86">
        <v>100085</v>
      </c>
      <c r="B86" s="6">
        <v>45618</v>
      </c>
      <c r="C86">
        <v>2024</v>
      </c>
      <c r="D86" t="s">
        <v>43</v>
      </c>
      <c r="E86">
        <v>11</v>
      </c>
      <c r="F86" t="s">
        <v>87</v>
      </c>
      <c r="G86" t="s">
        <v>35</v>
      </c>
      <c r="H86" t="s">
        <v>23</v>
      </c>
      <c r="I86" t="s">
        <v>80</v>
      </c>
      <c r="J86" t="s">
        <v>42</v>
      </c>
      <c r="K86" t="s">
        <v>59</v>
      </c>
      <c r="L86" t="s">
        <v>91</v>
      </c>
      <c r="M86">
        <v>68</v>
      </c>
      <c r="N86">
        <v>140</v>
      </c>
      <c r="O86">
        <v>8568</v>
      </c>
      <c r="P86">
        <v>5576</v>
      </c>
      <c r="Q86">
        <v>2992</v>
      </c>
      <c r="R86">
        <v>0.1</v>
      </c>
      <c r="S86" t="s">
        <v>38</v>
      </c>
      <c r="T86">
        <v>413.99</v>
      </c>
    </row>
    <row r="87" spans="1:20" x14ac:dyDescent="0.25">
      <c r="A87">
        <v>100086</v>
      </c>
      <c r="B87" s="6">
        <v>45203</v>
      </c>
      <c r="C87">
        <v>2023</v>
      </c>
      <c r="D87" t="s">
        <v>43</v>
      </c>
      <c r="E87">
        <v>10</v>
      </c>
      <c r="F87" t="s">
        <v>44</v>
      </c>
      <c r="G87" t="s">
        <v>35</v>
      </c>
      <c r="H87" t="s">
        <v>23</v>
      </c>
      <c r="I87" t="s">
        <v>36</v>
      </c>
      <c r="J87" t="s">
        <v>54</v>
      </c>
      <c r="K87" t="s">
        <v>51</v>
      </c>
      <c r="L87" t="s">
        <v>72</v>
      </c>
      <c r="M87">
        <v>103</v>
      </c>
      <c r="N87">
        <v>90</v>
      </c>
      <c r="O87">
        <v>9084.6</v>
      </c>
      <c r="P87">
        <v>5356</v>
      </c>
      <c r="Q87">
        <v>3728.6</v>
      </c>
      <c r="R87">
        <v>0.02</v>
      </c>
      <c r="S87" t="s">
        <v>38</v>
      </c>
      <c r="T87">
        <v>278.72000000000003</v>
      </c>
    </row>
    <row r="88" spans="1:20" x14ac:dyDescent="0.25">
      <c r="A88">
        <v>100087</v>
      </c>
      <c r="B88" s="6">
        <v>45685</v>
      </c>
      <c r="C88">
        <v>2025</v>
      </c>
      <c r="D88" t="s">
        <v>63</v>
      </c>
      <c r="E88">
        <v>1</v>
      </c>
      <c r="F88" t="s">
        <v>79</v>
      </c>
      <c r="G88" t="s">
        <v>22</v>
      </c>
      <c r="H88" t="s">
        <v>23</v>
      </c>
      <c r="I88" t="s">
        <v>24</v>
      </c>
      <c r="J88" t="s">
        <v>50</v>
      </c>
      <c r="K88" t="s">
        <v>32</v>
      </c>
      <c r="L88" t="s">
        <v>37</v>
      </c>
      <c r="M88">
        <v>45</v>
      </c>
      <c r="N88">
        <v>120</v>
      </c>
      <c r="O88">
        <v>4860</v>
      </c>
      <c r="P88">
        <v>3510</v>
      </c>
      <c r="Q88">
        <v>1350</v>
      </c>
      <c r="R88">
        <v>0.1</v>
      </c>
      <c r="S88" t="s">
        <v>28</v>
      </c>
      <c r="T88">
        <v>312.56</v>
      </c>
    </row>
    <row r="89" spans="1:20" x14ac:dyDescent="0.25">
      <c r="A89">
        <v>100088</v>
      </c>
      <c r="B89" s="6">
        <v>44930</v>
      </c>
      <c r="C89">
        <v>2023</v>
      </c>
      <c r="D89" t="s">
        <v>63</v>
      </c>
      <c r="E89">
        <v>1</v>
      </c>
      <c r="F89" t="s">
        <v>79</v>
      </c>
      <c r="G89" t="s">
        <v>22</v>
      </c>
      <c r="H89" t="s">
        <v>23</v>
      </c>
      <c r="I89" t="s">
        <v>41</v>
      </c>
      <c r="J89" t="s">
        <v>31</v>
      </c>
      <c r="K89" t="s">
        <v>55</v>
      </c>
      <c r="L89" t="s">
        <v>84</v>
      </c>
      <c r="M89">
        <v>71</v>
      </c>
      <c r="N89">
        <v>55</v>
      </c>
      <c r="O89">
        <v>3514.5</v>
      </c>
      <c r="P89">
        <v>2627</v>
      </c>
      <c r="Q89">
        <v>887.5</v>
      </c>
      <c r="R89">
        <v>0.1</v>
      </c>
      <c r="S89" t="s">
        <v>70</v>
      </c>
      <c r="T89">
        <v>160.34</v>
      </c>
    </row>
    <row r="90" spans="1:20" x14ac:dyDescent="0.25">
      <c r="A90">
        <v>100089</v>
      </c>
      <c r="B90" s="6">
        <v>45099</v>
      </c>
      <c r="C90">
        <v>2023</v>
      </c>
      <c r="D90" t="s">
        <v>20</v>
      </c>
      <c r="E90">
        <v>6</v>
      </c>
      <c r="F90" t="s">
        <v>48</v>
      </c>
      <c r="G90" t="s">
        <v>29</v>
      </c>
      <c r="H90" t="s">
        <v>23</v>
      </c>
      <c r="I90" t="s">
        <v>73</v>
      </c>
      <c r="J90" t="s">
        <v>42</v>
      </c>
      <c r="K90" t="s">
        <v>32</v>
      </c>
      <c r="L90" t="s">
        <v>33</v>
      </c>
      <c r="M90">
        <v>77</v>
      </c>
      <c r="N90">
        <v>60</v>
      </c>
      <c r="O90">
        <v>4481.3999999999996</v>
      </c>
      <c r="P90">
        <v>2926</v>
      </c>
      <c r="Q90">
        <v>1555.4</v>
      </c>
      <c r="R90">
        <v>0.03</v>
      </c>
      <c r="S90" t="s">
        <v>70</v>
      </c>
      <c r="T90">
        <v>192.34</v>
      </c>
    </row>
    <row r="91" spans="1:20" x14ac:dyDescent="0.25">
      <c r="A91">
        <v>100090</v>
      </c>
      <c r="B91" s="6">
        <v>44927</v>
      </c>
      <c r="C91">
        <v>2023</v>
      </c>
      <c r="D91" t="s">
        <v>63</v>
      </c>
      <c r="E91">
        <v>1</v>
      </c>
      <c r="F91" t="s">
        <v>79</v>
      </c>
      <c r="G91" t="s">
        <v>35</v>
      </c>
      <c r="H91" t="s">
        <v>23</v>
      </c>
      <c r="I91" t="s">
        <v>36</v>
      </c>
      <c r="J91" t="s">
        <v>25</v>
      </c>
      <c r="K91" t="s">
        <v>51</v>
      </c>
      <c r="L91" t="s">
        <v>92</v>
      </c>
      <c r="M91">
        <v>135</v>
      </c>
      <c r="N91">
        <v>50</v>
      </c>
      <c r="O91">
        <v>6750</v>
      </c>
      <c r="P91">
        <v>3915</v>
      </c>
      <c r="Q91">
        <v>2835</v>
      </c>
      <c r="R91">
        <v>0</v>
      </c>
      <c r="S91" t="s">
        <v>70</v>
      </c>
      <c r="T91">
        <v>279.87</v>
      </c>
    </row>
    <row r="92" spans="1:20" x14ac:dyDescent="0.25">
      <c r="A92">
        <v>100091</v>
      </c>
      <c r="B92" s="6">
        <v>45828</v>
      </c>
      <c r="C92">
        <v>2025</v>
      </c>
      <c r="D92" t="s">
        <v>20</v>
      </c>
      <c r="E92">
        <v>6</v>
      </c>
      <c r="F92" t="s">
        <v>48</v>
      </c>
      <c r="G92" t="s">
        <v>35</v>
      </c>
      <c r="H92" t="s">
        <v>23</v>
      </c>
      <c r="I92" t="s">
        <v>80</v>
      </c>
      <c r="J92" t="s">
        <v>68</v>
      </c>
      <c r="K92" t="s">
        <v>32</v>
      </c>
      <c r="L92" t="s">
        <v>74</v>
      </c>
      <c r="M92">
        <v>147</v>
      </c>
      <c r="N92">
        <v>25</v>
      </c>
      <c r="O92">
        <v>3307.5</v>
      </c>
      <c r="P92">
        <v>2058</v>
      </c>
      <c r="Q92">
        <v>1249.5</v>
      </c>
      <c r="R92">
        <v>0.1</v>
      </c>
      <c r="S92" t="s">
        <v>38</v>
      </c>
      <c r="T92">
        <v>108.25</v>
      </c>
    </row>
    <row r="93" spans="1:20" x14ac:dyDescent="0.25">
      <c r="A93">
        <v>100092</v>
      </c>
      <c r="B93" s="6">
        <v>45255</v>
      </c>
      <c r="C93">
        <v>2023</v>
      </c>
      <c r="D93" t="s">
        <v>43</v>
      </c>
      <c r="E93">
        <v>11</v>
      </c>
      <c r="F93" t="s">
        <v>87</v>
      </c>
      <c r="G93" t="s">
        <v>45</v>
      </c>
      <c r="H93" t="s">
        <v>23</v>
      </c>
      <c r="I93" t="s">
        <v>46</v>
      </c>
      <c r="J93" t="s">
        <v>42</v>
      </c>
      <c r="K93" t="s">
        <v>59</v>
      </c>
      <c r="L93" t="s">
        <v>91</v>
      </c>
      <c r="M93">
        <v>47</v>
      </c>
      <c r="N93">
        <v>140</v>
      </c>
      <c r="O93">
        <v>6382.6</v>
      </c>
      <c r="P93">
        <v>3854</v>
      </c>
      <c r="Q93">
        <v>2528.6</v>
      </c>
      <c r="R93">
        <v>0.03</v>
      </c>
      <c r="S93" t="s">
        <v>28</v>
      </c>
      <c r="T93">
        <v>218.21</v>
      </c>
    </row>
    <row r="94" spans="1:20" x14ac:dyDescent="0.25">
      <c r="A94">
        <v>100093</v>
      </c>
      <c r="B94" s="6">
        <v>45162</v>
      </c>
      <c r="C94">
        <v>2023</v>
      </c>
      <c r="D94" t="s">
        <v>39</v>
      </c>
      <c r="E94">
        <v>8</v>
      </c>
      <c r="F94" t="s">
        <v>58</v>
      </c>
      <c r="G94" t="s">
        <v>35</v>
      </c>
      <c r="H94" t="s">
        <v>23</v>
      </c>
      <c r="I94" t="s">
        <v>36</v>
      </c>
      <c r="J94" t="s">
        <v>42</v>
      </c>
      <c r="K94" t="s">
        <v>55</v>
      </c>
      <c r="L94" t="s">
        <v>89</v>
      </c>
      <c r="M94">
        <v>146</v>
      </c>
      <c r="N94">
        <v>280</v>
      </c>
      <c r="O94">
        <v>40062.400000000001</v>
      </c>
      <c r="P94">
        <v>29930</v>
      </c>
      <c r="Q94">
        <v>10132.4</v>
      </c>
      <c r="R94">
        <v>0.02</v>
      </c>
      <c r="S94" t="s">
        <v>57</v>
      </c>
      <c r="T94">
        <v>1436.54</v>
      </c>
    </row>
    <row r="95" spans="1:20" x14ac:dyDescent="0.25">
      <c r="A95">
        <v>100094</v>
      </c>
      <c r="B95" s="6">
        <v>45844</v>
      </c>
      <c r="C95">
        <v>2025</v>
      </c>
      <c r="D95" t="s">
        <v>39</v>
      </c>
      <c r="E95">
        <v>7</v>
      </c>
      <c r="F95" t="s">
        <v>75</v>
      </c>
      <c r="G95" t="s">
        <v>29</v>
      </c>
      <c r="H95" t="s">
        <v>23</v>
      </c>
      <c r="I95" t="s">
        <v>49</v>
      </c>
      <c r="J95" t="s">
        <v>25</v>
      </c>
      <c r="K95" t="s">
        <v>26</v>
      </c>
      <c r="L95" t="s">
        <v>69</v>
      </c>
      <c r="M95">
        <v>114</v>
      </c>
      <c r="N95">
        <v>130</v>
      </c>
      <c r="O95">
        <v>14079</v>
      </c>
      <c r="P95">
        <v>8664</v>
      </c>
      <c r="Q95">
        <v>5415</v>
      </c>
      <c r="R95">
        <v>0.05</v>
      </c>
      <c r="S95" t="s">
        <v>38</v>
      </c>
      <c r="T95">
        <v>830.3</v>
      </c>
    </row>
    <row r="96" spans="1:20" x14ac:dyDescent="0.25">
      <c r="A96">
        <v>100095</v>
      </c>
      <c r="B96" s="6">
        <v>44931</v>
      </c>
      <c r="C96">
        <v>2023</v>
      </c>
      <c r="D96" t="s">
        <v>63</v>
      </c>
      <c r="E96">
        <v>1</v>
      </c>
      <c r="F96" t="s">
        <v>79</v>
      </c>
      <c r="G96" t="s">
        <v>22</v>
      </c>
      <c r="H96" t="s">
        <v>23</v>
      </c>
      <c r="I96" t="s">
        <v>24</v>
      </c>
      <c r="J96" t="s">
        <v>68</v>
      </c>
      <c r="K96" t="s">
        <v>59</v>
      </c>
      <c r="L96" t="s">
        <v>86</v>
      </c>
      <c r="M96">
        <v>141</v>
      </c>
      <c r="N96">
        <v>160</v>
      </c>
      <c r="O96">
        <v>22108.799999999999</v>
      </c>
      <c r="P96">
        <v>13395</v>
      </c>
      <c r="Q96">
        <v>8713.7999999999993</v>
      </c>
      <c r="R96">
        <v>0.02</v>
      </c>
      <c r="S96" t="s">
        <v>57</v>
      </c>
      <c r="T96">
        <v>1047</v>
      </c>
    </row>
    <row r="97" spans="1:20" x14ac:dyDescent="0.25">
      <c r="A97">
        <v>100096</v>
      </c>
      <c r="B97" s="6">
        <v>45542</v>
      </c>
      <c r="C97">
        <v>2024</v>
      </c>
      <c r="D97" t="s">
        <v>39</v>
      </c>
      <c r="E97">
        <v>9</v>
      </c>
      <c r="F97" t="s">
        <v>40</v>
      </c>
      <c r="G97" t="s">
        <v>35</v>
      </c>
      <c r="H97" t="s">
        <v>23</v>
      </c>
      <c r="I97" t="s">
        <v>80</v>
      </c>
      <c r="J97" t="s">
        <v>42</v>
      </c>
      <c r="K97" t="s">
        <v>59</v>
      </c>
      <c r="L97" t="s">
        <v>86</v>
      </c>
      <c r="M97">
        <v>106</v>
      </c>
      <c r="N97">
        <v>160</v>
      </c>
      <c r="O97">
        <v>16112</v>
      </c>
      <c r="P97">
        <v>10070</v>
      </c>
      <c r="Q97">
        <v>6042</v>
      </c>
      <c r="R97">
        <v>0.05</v>
      </c>
      <c r="S97" t="s">
        <v>38</v>
      </c>
      <c r="T97">
        <v>687.17</v>
      </c>
    </row>
    <row r="98" spans="1:20" x14ac:dyDescent="0.25">
      <c r="A98">
        <v>100097</v>
      </c>
      <c r="B98" s="6">
        <v>45933</v>
      </c>
      <c r="C98">
        <v>2025</v>
      </c>
      <c r="D98" t="s">
        <v>43</v>
      </c>
      <c r="E98">
        <v>10</v>
      </c>
      <c r="F98" t="s">
        <v>44</v>
      </c>
      <c r="G98" t="s">
        <v>22</v>
      </c>
      <c r="H98" t="s">
        <v>23</v>
      </c>
      <c r="I98" t="s">
        <v>41</v>
      </c>
      <c r="J98" t="s">
        <v>66</v>
      </c>
      <c r="K98" t="s">
        <v>59</v>
      </c>
      <c r="L98" t="s">
        <v>91</v>
      </c>
      <c r="M98">
        <v>113</v>
      </c>
      <c r="N98">
        <v>140</v>
      </c>
      <c r="O98">
        <v>15029</v>
      </c>
      <c r="P98">
        <v>9266</v>
      </c>
      <c r="Q98">
        <v>5763</v>
      </c>
      <c r="R98">
        <v>0.05</v>
      </c>
      <c r="S98" t="s">
        <v>38</v>
      </c>
      <c r="T98">
        <v>322.06</v>
      </c>
    </row>
    <row r="99" spans="1:20" x14ac:dyDescent="0.25">
      <c r="A99">
        <v>100098</v>
      </c>
      <c r="B99" s="6">
        <v>45480</v>
      </c>
      <c r="C99">
        <v>2024</v>
      </c>
      <c r="D99" t="s">
        <v>39</v>
      </c>
      <c r="E99">
        <v>7</v>
      </c>
      <c r="F99" t="s">
        <v>75</v>
      </c>
      <c r="G99" t="s">
        <v>29</v>
      </c>
      <c r="H99" t="s">
        <v>23</v>
      </c>
      <c r="I99" t="s">
        <v>49</v>
      </c>
      <c r="J99" t="s">
        <v>50</v>
      </c>
      <c r="K99" t="s">
        <v>26</v>
      </c>
      <c r="L99" t="s">
        <v>27</v>
      </c>
      <c r="M99">
        <v>42</v>
      </c>
      <c r="N99">
        <v>110</v>
      </c>
      <c r="O99">
        <v>4481.3999999999996</v>
      </c>
      <c r="P99">
        <v>2856</v>
      </c>
      <c r="Q99">
        <v>1625.4</v>
      </c>
      <c r="R99">
        <v>0.03</v>
      </c>
      <c r="S99" t="s">
        <v>28</v>
      </c>
      <c r="T99">
        <v>287.54000000000002</v>
      </c>
    </row>
    <row r="100" spans="1:20" x14ac:dyDescent="0.25">
      <c r="A100">
        <v>100099</v>
      </c>
      <c r="B100" s="6">
        <v>45947</v>
      </c>
      <c r="C100">
        <v>2025</v>
      </c>
      <c r="D100" t="s">
        <v>43</v>
      </c>
      <c r="E100">
        <v>10</v>
      </c>
      <c r="F100" t="s">
        <v>44</v>
      </c>
      <c r="G100" t="s">
        <v>45</v>
      </c>
      <c r="H100" t="s">
        <v>23</v>
      </c>
      <c r="I100" t="s">
        <v>90</v>
      </c>
      <c r="J100" t="s">
        <v>68</v>
      </c>
      <c r="K100" t="s">
        <v>26</v>
      </c>
      <c r="L100" t="s">
        <v>78</v>
      </c>
      <c r="M100">
        <v>95</v>
      </c>
      <c r="N100">
        <v>95</v>
      </c>
      <c r="O100">
        <v>8573.75</v>
      </c>
      <c r="P100">
        <v>5510</v>
      </c>
      <c r="Q100">
        <v>3063.75</v>
      </c>
      <c r="R100">
        <v>0.05</v>
      </c>
      <c r="S100" t="s">
        <v>38</v>
      </c>
      <c r="T100">
        <v>361.55</v>
      </c>
    </row>
    <row r="101" spans="1:20" x14ac:dyDescent="0.25">
      <c r="A101">
        <v>100100</v>
      </c>
      <c r="B101" s="6">
        <v>45732</v>
      </c>
      <c r="C101">
        <v>2025</v>
      </c>
      <c r="D101" t="s">
        <v>63</v>
      </c>
      <c r="E101">
        <v>3</v>
      </c>
      <c r="F101" t="s">
        <v>64</v>
      </c>
      <c r="G101" t="s">
        <v>45</v>
      </c>
      <c r="H101" t="s">
        <v>23</v>
      </c>
      <c r="I101" t="s">
        <v>90</v>
      </c>
      <c r="J101" t="s">
        <v>54</v>
      </c>
      <c r="K101" t="s">
        <v>51</v>
      </c>
      <c r="L101" t="s">
        <v>92</v>
      </c>
      <c r="M101">
        <v>24</v>
      </c>
      <c r="N101">
        <v>50</v>
      </c>
      <c r="O101">
        <v>1140</v>
      </c>
      <c r="P101">
        <v>696</v>
      </c>
      <c r="Q101">
        <v>444</v>
      </c>
      <c r="R101">
        <v>0.05</v>
      </c>
      <c r="S101" t="s">
        <v>70</v>
      </c>
      <c r="T101">
        <v>26.5</v>
      </c>
    </row>
    <row r="102" spans="1:20" x14ac:dyDescent="0.25">
      <c r="A102">
        <v>100101</v>
      </c>
      <c r="B102" s="6">
        <v>45056</v>
      </c>
      <c r="C102">
        <v>2023</v>
      </c>
      <c r="D102" t="s">
        <v>20</v>
      </c>
      <c r="E102">
        <v>5</v>
      </c>
      <c r="F102" t="s">
        <v>21</v>
      </c>
      <c r="G102" t="s">
        <v>22</v>
      </c>
      <c r="H102" t="s">
        <v>23</v>
      </c>
      <c r="I102" t="s">
        <v>24</v>
      </c>
      <c r="J102" t="s">
        <v>50</v>
      </c>
      <c r="K102" t="s">
        <v>59</v>
      </c>
      <c r="L102" t="s">
        <v>91</v>
      </c>
      <c r="M102">
        <v>45</v>
      </c>
      <c r="N102">
        <v>140</v>
      </c>
      <c r="O102">
        <v>5985</v>
      </c>
      <c r="P102">
        <v>3690</v>
      </c>
      <c r="Q102">
        <v>2295</v>
      </c>
      <c r="R102">
        <v>0.05</v>
      </c>
      <c r="S102" t="s">
        <v>38</v>
      </c>
      <c r="T102">
        <v>286.95999999999998</v>
      </c>
    </row>
    <row r="103" spans="1:20" x14ac:dyDescent="0.25">
      <c r="A103">
        <v>100102</v>
      </c>
      <c r="B103" s="6">
        <v>45798</v>
      </c>
      <c r="C103">
        <v>2025</v>
      </c>
      <c r="D103" t="s">
        <v>20</v>
      </c>
      <c r="E103">
        <v>5</v>
      </c>
      <c r="F103" t="s">
        <v>21</v>
      </c>
      <c r="G103" t="s">
        <v>35</v>
      </c>
      <c r="H103" t="s">
        <v>23</v>
      </c>
      <c r="I103" t="s">
        <v>36</v>
      </c>
      <c r="J103" t="s">
        <v>61</v>
      </c>
      <c r="K103" t="s">
        <v>51</v>
      </c>
      <c r="L103" t="s">
        <v>52</v>
      </c>
      <c r="M103">
        <v>99</v>
      </c>
      <c r="N103">
        <v>75</v>
      </c>
      <c r="O103">
        <v>6682.5</v>
      </c>
      <c r="P103">
        <v>4356</v>
      </c>
      <c r="Q103">
        <v>2326.5</v>
      </c>
      <c r="R103">
        <v>0.1</v>
      </c>
      <c r="S103" t="s">
        <v>38</v>
      </c>
      <c r="T103">
        <v>156.6</v>
      </c>
    </row>
    <row r="104" spans="1:20" x14ac:dyDescent="0.25">
      <c r="A104">
        <v>100103</v>
      </c>
      <c r="B104" s="6">
        <v>45911</v>
      </c>
      <c r="C104">
        <v>2025</v>
      </c>
      <c r="D104" t="s">
        <v>39</v>
      </c>
      <c r="E104">
        <v>9</v>
      </c>
      <c r="F104" t="s">
        <v>40</v>
      </c>
      <c r="G104" t="s">
        <v>45</v>
      </c>
      <c r="H104" t="s">
        <v>23</v>
      </c>
      <c r="I104" t="s">
        <v>90</v>
      </c>
      <c r="J104" t="s">
        <v>61</v>
      </c>
      <c r="K104" t="s">
        <v>26</v>
      </c>
      <c r="L104" t="s">
        <v>69</v>
      </c>
      <c r="M104">
        <v>109</v>
      </c>
      <c r="N104">
        <v>130</v>
      </c>
      <c r="O104">
        <v>13036.4</v>
      </c>
      <c r="P104">
        <v>8284</v>
      </c>
      <c r="Q104">
        <v>4752.3999999999996</v>
      </c>
      <c r="R104">
        <v>0.08</v>
      </c>
      <c r="S104" t="s">
        <v>57</v>
      </c>
      <c r="T104">
        <v>762.04</v>
      </c>
    </row>
    <row r="105" spans="1:20" x14ac:dyDescent="0.25">
      <c r="A105">
        <v>100104</v>
      </c>
      <c r="B105" s="6">
        <v>45935</v>
      </c>
      <c r="C105">
        <v>2025</v>
      </c>
      <c r="D105" t="s">
        <v>43</v>
      </c>
      <c r="E105">
        <v>10</v>
      </c>
      <c r="F105" t="s">
        <v>44</v>
      </c>
      <c r="G105" t="s">
        <v>29</v>
      </c>
      <c r="H105" t="s">
        <v>23</v>
      </c>
      <c r="I105" t="s">
        <v>30</v>
      </c>
      <c r="J105" t="s">
        <v>66</v>
      </c>
      <c r="K105" t="s">
        <v>59</v>
      </c>
      <c r="L105" t="s">
        <v>86</v>
      </c>
      <c r="M105">
        <v>60</v>
      </c>
      <c r="N105">
        <v>160</v>
      </c>
      <c r="O105">
        <v>9120</v>
      </c>
      <c r="P105">
        <v>5700</v>
      </c>
      <c r="Q105">
        <v>3420</v>
      </c>
      <c r="R105">
        <v>0.05</v>
      </c>
      <c r="S105" t="s">
        <v>28</v>
      </c>
      <c r="T105">
        <v>605.48</v>
      </c>
    </row>
    <row r="106" spans="1:20" x14ac:dyDescent="0.25">
      <c r="A106">
        <v>100105</v>
      </c>
      <c r="B106" s="6">
        <v>45740</v>
      </c>
      <c r="C106">
        <v>2025</v>
      </c>
      <c r="D106" t="s">
        <v>63</v>
      </c>
      <c r="E106">
        <v>3</v>
      </c>
      <c r="F106" t="s">
        <v>64</v>
      </c>
      <c r="G106" t="s">
        <v>45</v>
      </c>
      <c r="H106" t="s">
        <v>23</v>
      </c>
      <c r="I106" t="s">
        <v>46</v>
      </c>
      <c r="J106" t="s">
        <v>25</v>
      </c>
      <c r="K106" t="s">
        <v>32</v>
      </c>
      <c r="L106" t="s">
        <v>47</v>
      </c>
      <c r="M106">
        <v>66</v>
      </c>
      <c r="N106">
        <v>180</v>
      </c>
      <c r="O106">
        <v>11642.4</v>
      </c>
      <c r="P106">
        <v>7590</v>
      </c>
      <c r="Q106">
        <v>4052.4</v>
      </c>
      <c r="R106">
        <v>0.02</v>
      </c>
      <c r="S106" t="s">
        <v>70</v>
      </c>
      <c r="T106">
        <v>374.06</v>
      </c>
    </row>
    <row r="107" spans="1:20" x14ac:dyDescent="0.25">
      <c r="A107">
        <v>100106</v>
      </c>
      <c r="B107" s="6">
        <v>45587</v>
      </c>
      <c r="C107">
        <v>2024</v>
      </c>
      <c r="D107" t="s">
        <v>43</v>
      </c>
      <c r="E107">
        <v>10</v>
      </c>
      <c r="F107" t="s">
        <v>44</v>
      </c>
      <c r="G107" t="s">
        <v>22</v>
      </c>
      <c r="H107" t="s">
        <v>23</v>
      </c>
      <c r="I107" t="s">
        <v>71</v>
      </c>
      <c r="J107" t="s">
        <v>54</v>
      </c>
      <c r="K107" t="s">
        <v>26</v>
      </c>
      <c r="L107" t="s">
        <v>78</v>
      </c>
      <c r="M107">
        <v>66</v>
      </c>
      <c r="N107">
        <v>95</v>
      </c>
      <c r="O107">
        <v>6270</v>
      </c>
      <c r="P107">
        <v>3828</v>
      </c>
      <c r="Q107">
        <v>2442</v>
      </c>
      <c r="R107">
        <v>0</v>
      </c>
      <c r="S107" t="s">
        <v>70</v>
      </c>
      <c r="T107">
        <v>209.06</v>
      </c>
    </row>
    <row r="108" spans="1:20" x14ac:dyDescent="0.25">
      <c r="A108">
        <v>100107</v>
      </c>
      <c r="B108" s="6">
        <v>45001</v>
      </c>
      <c r="C108">
        <v>2023</v>
      </c>
      <c r="D108" t="s">
        <v>63</v>
      </c>
      <c r="E108">
        <v>3</v>
      </c>
      <c r="F108" t="s">
        <v>64</v>
      </c>
      <c r="G108" t="s">
        <v>35</v>
      </c>
      <c r="H108" t="s">
        <v>23</v>
      </c>
      <c r="I108" t="s">
        <v>36</v>
      </c>
      <c r="J108" t="s">
        <v>50</v>
      </c>
      <c r="K108" t="s">
        <v>59</v>
      </c>
      <c r="L108" t="s">
        <v>67</v>
      </c>
      <c r="M108">
        <v>100</v>
      </c>
      <c r="N108">
        <v>95</v>
      </c>
      <c r="O108">
        <v>9215</v>
      </c>
      <c r="P108">
        <v>5600</v>
      </c>
      <c r="Q108">
        <v>3615</v>
      </c>
      <c r="R108">
        <v>0.03</v>
      </c>
      <c r="S108" t="s">
        <v>28</v>
      </c>
      <c r="T108">
        <v>252.06</v>
      </c>
    </row>
    <row r="109" spans="1:20" x14ac:dyDescent="0.25">
      <c r="A109">
        <v>100108</v>
      </c>
      <c r="B109" s="6">
        <v>45590</v>
      </c>
      <c r="C109">
        <v>2024</v>
      </c>
      <c r="D109" t="s">
        <v>43</v>
      </c>
      <c r="E109">
        <v>10</v>
      </c>
      <c r="F109" t="s">
        <v>44</v>
      </c>
      <c r="G109" t="s">
        <v>45</v>
      </c>
      <c r="H109" t="s">
        <v>23</v>
      </c>
      <c r="I109" t="s">
        <v>90</v>
      </c>
      <c r="J109" t="s">
        <v>25</v>
      </c>
      <c r="K109" t="s">
        <v>32</v>
      </c>
      <c r="L109" t="s">
        <v>37</v>
      </c>
      <c r="M109">
        <v>97</v>
      </c>
      <c r="N109">
        <v>120</v>
      </c>
      <c r="O109">
        <v>11407.2</v>
      </c>
      <c r="P109">
        <v>7566</v>
      </c>
      <c r="Q109">
        <v>3841.2</v>
      </c>
      <c r="R109">
        <v>0.02</v>
      </c>
      <c r="S109" t="s">
        <v>70</v>
      </c>
      <c r="T109">
        <v>660.79</v>
      </c>
    </row>
    <row r="110" spans="1:20" x14ac:dyDescent="0.25">
      <c r="A110">
        <v>100109</v>
      </c>
      <c r="B110" s="6">
        <v>45082</v>
      </c>
      <c r="C110">
        <v>2023</v>
      </c>
      <c r="D110" t="s">
        <v>20</v>
      </c>
      <c r="E110">
        <v>6</v>
      </c>
      <c r="F110" t="s">
        <v>48</v>
      </c>
      <c r="G110" t="s">
        <v>35</v>
      </c>
      <c r="H110" t="s">
        <v>23</v>
      </c>
      <c r="I110" t="s">
        <v>77</v>
      </c>
      <c r="J110" t="s">
        <v>66</v>
      </c>
      <c r="K110" t="s">
        <v>59</v>
      </c>
      <c r="L110" t="s">
        <v>60</v>
      </c>
      <c r="M110">
        <v>93</v>
      </c>
      <c r="N110">
        <v>45</v>
      </c>
      <c r="O110">
        <v>4059.45</v>
      </c>
      <c r="P110">
        <v>2511</v>
      </c>
      <c r="Q110">
        <v>1548.45</v>
      </c>
      <c r="R110">
        <v>0.03</v>
      </c>
      <c r="S110" t="s">
        <v>38</v>
      </c>
      <c r="T110">
        <v>185.32</v>
      </c>
    </row>
    <row r="111" spans="1:20" x14ac:dyDescent="0.25">
      <c r="A111">
        <v>100110</v>
      </c>
      <c r="B111" s="6">
        <v>45487</v>
      </c>
      <c r="C111">
        <v>2024</v>
      </c>
      <c r="D111" t="s">
        <v>39</v>
      </c>
      <c r="E111">
        <v>7</v>
      </c>
      <c r="F111" t="s">
        <v>75</v>
      </c>
      <c r="G111" t="s">
        <v>22</v>
      </c>
      <c r="H111" t="s">
        <v>23</v>
      </c>
      <c r="I111" t="s">
        <v>71</v>
      </c>
      <c r="J111" t="s">
        <v>66</v>
      </c>
      <c r="K111" t="s">
        <v>51</v>
      </c>
      <c r="L111" t="s">
        <v>76</v>
      </c>
      <c r="M111">
        <v>132</v>
      </c>
      <c r="N111">
        <v>40</v>
      </c>
      <c r="O111">
        <v>5016</v>
      </c>
      <c r="P111">
        <v>3036</v>
      </c>
      <c r="Q111">
        <v>1980</v>
      </c>
      <c r="R111">
        <v>0.05</v>
      </c>
      <c r="S111" t="s">
        <v>38</v>
      </c>
      <c r="T111">
        <v>171.63</v>
      </c>
    </row>
    <row r="112" spans="1:20" x14ac:dyDescent="0.25">
      <c r="A112">
        <v>100111</v>
      </c>
      <c r="B112" s="6">
        <v>45355</v>
      </c>
      <c r="C112">
        <v>2024</v>
      </c>
      <c r="D112" t="s">
        <v>63</v>
      </c>
      <c r="E112">
        <v>3</v>
      </c>
      <c r="F112" t="s">
        <v>64</v>
      </c>
      <c r="G112" t="s">
        <v>45</v>
      </c>
      <c r="H112" t="s">
        <v>23</v>
      </c>
      <c r="I112" t="s">
        <v>88</v>
      </c>
      <c r="J112" t="s">
        <v>68</v>
      </c>
      <c r="K112" t="s">
        <v>26</v>
      </c>
      <c r="L112" t="s">
        <v>69</v>
      </c>
      <c r="M112">
        <v>27</v>
      </c>
      <c r="N112">
        <v>130</v>
      </c>
      <c r="O112">
        <v>3439.8</v>
      </c>
      <c r="P112">
        <v>2052</v>
      </c>
      <c r="Q112">
        <v>1387.8</v>
      </c>
      <c r="R112">
        <v>0.02</v>
      </c>
      <c r="S112" t="s">
        <v>70</v>
      </c>
      <c r="T112">
        <v>186.69</v>
      </c>
    </row>
    <row r="113" spans="1:20" x14ac:dyDescent="0.25">
      <c r="A113">
        <v>100112</v>
      </c>
      <c r="B113" s="6">
        <v>45914</v>
      </c>
      <c r="C113">
        <v>2025</v>
      </c>
      <c r="D113" t="s">
        <v>39</v>
      </c>
      <c r="E113">
        <v>9</v>
      </c>
      <c r="F113" t="s">
        <v>40</v>
      </c>
      <c r="G113" t="s">
        <v>45</v>
      </c>
      <c r="H113" t="s">
        <v>23</v>
      </c>
      <c r="I113" t="s">
        <v>88</v>
      </c>
      <c r="J113" t="s">
        <v>54</v>
      </c>
      <c r="K113" t="s">
        <v>59</v>
      </c>
      <c r="L113" t="s">
        <v>67</v>
      </c>
      <c r="M113">
        <v>72</v>
      </c>
      <c r="N113">
        <v>95</v>
      </c>
      <c r="O113">
        <v>6840</v>
      </c>
      <c r="P113">
        <v>4032</v>
      </c>
      <c r="Q113">
        <v>2808</v>
      </c>
      <c r="R113">
        <v>0</v>
      </c>
      <c r="S113" t="s">
        <v>28</v>
      </c>
      <c r="T113">
        <v>228.39</v>
      </c>
    </row>
    <row r="114" spans="1:20" x14ac:dyDescent="0.25">
      <c r="A114">
        <v>100113</v>
      </c>
      <c r="B114" s="6">
        <v>45726</v>
      </c>
      <c r="C114">
        <v>2025</v>
      </c>
      <c r="D114" t="s">
        <v>63</v>
      </c>
      <c r="E114">
        <v>3</v>
      </c>
      <c r="F114" t="s">
        <v>64</v>
      </c>
      <c r="G114" t="s">
        <v>35</v>
      </c>
      <c r="H114" t="s">
        <v>23</v>
      </c>
      <c r="I114" t="s">
        <v>36</v>
      </c>
      <c r="J114" t="s">
        <v>31</v>
      </c>
      <c r="K114" t="s">
        <v>55</v>
      </c>
      <c r="L114" t="s">
        <v>84</v>
      </c>
      <c r="M114">
        <v>133</v>
      </c>
      <c r="N114">
        <v>55</v>
      </c>
      <c r="O114">
        <v>6729.8</v>
      </c>
      <c r="P114">
        <v>4921</v>
      </c>
      <c r="Q114">
        <v>1808.8</v>
      </c>
      <c r="R114">
        <v>0.08</v>
      </c>
      <c r="S114" t="s">
        <v>57</v>
      </c>
      <c r="T114">
        <v>463.29</v>
      </c>
    </row>
    <row r="115" spans="1:20" x14ac:dyDescent="0.25">
      <c r="A115">
        <v>100114</v>
      </c>
      <c r="B115" s="6">
        <v>45958</v>
      </c>
      <c r="C115">
        <v>2025</v>
      </c>
      <c r="D115" t="s">
        <v>43</v>
      </c>
      <c r="E115">
        <v>10</v>
      </c>
      <c r="F115" t="s">
        <v>44</v>
      </c>
      <c r="G115" t="s">
        <v>45</v>
      </c>
      <c r="H115" t="s">
        <v>23</v>
      </c>
      <c r="I115" t="s">
        <v>46</v>
      </c>
      <c r="J115" t="s">
        <v>25</v>
      </c>
      <c r="K115" t="s">
        <v>51</v>
      </c>
      <c r="L115" t="s">
        <v>72</v>
      </c>
      <c r="M115">
        <v>81</v>
      </c>
      <c r="N115">
        <v>90</v>
      </c>
      <c r="O115">
        <v>7290</v>
      </c>
      <c r="P115">
        <v>4212</v>
      </c>
      <c r="Q115">
        <v>3078</v>
      </c>
      <c r="R115">
        <v>0</v>
      </c>
      <c r="S115" t="s">
        <v>28</v>
      </c>
      <c r="T115">
        <v>430.08</v>
      </c>
    </row>
    <row r="116" spans="1:20" x14ac:dyDescent="0.25">
      <c r="A116">
        <v>100115</v>
      </c>
      <c r="B116" s="6">
        <v>45933</v>
      </c>
      <c r="C116">
        <v>2025</v>
      </c>
      <c r="D116" t="s">
        <v>43</v>
      </c>
      <c r="E116">
        <v>10</v>
      </c>
      <c r="F116" t="s">
        <v>44</v>
      </c>
      <c r="G116" t="s">
        <v>29</v>
      </c>
      <c r="H116" t="s">
        <v>23</v>
      </c>
      <c r="I116" t="s">
        <v>85</v>
      </c>
      <c r="J116" t="s">
        <v>31</v>
      </c>
      <c r="K116" t="s">
        <v>26</v>
      </c>
      <c r="L116" t="s">
        <v>82</v>
      </c>
      <c r="M116">
        <v>87</v>
      </c>
      <c r="N116">
        <v>105</v>
      </c>
      <c r="O116">
        <v>8678.25</v>
      </c>
      <c r="P116">
        <v>5307</v>
      </c>
      <c r="Q116">
        <v>3371.25</v>
      </c>
      <c r="R116">
        <v>0.05</v>
      </c>
      <c r="S116" t="s">
        <v>38</v>
      </c>
      <c r="T116">
        <v>515.29</v>
      </c>
    </row>
    <row r="117" spans="1:20" x14ac:dyDescent="0.25">
      <c r="A117">
        <v>100116</v>
      </c>
      <c r="B117" s="6">
        <v>45091</v>
      </c>
      <c r="C117">
        <v>2023</v>
      </c>
      <c r="D117" t="s">
        <v>20</v>
      </c>
      <c r="E117">
        <v>6</v>
      </c>
      <c r="F117" t="s">
        <v>48</v>
      </c>
      <c r="G117" t="s">
        <v>35</v>
      </c>
      <c r="H117" t="s">
        <v>23</v>
      </c>
      <c r="I117" t="s">
        <v>77</v>
      </c>
      <c r="J117" t="s">
        <v>61</v>
      </c>
      <c r="K117" t="s">
        <v>51</v>
      </c>
      <c r="L117" t="s">
        <v>52</v>
      </c>
      <c r="M117">
        <v>16</v>
      </c>
      <c r="N117">
        <v>75</v>
      </c>
      <c r="O117">
        <v>1140</v>
      </c>
      <c r="P117">
        <v>704</v>
      </c>
      <c r="Q117">
        <v>436</v>
      </c>
      <c r="R117">
        <v>0.05</v>
      </c>
      <c r="S117" t="s">
        <v>38</v>
      </c>
      <c r="T117">
        <v>63.24</v>
      </c>
    </row>
    <row r="118" spans="1:20" x14ac:dyDescent="0.25">
      <c r="A118">
        <v>100117</v>
      </c>
      <c r="B118" s="6">
        <v>45841</v>
      </c>
      <c r="C118">
        <v>2025</v>
      </c>
      <c r="D118" t="s">
        <v>39</v>
      </c>
      <c r="E118">
        <v>7</v>
      </c>
      <c r="F118" t="s">
        <v>75</v>
      </c>
      <c r="G118" t="s">
        <v>29</v>
      </c>
      <c r="H118" t="s">
        <v>23</v>
      </c>
      <c r="I118" t="s">
        <v>73</v>
      </c>
      <c r="J118" t="s">
        <v>68</v>
      </c>
      <c r="K118" t="s">
        <v>51</v>
      </c>
      <c r="L118" t="s">
        <v>76</v>
      </c>
      <c r="M118">
        <v>138</v>
      </c>
      <c r="N118">
        <v>40</v>
      </c>
      <c r="O118">
        <v>5078.3999999999996</v>
      </c>
      <c r="P118">
        <v>3174</v>
      </c>
      <c r="Q118">
        <v>1904.4</v>
      </c>
      <c r="R118">
        <v>0.08</v>
      </c>
      <c r="S118" t="s">
        <v>57</v>
      </c>
      <c r="T118">
        <v>171.65</v>
      </c>
    </row>
    <row r="119" spans="1:20" x14ac:dyDescent="0.25">
      <c r="A119">
        <v>100118</v>
      </c>
      <c r="B119" s="6">
        <v>45633</v>
      </c>
      <c r="C119">
        <v>2024</v>
      </c>
      <c r="D119" t="s">
        <v>43</v>
      </c>
      <c r="E119">
        <v>12</v>
      </c>
      <c r="F119" t="s">
        <v>83</v>
      </c>
      <c r="G119" t="s">
        <v>22</v>
      </c>
      <c r="H119" t="s">
        <v>23</v>
      </c>
      <c r="I119" t="s">
        <v>24</v>
      </c>
      <c r="J119" t="s">
        <v>68</v>
      </c>
      <c r="K119" t="s">
        <v>51</v>
      </c>
      <c r="L119" t="s">
        <v>92</v>
      </c>
      <c r="M119">
        <v>46</v>
      </c>
      <c r="N119">
        <v>50</v>
      </c>
      <c r="O119">
        <v>2231</v>
      </c>
      <c r="P119">
        <v>1334</v>
      </c>
      <c r="Q119">
        <v>897</v>
      </c>
      <c r="R119">
        <v>0.03</v>
      </c>
      <c r="S119" t="s">
        <v>28</v>
      </c>
      <c r="T119">
        <v>101.2</v>
      </c>
    </row>
    <row r="120" spans="1:20" x14ac:dyDescent="0.25">
      <c r="A120">
        <v>100119</v>
      </c>
      <c r="B120" s="6">
        <v>45780</v>
      </c>
      <c r="C120">
        <v>2025</v>
      </c>
      <c r="D120" t="s">
        <v>20</v>
      </c>
      <c r="E120">
        <v>5</v>
      </c>
      <c r="F120" t="s">
        <v>21</v>
      </c>
      <c r="G120" t="s">
        <v>29</v>
      </c>
      <c r="H120" t="s">
        <v>23</v>
      </c>
      <c r="I120" t="s">
        <v>49</v>
      </c>
      <c r="J120" t="s">
        <v>31</v>
      </c>
      <c r="K120" t="s">
        <v>32</v>
      </c>
      <c r="L120" t="s">
        <v>33</v>
      </c>
      <c r="M120">
        <v>129</v>
      </c>
      <c r="N120">
        <v>60</v>
      </c>
      <c r="O120">
        <v>6966</v>
      </c>
      <c r="P120">
        <v>4902</v>
      </c>
      <c r="Q120">
        <v>2064</v>
      </c>
      <c r="R120">
        <v>0.1</v>
      </c>
      <c r="S120" t="s">
        <v>70</v>
      </c>
      <c r="T120">
        <v>284.97000000000003</v>
      </c>
    </row>
    <row r="121" spans="1:20" x14ac:dyDescent="0.25">
      <c r="A121">
        <v>100120</v>
      </c>
      <c r="B121" s="6">
        <v>45452</v>
      </c>
      <c r="C121">
        <v>2024</v>
      </c>
      <c r="D121" t="s">
        <v>20</v>
      </c>
      <c r="E121">
        <v>6</v>
      </c>
      <c r="F121" t="s">
        <v>48</v>
      </c>
      <c r="G121" t="s">
        <v>45</v>
      </c>
      <c r="H121" t="s">
        <v>23</v>
      </c>
      <c r="I121" t="s">
        <v>62</v>
      </c>
      <c r="J121" t="s">
        <v>66</v>
      </c>
      <c r="K121" t="s">
        <v>26</v>
      </c>
      <c r="L121" t="s">
        <v>27</v>
      </c>
      <c r="M121">
        <v>112</v>
      </c>
      <c r="N121">
        <v>110</v>
      </c>
      <c r="O121">
        <v>12073.6</v>
      </c>
      <c r="P121">
        <v>7616</v>
      </c>
      <c r="Q121">
        <v>4457.6000000000004</v>
      </c>
      <c r="R121">
        <v>0.02</v>
      </c>
      <c r="S121" t="s">
        <v>28</v>
      </c>
      <c r="T121">
        <v>609.45000000000005</v>
      </c>
    </row>
    <row r="122" spans="1:20" x14ac:dyDescent="0.25">
      <c r="A122">
        <v>100121</v>
      </c>
      <c r="B122" s="6">
        <v>45368</v>
      </c>
      <c r="C122">
        <v>2024</v>
      </c>
      <c r="D122" t="s">
        <v>63</v>
      </c>
      <c r="E122">
        <v>3</v>
      </c>
      <c r="F122" t="s">
        <v>64</v>
      </c>
      <c r="G122" t="s">
        <v>45</v>
      </c>
      <c r="H122" t="s">
        <v>23</v>
      </c>
      <c r="I122" t="s">
        <v>46</v>
      </c>
      <c r="J122" t="s">
        <v>68</v>
      </c>
      <c r="K122" t="s">
        <v>26</v>
      </c>
      <c r="L122" t="s">
        <v>27</v>
      </c>
      <c r="M122">
        <v>84</v>
      </c>
      <c r="N122">
        <v>110</v>
      </c>
      <c r="O122">
        <v>8500.7999999999993</v>
      </c>
      <c r="P122">
        <v>5712</v>
      </c>
      <c r="Q122">
        <v>2788.8</v>
      </c>
      <c r="R122">
        <v>0.08</v>
      </c>
      <c r="S122" t="s">
        <v>70</v>
      </c>
      <c r="T122">
        <v>375.15</v>
      </c>
    </row>
    <row r="123" spans="1:20" x14ac:dyDescent="0.25">
      <c r="A123">
        <v>100122</v>
      </c>
      <c r="B123" s="6">
        <v>45860</v>
      </c>
      <c r="C123">
        <v>2025</v>
      </c>
      <c r="D123" t="s">
        <v>39</v>
      </c>
      <c r="E123">
        <v>7</v>
      </c>
      <c r="F123" t="s">
        <v>75</v>
      </c>
      <c r="G123" t="s">
        <v>35</v>
      </c>
      <c r="H123" t="s">
        <v>23</v>
      </c>
      <c r="I123" t="s">
        <v>77</v>
      </c>
      <c r="J123" t="s">
        <v>66</v>
      </c>
      <c r="K123" t="s">
        <v>51</v>
      </c>
      <c r="L123" t="s">
        <v>76</v>
      </c>
      <c r="M123">
        <v>131</v>
      </c>
      <c r="N123">
        <v>40</v>
      </c>
      <c r="O123">
        <v>4978</v>
      </c>
      <c r="P123">
        <v>3013</v>
      </c>
      <c r="Q123">
        <v>1965</v>
      </c>
      <c r="R123">
        <v>0.05</v>
      </c>
      <c r="S123" t="s">
        <v>38</v>
      </c>
      <c r="T123">
        <v>103.85</v>
      </c>
    </row>
    <row r="124" spans="1:20" x14ac:dyDescent="0.25">
      <c r="A124">
        <v>100123</v>
      </c>
      <c r="B124" s="6">
        <v>45572</v>
      </c>
      <c r="C124">
        <v>2024</v>
      </c>
      <c r="D124" t="s">
        <v>43</v>
      </c>
      <c r="E124">
        <v>10</v>
      </c>
      <c r="F124" t="s">
        <v>44</v>
      </c>
      <c r="G124" t="s">
        <v>22</v>
      </c>
      <c r="H124" t="s">
        <v>23</v>
      </c>
      <c r="I124" t="s">
        <v>65</v>
      </c>
      <c r="J124" t="s">
        <v>68</v>
      </c>
      <c r="K124" t="s">
        <v>51</v>
      </c>
      <c r="L124" t="s">
        <v>92</v>
      </c>
      <c r="M124">
        <v>62</v>
      </c>
      <c r="N124">
        <v>50</v>
      </c>
      <c r="O124">
        <v>3100</v>
      </c>
      <c r="P124">
        <v>1798</v>
      </c>
      <c r="Q124">
        <v>1302</v>
      </c>
      <c r="R124">
        <v>0</v>
      </c>
      <c r="S124" t="s">
        <v>70</v>
      </c>
      <c r="T124">
        <v>202.41</v>
      </c>
    </row>
    <row r="125" spans="1:20" x14ac:dyDescent="0.25">
      <c r="A125">
        <v>100124</v>
      </c>
      <c r="B125" s="6">
        <v>45628</v>
      </c>
      <c r="C125">
        <v>2024</v>
      </c>
      <c r="D125" t="s">
        <v>43</v>
      </c>
      <c r="E125">
        <v>12</v>
      </c>
      <c r="F125" t="s">
        <v>83</v>
      </c>
      <c r="G125" t="s">
        <v>35</v>
      </c>
      <c r="H125" t="s">
        <v>23</v>
      </c>
      <c r="I125" t="s">
        <v>36</v>
      </c>
      <c r="J125" t="s">
        <v>50</v>
      </c>
      <c r="K125" t="s">
        <v>32</v>
      </c>
      <c r="L125" t="s">
        <v>47</v>
      </c>
      <c r="M125">
        <v>63</v>
      </c>
      <c r="N125">
        <v>180</v>
      </c>
      <c r="O125">
        <v>10773</v>
      </c>
      <c r="P125">
        <v>7245</v>
      </c>
      <c r="Q125">
        <v>3528</v>
      </c>
      <c r="R125">
        <v>0.05</v>
      </c>
      <c r="S125" t="s">
        <v>57</v>
      </c>
      <c r="T125">
        <v>210.65</v>
      </c>
    </row>
    <row r="126" spans="1:20" x14ac:dyDescent="0.25">
      <c r="A126">
        <v>100125</v>
      </c>
      <c r="B126" s="6">
        <v>44955</v>
      </c>
      <c r="C126">
        <v>2023</v>
      </c>
      <c r="D126" t="s">
        <v>63</v>
      </c>
      <c r="E126">
        <v>1</v>
      </c>
      <c r="F126" t="s">
        <v>79</v>
      </c>
      <c r="G126" t="s">
        <v>45</v>
      </c>
      <c r="H126" t="s">
        <v>23</v>
      </c>
      <c r="I126" t="s">
        <v>90</v>
      </c>
      <c r="J126" t="s">
        <v>66</v>
      </c>
      <c r="K126" t="s">
        <v>51</v>
      </c>
      <c r="L126" t="s">
        <v>72</v>
      </c>
      <c r="M126">
        <v>122</v>
      </c>
      <c r="N126">
        <v>90</v>
      </c>
      <c r="O126">
        <v>10431</v>
      </c>
      <c r="P126">
        <v>6344</v>
      </c>
      <c r="Q126">
        <v>4087</v>
      </c>
      <c r="R126">
        <v>0.05</v>
      </c>
      <c r="S126" t="s">
        <v>70</v>
      </c>
      <c r="T126">
        <v>506.66</v>
      </c>
    </row>
    <row r="127" spans="1:20" x14ac:dyDescent="0.25">
      <c r="A127">
        <v>100126</v>
      </c>
      <c r="B127" s="6">
        <v>45549</v>
      </c>
      <c r="C127">
        <v>2024</v>
      </c>
      <c r="D127" t="s">
        <v>39</v>
      </c>
      <c r="E127">
        <v>9</v>
      </c>
      <c r="F127" t="s">
        <v>40</v>
      </c>
      <c r="G127" t="s">
        <v>29</v>
      </c>
      <c r="H127" t="s">
        <v>23</v>
      </c>
      <c r="I127" t="s">
        <v>85</v>
      </c>
      <c r="J127" t="s">
        <v>25</v>
      </c>
      <c r="K127" t="s">
        <v>32</v>
      </c>
      <c r="L127" t="s">
        <v>47</v>
      </c>
      <c r="M127">
        <v>42</v>
      </c>
      <c r="N127">
        <v>180</v>
      </c>
      <c r="O127">
        <v>7408.8</v>
      </c>
      <c r="P127">
        <v>4830</v>
      </c>
      <c r="Q127">
        <v>2578.8000000000002</v>
      </c>
      <c r="R127">
        <v>0.02</v>
      </c>
      <c r="S127" t="s">
        <v>70</v>
      </c>
      <c r="T127">
        <v>331.11</v>
      </c>
    </row>
    <row r="128" spans="1:20" x14ac:dyDescent="0.25">
      <c r="A128">
        <v>100127</v>
      </c>
      <c r="B128" s="6">
        <v>45884</v>
      </c>
      <c r="C128">
        <v>2025</v>
      </c>
      <c r="D128" t="s">
        <v>39</v>
      </c>
      <c r="E128">
        <v>8</v>
      </c>
      <c r="F128" t="s">
        <v>58</v>
      </c>
      <c r="G128" t="s">
        <v>22</v>
      </c>
      <c r="H128" t="s">
        <v>23</v>
      </c>
      <c r="I128" t="s">
        <v>71</v>
      </c>
      <c r="J128" t="s">
        <v>42</v>
      </c>
      <c r="K128" t="s">
        <v>32</v>
      </c>
      <c r="L128" t="s">
        <v>37</v>
      </c>
      <c r="M128">
        <v>82</v>
      </c>
      <c r="N128">
        <v>120</v>
      </c>
      <c r="O128">
        <v>9840</v>
      </c>
      <c r="P128">
        <v>6396</v>
      </c>
      <c r="Q128">
        <v>3444</v>
      </c>
      <c r="R128">
        <v>0</v>
      </c>
      <c r="S128" t="s">
        <v>57</v>
      </c>
      <c r="T128">
        <v>541.70000000000005</v>
      </c>
    </row>
    <row r="129" spans="1:20" x14ac:dyDescent="0.25">
      <c r="A129">
        <v>100128</v>
      </c>
      <c r="B129" s="6">
        <v>44968</v>
      </c>
      <c r="C129">
        <v>2023</v>
      </c>
      <c r="D129" t="s">
        <v>63</v>
      </c>
      <c r="E129">
        <v>2</v>
      </c>
      <c r="F129" t="s">
        <v>81</v>
      </c>
      <c r="G129" t="s">
        <v>45</v>
      </c>
      <c r="H129" t="s">
        <v>23</v>
      </c>
      <c r="I129" t="s">
        <v>90</v>
      </c>
      <c r="J129" t="s">
        <v>68</v>
      </c>
      <c r="K129" t="s">
        <v>32</v>
      </c>
      <c r="L129" t="s">
        <v>33</v>
      </c>
      <c r="M129">
        <v>117</v>
      </c>
      <c r="N129">
        <v>60</v>
      </c>
      <c r="O129">
        <v>6669</v>
      </c>
      <c r="P129">
        <v>4446</v>
      </c>
      <c r="Q129">
        <v>2223</v>
      </c>
      <c r="R129">
        <v>0.05</v>
      </c>
      <c r="S129" t="s">
        <v>38</v>
      </c>
      <c r="T129">
        <v>199.86</v>
      </c>
    </row>
    <row r="130" spans="1:20" x14ac:dyDescent="0.25">
      <c r="A130">
        <v>100129</v>
      </c>
      <c r="B130" s="6">
        <v>45994</v>
      </c>
      <c r="C130">
        <v>2025</v>
      </c>
      <c r="D130" t="s">
        <v>43</v>
      </c>
      <c r="E130">
        <v>12</v>
      </c>
      <c r="F130" t="s">
        <v>83</v>
      </c>
      <c r="G130" t="s">
        <v>22</v>
      </c>
      <c r="H130" t="s">
        <v>23</v>
      </c>
      <c r="I130" t="s">
        <v>24</v>
      </c>
      <c r="J130" t="s">
        <v>50</v>
      </c>
      <c r="K130" t="s">
        <v>55</v>
      </c>
      <c r="L130" t="s">
        <v>93</v>
      </c>
      <c r="M130">
        <v>83</v>
      </c>
      <c r="N130">
        <v>60</v>
      </c>
      <c r="O130">
        <v>4731</v>
      </c>
      <c r="P130">
        <v>3486</v>
      </c>
      <c r="Q130">
        <v>1245</v>
      </c>
      <c r="R130">
        <v>0.05</v>
      </c>
      <c r="S130" t="s">
        <v>70</v>
      </c>
      <c r="T130">
        <v>206.61</v>
      </c>
    </row>
    <row r="131" spans="1:20" x14ac:dyDescent="0.25">
      <c r="A131">
        <v>100130</v>
      </c>
      <c r="B131" s="6">
        <v>45142</v>
      </c>
      <c r="C131">
        <v>2023</v>
      </c>
      <c r="D131" t="s">
        <v>39</v>
      </c>
      <c r="E131">
        <v>8</v>
      </c>
      <c r="F131" t="s">
        <v>58</v>
      </c>
      <c r="G131" t="s">
        <v>22</v>
      </c>
      <c r="H131" t="s">
        <v>23</v>
      </c>
      <c r="I131" t="s">
        <v>65</v>
      </c>
      <c r="J131" t="s">
        <v>68</v>
      </c>
      <c r="K131" t="s">
        <v>59</v>
      </c>
      <c r="L131" t="s">
        <v>60</v>
      </c>
      <c r="M131">
        <v>127</v>
      </c>
      <c r="N131">
        <v>45</v>
      </c>
      <c r="O131">
        <v>5429.25</v>
      </c>
      <c r="P131">
        <v>3429</v>
      </c>
      <c r="Q131">
        <v>2000.25</v>
      </c>
      <c r="R131">
        <v>0.05</v>
      </c>
      <c r="S131" t="s">
        <v>70</v>
      </c>
      <c r="T131">
        <v>374.25</v>
      </c>
    </row>
    <row r="132" spans="1:20" x14ac:dyDescent="0.25">
      <c r="A132">
        <v>100131</v>
      </c>
      <c r="B132" s="6">
        <v>45415</v>
      </c>
      <c r="C132">
        <v>2024</v>
      </c>
      <c r="D132" t="s">
        <v>20</v>
      </c>
      <c r="E132">
        <v>5</v>
      </c>
      <c r="F132" t="s">
        <v>21</v>
      </c>
      <c r="G132" t="s">
        <v>45</v>
      </c>
      <c r="H132" t="s">
        <v>23</v>
      </c>
      <c r="I132" t="s">
        <v>88</v>
      </c>
      <c r="J132" t="s">
        <v>61</v>
      </c>
      <c r="K132" t="s">
        <v>32</v>
      </c>
      <c r="L132" t="s">
        <v>33</v>
      </c>
      <c r="M132">
        <v>25</v>
      </c>
      <c r="N132">
        <v>60</v>
      </c>
      <c r="O132">
        <v>1350</v>
      </c>
      <c r="P132">
        <v>950</v>
      </c>
      <c r="Q132">
        <v>400</v>
      </c>
      <c r="R132">
        <v>0.1</v>
      </c>
      <c r="S132" t="s">
        <v>70</v>
      </c>
      <c r="T132">
        <v>33.659999999999997</v>
      </c>
    </row>
    <row r="133" spans="1:20" x14ac:dyDescent="0.25">
      <c r="A133">
        <v>100132</v>
      </c>
      <c r="B133" s="6">
        <v>45317</v>
      </c>
      <c r="C133">
        <v>2024</v>
      </c>
      <c r="D133" t="s">
        <v>63</v>
      </c>
      <c r="E133">
        <v>1</v>
      </c>
      <c r="F133" t="s">
        <v>79</v>
      </c>
      <c r="G133" t="s">
        <v>35</v>
      </c>
      <c r="H133" t="s">
        <v>23</v>
      </c>
      <c r="I133" t="s">
        <v>53</v>
      </c>
      <c r="J133" t="s">
        <v>54</v>
      </c>
      <c r="K133" t="s">
        <v>26</v>
      </c>
      <c r="L133" t="s">
        <v>27</v>
      </c>
      <c r="M133">
        <v>124</v>
      </c>
      <c r="N133">
        <v>110</v>
      </c>
      <c r="O133">
        <v>12276</v>
      </c>
      <c r="P133">
        <v>8432</v>
      </c>
      <c r="Q133">
        <v>3844</v>
      </c>
      <c r="R133">
        <v>0.1</v>
      </c>
      <c r="S133" t="s">
        <v>57</v>
      </c>
      <c r="T133">
        <v>839.78</v>
      </c>
    </row>
    <row r="134" spans="1:20" x14ac:dyDescent="0.25">
      <c r="A134">
        <v>100133</v>
      </c>
      <c r="B134" s="6">
        <v>45916</v>
      </c>
      <c r="C134">
        <v>2025</v>
      </c>
      <c r="D134" t="s">
        <v>39</v>
      </c>
      <c r="E134">
        <v>9</v>
      </c>
      <c r="F134" t="s">
        <v>40</v>
      </c>
      <c r="G134" t="s">
        <v>29</v>
      </c>
      <c r="H134" t="s">
        <v>23</v>
      </c>
      <c r="I134" t="s">
        <v>30</v>
      </c>
      <c r="J134" t="s">
        <v>25</v>
      </c>
      <c r="K134" t="s">
        <v>51</v>
      </c>
      <c r="L134" t="s">
        <v>52</v>
      </c>
      <c r="M134">
        <v>112</v>
      </c>
      <c r="N134">
        <v>75</v>
      </c>
      <c r="O134">
        <v>8400</v>
      </c>
      <c r="P134">
        <v>4928</v>
      </c>
      <c r="Q134">
        <v>3472</v>
      </c>
      <c r="R134">
        <v>0</v>
      </c>
      <c r="S134" t="s">
        <v>70</v>
      </c>
      <c r="T134">
        <v>401.48</v>
      </c>
    </row>
    <row r="135" spans="1:20" x14ac:dyDescent="0.25">
      <c r="A135">
        <v>100134</v>
      </c>
      <c r="B135" s="6">
        <v>45057</v>
      </c>
      <c r="C135">
        <v>2023</v>
      </c>
      <c r="D135" t="s">
        <v>20</v>
      </c>
      <c r="E135">
        <v>5</v>
      </c>
      <c r="F135" t="s">
        <v>21</v>
      </c>
      <c r="G135" t="s">
        <v>45</v>
      </c>
      <c r="H135" t="s">
        <v>23</v>
      </c>
      <c r="I135" t="s">
        <v>90</v>
      </c>
      <c r="J135" t="s">
        <v>50</v>
      </c>
      <c r="K135" t="s">
        <v>51</v>
      </c>
      <c r="L135" t="s">
        <v>52</v>
      </c>
      <c r="M135">
        <v>117</v>
      </c>
      <c r="N135">
        <v>75</v>
      </c>
      <c r="O135">
        <v>8336.25</v>
      </c>
      <c r="P135">
        <v>5148</v>
      </c>
      <c r="Q135">
        <v>3188.25</v>
      </c>
      <c r="R135">
        <v>0.05</v>
      </c>
      <c r="S135" t="s">
        <v>57</v>
      </c>
      <c r="T135">
        <v>493.66</v>
      </c>
    </row>
    <row r="136" spans="1:20" x14ac:dyDescent="0.25">
      <c r="A136">
        <v>100135</v>
      </c>
      <c r="B136" s="6">
        <v>45847</v>
      </c>
      <c r="C136">
        <v>2025</v>
      </c>
      <c r="D136" t="s">
        <v>39</v>
      </c>
      <c r="E136">
        <v>7</v>
      </c>
      <c r="F136" t="s">
        <v>75</v>
      </c>
      <c r="G136" t="s">
        <v>45</v>
      </c>
      <c r="H136" t="s">
        <v>23</v>
      </c>
      <c r="I136" t="s">
        <v>88</v>
      </c>
      <c r="J136" t="s">
        <v>68</v>
      </c>
      <c r="K136" t="s">
        <v>59</v>
      </c>
      <c r="L136" t="s">
        <v>60</v>
      </c>
      <c r="M136">
        <v>117</v>
      </c>
      <c r="N136">
        <v>45</v>
      </c>
      <c r="O136">
        <v>5159.7</v>
      </c>
      <c r="P136">
        <v>3159</v>
      </c>
      <c r="Q136">
        <v>2000.7</v>
      </c>
      <c r="R136">
        <v>0.02</v>
      </c>
      <c r="S136" t="s">
        <v>28</v>
      </c>
      <c r="T136">
        <v>84.32</v>
      </c>
    </row>
    <row r="137" spans="1:20" x14ac:dyDescent="0.25">
      <c r="A137">
        <v>100136</v>
      </c>
      <c r="B137" s="6">
        <v>45177</v>
      </c>
      <c r="C137">
        <v>2023</v>
      </c>
      <c r="D137" t="s">
        <v>39</v>
      </c>
      <c r="E137">
        <v>9</v>
      </c>
      <c r="F137" t="s">
        <v>40</v>
      </c>
      <c r="G137" t="s">
        <v>22</v>
      </c>
      <c r="H137" t="s">
        <v>23</v>
      </c>
      <c r="I137" t="s">
        <v>71</v>
      </c>
      <c r="J137" t="s">
        <v>50</v>
      </c>
      <c r="K137" t="s">
        <v>59</v>
      </c>
      <c r="L137" t="s">
        <v>91</v>
      </c>
      <c r="M137">
        <v>105</v>
      </c>
      <c r="N137">
        <v>140</v>
      </c>
      <c r="O137">
        <v>13965</v>
      </c>
      <c r="P137">
        <v>8610</v>
      </c>
      <c r="Q137">
        <v>5355</v>
      </c>
      <c r="R137">
        <v>0.05</v>
      </c>
      <c r="S137" t="s">
        <v>38</v>
      </c>
      <c r="T137">
        <v>975.96</v>
      </c>
    </row>
    <row r="138" spans="1:20" x14ac:dyDescent="0.25">
      <c r="A138">
        <v>100137</v>
      </c>
      <c r="B138" s="6">
        <v>45403</v>
      </c>
      <c r="C138">
        <v>2024</v>
      </c>
      <c r="D138" t="s">
        <v>20</v>
      </c>
      <c r="E138">
        <v>4</v>
      </c>
      <c r="F138" t="s">
        <v>34</v>
      </c>
      <c r="G138" t="s">
        <v>35</v>
      </c>
      <c r="H138" t="s">
        <v>23</v>
      </c>
      <c r="I138" t="s">
        <v>77</v>
      </c>
      <c r="J138" t="s">
        <v>54</v>
      </c>
      <c r="K138" t="s">
        <v>59</v>
      </c>
      <c r="L138" t="s">
        <v>91</v>
      </c>
      <c r="M138">
        <v>130</v>
      </c>
      <c r="N138">
        <v>140</v>
      </c>
      <c r="O138">
        <v>17290</v>
      </c>
      <c r="P138">
        <v>10660</v>
      </c>
      <c r="Q138">
        <v>6630</v>
      </c>
      <c r="R138">
        <v>0.05</v>
      </c>
      <c r="S138" t="s">
        <v>70</v>
      </c>
      <c r="T138">
        <v>656.63</v>
      </c>
    </row>
    <row r="139" spans="1:20" x14ac:dyDescent="0.25">
      <c r="A139">
        <v>100138</v>
      </c>
      <c r="B139" s="6">
        <v>45503</v>
      </c>
      <c r="C139">
        <v>2024</v>
      </c>
      <c r="D139" t="s">
        <v>39</v>
      </c>
      <c r="E139">
        <v>7</v>
      </c>
      <c r="F139" t="s">
        <v>75</v>
      </c>
      <c r="G139" t="s">
        <v>35</v>
      </c>
      <c r="H139" t="s">
        <v>23</v>
      </c>
      <c r="I139" t="s">
        <v>77</v>
      </c>
      <c r="J139" t="s">
        <v>66</v>
      </c>
      <c r="K139" t="s">
        <v>32</v>
      </c>
      <c r="L139" t="s">
        <v>33</v>
      </c>
      <c r="M139">
        <v>129</v>
      </c>
      <c r="N139">
        <v>60</v>
      </c>
      <c r="O139">
        <v>7585.2</v>
      </c>
      <c r="P139">
        <v>4902</v>
      </c>
      <c r="Q139">
        <v>2683.2</v>
      </c>
      <c r="R139">
        <v>0.02</v>
      </c>
      <c r="S139" t="s">
        <v>70</v>
      </c>
      <c r="T139">
        <v>237.39</v>
      </c>
    </row>
    <row r="140" spans="1:20" x14ac:dyDescent="0.25">
      <c r="A140">
        <v>100139</v>
      </c>
      <c r="B140" s="6">
        <v>45358</v>
      </c>
      <c r="C140">
        <v>2024</v>
      </c>
      <c r="D140" t="s">
        <v>63</v>
      </c>
      <c r="E140">
        <v>3</v>
      </c>
      <c r="F140" t="s">
        <v>64</v>
      </c>
      <c r="G140" t="s">
        <v>45</v>
      </c>
      <c r="H140" t="s">
        <v>23</v>
      </c>
      <c r="I140" t="s">
        <v>46</v>
      </c>
      <c r="J140" t="s">
        <v>25</v>
      </c>
      <c r="K140" t="s">
        <v>55</v>
      </c>
      <c r="L140" t="s">
        <v>93</v>
      </c>
      <c r="M140">
        <v>58</v>
      </c>
      <c r="N140">
        <v>60</v>
      </c>
      <c r="O140">
        <v>3375.6</v>
      </c>
      <c r="P140">
        <v>2436</v>
      </c>
      <c r="Q140">
        <v>939.6</v>
      </c>
      <c r="R140">
        <v>0.03</v>
      </c>
      <c r="S140" t="s">
        <v>28</v>
      </c>
      <c r="T140">
        <v>73.739999999999995</v>
      </c>
    </row>
    <row r="141" spans="1:20" x14ac:dyDescent="0.25">
      <c r="A141">
        <v>100140</v>
      </c>
      <c r="B141" s="6">
        <v>44987</v>
      </c>
      <c r="C141">
        <v>2023</v>
      </c>
      <c r="D141" t="s">
        <v>63</v>
      </c>
      <c r="E141">
        <v>3</v>
      </c>
      <c r="F141" t="s">
        <v>64</v>
      </c>
      <c r="G141" t="s">
        <v>45</v>
      </c>
      <c r="H141" t="s">
        <v>23</v>
      </c>
      <c r="I141" t="s">
        <v>90</v>
      </c>
      <c r="J141" t="s">
        <v>61</v>
      </c>
      <c r="K141" t="s">
        <v>59</v>
      </c>
      <c r="L141" t="s">
        <v>67</v>
      </c>
      <c r="M141">
        <v>72</v>
      </c>
      <c r="N141">
        <v>95</v>
      </c>
      <c r="O141">
        <v>6156</v>
      </c>
      <c r="P141">
        <v>4032</v>
      </c>
      <c r="Q141">
        <v>2124</v>
      </c>
      <c r="R141">
        <v>0.1</v>
      </c>
      <c r="S141" t="s">
        <v>28</v>
      </c>
      <c r="T141">
        <v>250.59</v>
      </c>
    </row>
    <row r="142" spans="1:20" x14ac:dyDescent="0.25">
      <c r="A142">
        <v>100141</v>
      </c>
      <c r="B142" s="6">
        <v>45490</v>
      </c>
      <c r="C142">
        <v>2024</v>
      </c>
      <c r="D142" t="s">
        <v>39</v>
      </c>
      <c r="E142">
        <v>7</v>
      </c>
      <c r="F142" t="s">
        <v>75</v>
      </c>
      <c r="G142" t="s">
        <v>29</v>
      </c>
      <c r="H142" t="s">
        <v>23</v>
      </c>
      <c r="I142" t="s">
        <v>30</v>
      </c>
      <c r="J142" t="s">
        <v>66</v>
      </c>
      <c r="K142" t="s">
        <v>51</v>
      </c>
      <c r="L142" t="s">
        <v>92</v>
      </c>
      <c r="M142">
        <v>72</v>
      </c>
      <c r="N142">
        <v>50</v>
      </c>
      <c r="O142">
        <v>3528</v>
      </c>
      <c r="P142">
        <v>2088</v>
      </c>
      <c r="Q142">
        <v>1440</v>
      </c>
      <c r="R142">
        <v>0.02</v>
      </c>
      <c r="S142" t="s">
        <v>38</v>
      </c>
      <c r="T142">
        <v>214.1</v>
      </c>
    </row>
    <row r="143" spans="1:20" x14ac:dyDescent="0.25">
      <c r="A143">
        <v>100142</v>
      </c>
      <c r="B143" s="6">
        <v>45152</v>
      </c>
      <c r="C143">
        <v>2023</v>
      </c>
      <c r="D143" t="s">
        <v>39</v>
      </c>
      <c r="E143">
        <v>8</v>
      </c>
      <c r="F143" t="s">
        <v>58</v>
      </c>
      <c r="G143" t="s">
        <v>45</v>
      </c>
      <c r="H143" t="s">
        <v>23</v>
      </c>
      <c r="I143" t="s">
        <v>88</v>
      </c>
      <c r="J143" t="s">
        <v>66</v>
      </c>
      <c r="K143" t="s">
        <v>32</v>
      </c>
      <c r="L143" t="s">
        <v>33</v>
      </c>
      <c r="M143">
        <v>12</v>
      </c>
      <c r="N143">
        <v>60</v>
      </c>
      <c r="O143">
        <v>662.4</v>
      </c>
      <c r="P143">
        <v>456</v>
      </c>
      <c r="Q143">
        <v>206.4</v>
      </c>
      <c r="R143">
        <v>0.08</v>
      </c>
      <c r="S143" t="s">
        <v>28</v>
      </c>
      <c r="T143">
        <v>39.11</v>
      </c>
    </row>
    <row r="144" spans="1:20" x14ac:dyDescent="0.25">
      <c r="A144">
        <v>100143</v>
      </c>
      <c r="B144" s="6">
        <v>45615</v>
      </c>
      <c r="C144">
        <v>2024</v>
      </c>
      <c r="D144" t="s">
        <v>43</v>
      </c>
      <c r="E144">
        <v>11</v>
      </c>
      <c r="F144" t="s">
        <v>87</v>
      </c>
      <c r="G144" t="s">
        <v>45</v>
      </c>
      <c r="H144" t="s">
        <v>23</v>
      </c>
      <c r="I144" t="s">
        <v>90</v>
      </c>
      <c r="J144" t="s">
        <v>68</v>
      </c>
      <c r="K144" t="s">
        <v>59</v>
      </c>
      <c r="L144" t="s">
        <v>60</v>
      </c>
      <c r="M144">
        <v>70</v>
      </c>
      <c r="N144">
        <v>45</v>
      </c>
      <c r="O144">
        <v>3087</v>
      </c>
      <c r="P144">
        <v>1890</v>
      </c>
      <c r="Q144">
        <v>1197</v>
      </c>
      <c r="R144">
        <v>0.02</v>
      </c>
      <c r="S144" t="s">
        <v>57</v>
      </c>
      <c r="T144">
        <v>133.79</v>
      </c>
    </row>
    <row r="145" spans="1:20" x14ac:dyDescent="0.25">
      <c r="A145">
        <v>100144</v>
      </c>
      <c r="B145" s="6">
        <v>45142</v>
      </c>
      <c r="C145">
        <v>2023</v>
      </c>
      <c r="D145" t="s">
        <v>39</v>
      </c>
      <c r="E145">
        <v>8</v>
      </c>
      <c r="F145" t="s">
        <v>58</v>
      </c>
      <c r="G145" t="s">
        <v>22</v>
      </c>
      <c r="H145" t="s">
        <v>23</v>
      </c>
      <c r="I145" t="s">
        <v>65</v>
      </c>
      <c r="J145" t="s">
        <v>50</v>
      </c>
      <c r="K145" t="s">
        <v>59</v>
      </c>
      <c r="L145" t="s">
        <v>60</v>
      </c>
      <c r="M145">
        <v>129</v>
      </c>
      <c r="N145">
        <v>45</v>
      </c>
      <c r="O145">
        <v>5514.75</v>
      </c>
      <c r="P145">
        <v>3483</v>
      </c>
      <c r="Q145">
        <v>2031.75</v>
      </c>
      <c r="R145">
        <v>0.05</v>
      </c>
      <c r="S145" t="s">
        <v>70</v>
      </c>
      <c r="T145">
        <v>93.3</v>
      </c>
    </row>
    <row r="146" spans="1:20" x14ac:dyDescent="0.25">
      <c r="A146">
        <v>100145</v>
      </c>
      <c r="B146" s="6">
        <v>45878</v>
      </c>
      <c r="C146">
        <v>2025</v>
      </c>
      <c r="D146" t="s">
        <v>39</v>
      </c>
      <c r="E146">
        <v>8</v>
      </c>
      <c r="F146" t="s">
        <v>58</v>
      </c>
      <c r="G146" t="s">
        <v>22</v>
      </c>
      <c r="H146" t="s">
        <v>23</v>
      </c>
      <c r="I146" t="s">
        <v>24</v>
      </c>
      <c r="J146" t="s">
        <v>42</v>
      </c>
      <c r="K146" t="s">
        <v>32</v>
      </c>
      <c r="L146" t="s">
        <v>37</v>
      </c>
      <c r="M146">
        <v>85</v>
      </c>
      <c r="N146">
        <v>120</v>
      </c>
      <c r="O146">
        <v>10200</v>
      </c>
      <c r="P146">
        <v>6630</v>
      </c>
      <c r="Q146">
        <v>3570</v>
      </c>
      <c r="R146">
        <v>0</v>
      </c>
      <c r="S146" t="s">
        <v>70</v>
      </c>
      <c r="T146">
        <v>337.6</v>
      </c>
    </row>
    <row r="147" spans="1:20" x14ac:dyDescent="0.25">
      <c r="A147">
        <v>100146</v>
      </c>
      <c r="B147" s="6">
        <v>45881</v>
      </c>
      <c r="C147">
        <v>2025</v>
      </c>
      <c r="D147" t="s">
        <v>39</v>
      </c>
      <c r="E147">
        <v>8</v>
      </c>
      <c r="F147" t="s">
        <v>58</v>
      </c>
      <c r="G147" t="s">
        <v>35</v>
      </c>
      <c r="H147" t="s">
        <v>23</v>
      </c>
      <c r="I147" t="s">
        <v>80</v>
      </c>
      <c r="J147" t="s">
        <v>68</v>
      </c>
      <c r="K147" t="s">
        <v>51</v>
      </c>
      <c r="L147" t="s">
        <v>76</v>
      </c>
      <c r="M147">
        <v>81</v>
      </c>
      <c r="N147">
        <v>40</v>
      </c>
      <c r="O147">
        <v>3078</v>
      </c>
      <c r="P147">
        <v>1863</v>
      </c>
      <c r="Q147">
        <v>1215</v>
      </c>
      <c r="R147">
        <v>0.05</v>
      </c>
      <c r="S147" t="s">
        <v>38</v>
      </c>
      <c r="T147">
        <v>54.43</v>
      </c>
    </row>
    <row r="148" spans="1:20" x14ac:dyDescent="0.25">
      <c r="A148">
        <v>100147</v>
      </c>
      <c r="B148" s="6">
        <v>45899</v>
      </c>
      <c r="C148">
        <v>2025</v>
      </c>
      <c r="D148" t="s">
        <v>39</v>
      </c>
      <c r="E148">
        <v>8</v>
      </c>
      <c r="F148" t="s">
        <v>58</v>
      </c>
      <c r="G148" t="s">
        <v>29</v>
      </c>
      <c r="H148" t="s">
        <v>23</v>
      </c>
      <c r="I148" t="s">
        <v>73</v>
      </c>
      <c r="J148" t="s">
        <v>25</v>
      </c>
      <c r="K148" t="s">
        <v>55</v>
      </c>
      <c r="L148" t="s">
        <v>84</v>
      </c>
      <c r="M148">
        <v>49</v>
      </c>
      <c r="N148">
        <v>55</v>
      </c>
      <c r="O148">
        <v>2479.4</v>
      </c>
      <c r="P148">
        <v>1813</v>
      </c>
      <c r="Q148">
        <v>666.4</v>
      </c>
      <c r="R148">
        <v>0.08</v>
      </c>
      <c r="S148" t="s">
        <v>57</v>
      </c>
      <c r="T148">
        <v>107.57</v>
      </c>
    </row>
    <row r="149" spans="1:20" x14ac:dyDescent="0.25">
      <c r="A149">
        <v>100148</v>
      </c>
      <c r="B149" s="6">
        <v>45990</v>
      </c>
      <c r="C149">
        <v>2025</v>
      </c>
      <c r="D149" t="s">
        <v>43</v>
      </c>
      <c r="E149">
        <v>11</v>
      </c>
      <c r="F149" t="s">
        <v>87</v>
      </c>
      <c r="G149" t="s">
        <v>35</v>
      </c>
      <c r="H149" t="s">
        <v>23</v>
      </c>
      <c r="I149" t="s">
        <v>80</v>
      </c>
      <c r="J149" t="s">
        <v>31</v>
      </c>
      <c r="K149" t="s">
        <v>59</v>
      </c>
      <c r="L149" t="s">
        <v>60</v>
      </c>
      <c r="M149">
        <v>42</v>
      </c>
      <c r="N149">
        <v>45</v>
      </c>
      <c r="O149">
        <v>1738.8</v>
      </c>
      <c r="P149">
        <v>1134</v>
      </c>
      <c r="Q149">
        <v>604.79999999999995</v>
      </c>
      <c r="R149">
        <v>0.08</v>
      </c>
      <c r="S149" t="s">
        <v>38</v>
      </c>
      <c r="T149">
        <v>102.34</v>
      </c>
    </row>
    <row r="150" spans="1:20" x14ac:dyDescent="0.25">
      <c r="A150">
        <v>100149</v>
      </c>
      <c r="B150" s="6">
        <v>45497</v>
      </c>
      <c r="C150">
        <v>2024</v>
      </c>
      <c r="D150" t="s">
        <v>39</v>
      </c>
      <c r="E150">
        <v>7</v>
      </c>
      <c r="F150" t="s">
        <v>75</v>
      </c>
      <c r="G150" t="s">
        <v>22</v>
      </c>
      <c r="H150" t="s">
        <v>23</v>
      </c>
      <c r="I150" t="s">
        <v>65</v>
      </c>
      <c r="J150" t="s">
        <v>54</v>
      </c>
      <c r="K150" t="s">
        <v>26</v>
      </c>
      <c r="L150" t="s">
        <v>69</v>
      </c>
      <c r="M150">
        <v>54</v>
      </c>
      <c r="N150">
        <v>130</v>
      </c>
      <c r="O150">
        <v>6669</v>
      </c>
      <c r="P150">
        <v>4104</v>
      </c>
      <c r="Q150">
        <v>2565</v>
      </c>
      <c r="R150">
        <v>0.05</v>
      </c>
      <c r="S150" t="s">
        <v>57</v>
      </c>
      <c r="T150">
        <v>349.51</v>
      </c>
    </row>
    <row r="151" spans="1:20" x14ac:dyDescent="0.25">
      <c r="A151">
        <v>100150</v>
      </c>
      <c r="B151" s="6">
        <v>45626</v>
      </c>
      <c r="C151">
        <v>2024</v>
      </c>
      <c r="D151" t="s">
        <v>43</v>
      </c>
      <c r="E151">
        <v>11</v>
      </c>
      <c r="F151" t="s">
        <v>87</v>
      </c>
      <c r="G151" t="s">
        <v>22</v>
      </c>
      <c r="H151" t="s">
        <v>23</v>
      </c>
      <c r="I151" t="s">
        <v>71</v>
      </c>
      <c r="J151" t="s">
        <v>25</v>
      </c>
      <c r="K151" t="s">
        <v>55</v>
      </c>
      <c r="L151" t="s">
        <v>84</v>
      </c>
      <c r="M151">
        <v>40</v>
      </c>
      <c r="N151">
        <v>55</v>
      </c>
      <c r="O151">
        <v>2024</v>
      </c>
      <c r="P151">
        <v>1480</v>
      </c>
      <c r="Q151">
        <v>544</v>
      </c>
      <c r="R151">
        <v>0.08</v>
      </c>
      <c r="S151" t="s">
        <v>38</v>
      </c>
      <c r="T151">
        <v>44.71</v>
      </c>
    </row>
    <row r="152" spans="1:20" x14ac:dyDescent="0.25">
      <c r="A152">
        <v>100151</v>
      </c>
      <c r="B152" s="6">
        <v>45008</v>
      </c>
      <c r="C152">
        <v>2023</v>
      </c>
      <c r="D152" t="s">
        <v>63</v>
      </c>
      <c r="E152">
        <v>3</v>
      </c>
      <c r="F152" t="s">
        <v>64</v>
      </c>
      <c r="G152" t="s">
        <v>29</v>
      </c>
      <c r="H152" t="s">
        <v>23</v>
      </c>
      <c r="I152" t="s">
        <v>85</v>
      </c>
      <c r="J152" t="s">
        <v>66</v>
      </c>
      <c r="K152" t="s">
        <v>26</v>
      </c>
      <c r="L152" t="s">
        <v>27</v>
      </c>
      <c r="M152">
        <v>21</v>
      </c>
      <c r="N152">
        <v>110</v>
      </c>
      <c r="O152">
        <v>2310</v>
      </c>
      <c r="P152">
        <v>1428</v>
      </c>
      <c r="Q152">
        <v>882</v>
      </c>
      <c r="R152">
        <v>0</v>
      </c>
      <c r="S152" t="s">
        <v>38</v>
      </c>
      <c r="T152">
        <v>71.12</v>
      </c>
    </row>
    <row r="153" spans="1:20" x14ac:dyDescent="0.25">
      <c r="A153">
        <v>100152</v>
      </c>
      <c r="B153" s="6">
        <v>44943</v>
      </c>
      <c r="C153">
        <v>2023</v>
      </c>
      <c r="D153" t="s">
        <v>63</v>
      </c>
      <c r="E153">
        <v>1</v>
      </c>
      <c r="F153" t="s">
        <v>79</v>
      </c>
      <c r="G153" t="s">
        <v>29</v>
      </c>
      <c r="H153" t="s">
        <v>23</v>
      </c>
      <c r="I153" t="s">
        <v>30</v>
      </c>
      <c r="J153" t="s">
        <v>25</v>
      </c>
      <c r="K153" t="s">
        <v>51</v>
      </c>
      <c r="L153" t="s">
        <v>72</v>
      </c>
      <c r="M153">
        <v>97</v>
      </c>
      <c r="N153">
        <v>90</v>
      </c>
      <c r="O153">
        <v>8031.6</v>
      </c>
      <c r="P153">
        <v>5044</v>
      </c>
      <c r="Q153">
        <v>2987.6</v>
      </c>
      <c r="R153">
        <v>0.08</v>
      </c>
      <c r="S153" t="s">
        <v>57</v>
      </c>
      <c r="T153">
        <v>177.21</v>
      </c>
    </row>
    <row r="154" spans="1:20" x14ac:dyDescent="0.25">
      <c r="A154">
        <v>100153</v>
      </c>
      <c r="B154" s="6">
        <v>45512</v>
      </c>
      <c r="C154">
        <v>2024</v>
      </c>
      <c r="D154" t="s">
        <v>39</v>
      </c>
      <c r="E154">
        <v>8</v>
      </c>
      <c r="F154" t="s">
        <v>58</v>
      </c>
      <c r="G154" t="s">
        <v>45</v>
      </c>
      <c r="H154" t="s">
        <v>23</v>
      </c>
      <c r="I154" t="s">
        <v>62</v>
      </c>
      <c r="J154" t="s">
        <v>66</v>
      </c>
      <c r="K154" t="s">
        <v>26</v>
      </c>
      <c r="L154" t="s">
        <v>82</v>
      </c>
      <c r="M154">
        <v>69</v>
      </c>
      <c r="N154">
        <v>105</v>
      </c>
      <c r="O154">
        <v>7245</v>
      </c>
      <c r="P154">
        <v>4209</v>
      </c>
      <c r="Q154">
        <v>3036</v>
      </c>
      <c r="R154">
        <v>0</v>
      </c>
      <c r="S154" t="s">
        <v>28</v>
      </c>
      <c r="T154">
        <v>409.01</v>
      </c>
    </row>
    <row r="155" spans="1:20" x14ac:dyDescent="0.25">
      <c r="A155">
        <v>100154</v>
      </c>
      <c r="B155" s="6">
        <v>45410</v>
      </c>
      <c r="C155">
        <v>2024</v>
      </c>
      <c r="D155" t="s">
        <v>20</v>
      </c>
      <c r="E155">
        <v>4</v>
      </c>
      <c r="F155" t="s">
        <v>34</v>
      </c>
      <c r="G155" t="s">
        <v>35</v>
      </c>
      <c r="H155" t="s">
        <v>23</v>
      </c>
      <c r="I155" t="s">
        <v>80</v>
      </c>
      <c r="J155" t="s">
        <v>42</v>
      </c>
      <c r="K155" t="s">
        <v>51</v>
      </c>
      <c r="L155" t="s">
        <v>92</v>
      </c>
      <c r="M155">
        <v>21</v>
      </c>
      <c r="N155">
        <v>50</v>
      </c>
      <c r="O155">
        <v>1050</v>
      </c>
      <c r="P155">
        <v>609</v>
      </c>
      <c r="Q155">
        <v>441</v>
      </c>
      <c r="R155">
        <v>0</v>
      </c>
      <c r="S155" t="s">
        <v>38</v>
      </c>
      <c r="T155">
        <v>49.37</v>
      </c>
    </row>
    <row r="156" spans="1:20" x14ac:dyDescent="0.25">
      <c r="A156">
        <v>100155</v>
      </c>
      <c r="B156" s="6">
        <v>45136</v>
      </c>
      <c r="C156">
        <v>2023</v>
      </c>
      <c r="D156" t="s">
        <v>39</v>
      </c>
      <c r="E156">
        <v>7</v>
      </c>
      <c r="F156" t="s">
        <v>75</v>
      </c>
      <c r="G156" t="s">
        <v>35</v>
      </c>
      <c r="H156" t="s">
        <v>23</v>
      </c>
      <c r="I156" t="s">
        <v>36</v>
      </c>
      <c r="J156" t="s">
        <v>42</v>
      </c>
      <c r="K156" t="s">
        <v>55</v>
      </c>
      <c r="L156" t="s">
        <v>93</v>
      </c>
      <c r="M156">
        <v>134</v>
      </c>
      <c r="N156">
        <v>60</v>
      </c>
      <c r="O156">
        <v>7798.8</v>
      </c>
      <c r="P156">
        <v>5628</v>
      </c>
      <c r="Q156">
        <v>2170.8000000000002</v>
      </c>
      <c r="R156">
        <v>0.03</v>
      </c>
      <c r="S156" t="s">
        <v>38</v>
      </c>
      <c r="T156">
        <v>145.13</v>
      </c>
    </row>
    <row r="157" spans="1:20" x14ac:dyDescent="0.25">
      <c r="A157">
        <v>100156</v>
      </c>
      <c r="B157" s="6">
        <v>45005</v>
      </c>
      <c r="C157">
        <v>2023</v>
      </c>
      <c r="D157" t="s">
        <v>63</v>
      </c>
      <c r="E157">
        <v>3</v>
      </c>
      <c r="F157" t="s">
        <v>64</v>
      </c>
      <c r="G157" t="s">
        <v>29</v>
      </c>
      <c r="H157" t="s">
        <v>23</v>
      </c>
      <c r="I157" t="s">
        <v>30</v>
      </c>
      <c r="J157" t="s">
        <v>50</v>
      </c>
      <c r="K157" t="s">
        <v>51</v>
      </c>
      <c r="L157" t="s">
        <v>52</v>
      </c>
      <c r="M157">
        <v>35</v>
      </c>
      <c r="N157">
        <v>75</v>
      </c>
      <c r="O157">
        <v>2625</v>
      </c>
      <c r="P157">
        <v>1540</v>
      </c>
      <c r="Q157">
        <v>1085</v>
      </c>
      <c r="R157">
        <v>0</v>
      </c>
      <c r="S157" t="s">
        <v>70</v>
      </c>
      <c r="T157">
        <v>107.02</v>
      </c>
    </row>
    <row r="158" spans="1:20" x14ac:dyDescent="0.25">
      <c r="A158">
        <v>100157</v>
      </c>
      <c r="B158" s="6">
        <v>45323</v>
      </c>
      <c r="C158">
        <v>2024</v>
      </c>
      <c r="D158" t="s">
        <v>63</v>
      </c>
      <c r="E158">
        <v>2</v>
      </c>
      <c r="F158" t="s">
        <v>81</v>
      </c>
      <c r="G158" t="s">
        <v>45</v>
      </c>
      <c r="H158" t="s">
        <v>23</v>
      </c>
      <c r="I158" t="s">
        <v>90</v>
      </c>
      <c r="J158" t="s">
        <v>66</v>
      </c>
      <c r="K158" t="s">
        <v>59</v>
      </c>
      <c r="L158" t="s">
        <v>60</v>
      </c>
      <c r="M158">
        <v>84</v>
      </c>
      <c r="N158">
        <v>45</v>
      </c>
      <c r="O158">
        <v>3704.4</v>
      </c>
      <c r="P158">
        <v>2268</v>
      </c>
      <c r="Q158">
        <v>1436.4</v>
      </c>
      <c r="R158">
        <v>0.02</v>
      </c>
      <c r="S158" t="s">
        <v>38</v>
      </c>
      <c r="T158">
        <v>72.349999999999994</v>
      </c>
    </row>
    <row r="159" spans="1:20" x14ac:dyDescent="0.25">
      <c r="A159">
        <v>100158</v>
      </c>
      <c r="B159" s="6">
        <v>45775</v>
      </c>
      <c r="C159">
        <v>2025</v>
      </c>
      <c r="D159" t="s">
        <v>20</v>
      </c>
      <c r="E159">
        <v>4</v>
      </c>
      <c r="F159" t="s">
        <v>34</v>
      </c>
      <c r="G159" t="s">
        <v>35</v>
      </c>
      <c r="H159" t="s">
        <v>23</v>
      </c>
      <c r="I159" t="s">
        <v>80</v>
      </c>
      <c r="J159" t="s">
        <v>50</v>
      </c>
      <c r="K159" t="s">
        <v>32</v>
      </c>
      <c r="L159" t="s">
        <v>37</v>
      </c>
      <c r="M159">
        <v>30</v>
      </c>
      <c r="N159">
        <v>120</v>
      </c>
      <c r="O159">
        <v>3312</v>
      </c>
      <c r="P159">
        <v>2340</v>
      </c>
      <c r="Q159">
        <v>972</v>
      </c>
      <c r="R159">
        <v>0.08</v>
      </c>
      <c r="S159" t="s">
        <v>38</v>
      </c>
      <c r="T159">
        <v>205.86</v>
      </c>
    </row>
    <row r="160" spans="1:20" x14ac:dyDescent="0.25">
      <c r="A160">
        <v>100159</v>
      </c>
      <c r="B160" s="6">
        <v>45496</v>
      </c>
      <c r="C160">
        <v>2024</v>
      </c>
      <c r="D160" t="s">
        <v>39</v>
      </c>
      <c r="E160">
        <v>7</v>
      </c>
      <c r="F160" t="s">
        <v>75</v>
      </c>
      <c r="G160" t="s">
        <v>29</v>
      </c>
      <c r="H160" t="s">
        <v>23</v>
      </c>
      <c r="I160" t="s">
        <v>85</v>
      </c>
      <c r="J160" t="s">
        <v>68</v>
      </c>
      <c r="K160" t="s">
        <v>51</v>
      </c>
      <c r="L160" t="s">
        <v>92</v>
      </c>
      <c r="M160">
        <v>73</v>
      </c>
      <c r="N160">
        <v>50</v>
      </c>
      <c r="O160">
        <v>3358</v>
      </c>
      <c r="P160">
        <v>2117</v>
      </c>
      <c r="Q160">
        <v>1241</v>
      </c>
      <c r="R160">
        <v>0.08</v>
      </c>
      <c r="S160" t="s">
        <v>28</v>
      </c>
      <c r="T160">
        <v>182.41</v>
      </c>
    </row>
    <row r="161" spans="1:20" x14ac:dyDescent="0.25">
      <c r="A161">
        <v>100160</v>
      </c>
      <c r="B161" s="6">
        <v>45134</v>
      </c>
      <c r="C161">
        <v>2023</v>
      </c>
      <c r="D161" t="s">
        <v>39</v>
      </c>
      <c r="E161">
        <v>7</v>
      </c>
      <c r="F161" t="s">
        <v>75</v>
      </c>
      <c r="G161" t="s">
        <v>22</v>
      </c>
      <c r="H161" t="s">
        <v>23</v>
      </c>
      <c r="I161" t="s">
        <v>65</v>
      </c>
      <c r="J161" t="s">
        <v>66</v>
      </c>
      <c r="K161" t="s">
        <v>32</v>
      </c>
      <c r="L161" t="s">
        <v>37</v>
      </c>
      <c r="M161">
        <v>102</v>
      </c>
      <c r="N161">
        <v>120</v>
      </c>
      <c r="O161">
        <v>11628</v>
      </c>
      <c r="P161">
        <v>7956</v>
      </c>
      <c r="Q161">
        <v>3672</v>
      </c>
      <c r="R161">
        <v>0.05</v>
      </c>
      <c r="S161" t="s">
        <v>70</v>
      </c>
      <c r="T161">
        <v>667.46</v>
      </c>
    </row>
    <row r="162" spans="1:20" x14ac:dyDescent="0.25">
      <c r="A162">
        <v>100161</v>
      </c>
      <c r="B162" s="6">
        <v>45125</v>
      </c>
      <c r="C162">
        <v>2023</v>
      </c>
      <c r="D162" t="s">
        <v>39</v>
      </c>
      <c r="E162">
        <v>7</v>
      </c>
      <c r="F162" t="s">
        <v>75</v>
      </c>
      <c r="G162" t="s">
        <v>22</v>
      </c>
      <c r="H162" t="s">
        <v>23</v>
      </c>
      <c r="I162" t="s">
        <v>71</v>
      </c>
      <c r="J162" t="s">
        <v>66</v>
      </c>
      <c r="K162" t="s">
        <v>32</v>
      </c>
      <c r="L162" t="s">
        <v>37</v>
      </c>
      <c r="M162">
        <v>33</v>
      </c>
      <c r="N162">
        <v>120</v>
      </c>
      <c r="O162">
        <v>3564</v>
      </c>
      <c r="P162">
        <v>2574</v>
      </c>
      <c r="Q162">
        <v>990</v>
      </c>
      <c r="R162">
        <v>0.1</v>
      </c>
      <c r="S162" t="s">
        <v>70</v>
      </c>
      <c r="T162">
        <v>174.34</v>
      </c>
    </row>
    <row r="163" spans="1:20" x14ac:dyDescent="0.25">
      <c r="A163">
        <v>100162</v>
      </c>
      <c r="B163" s="6">
        <v>45660</v>
      </c>
      <c r="C163">
        <v>2025</v>
      </c>
      <c r="D163" t="s">
        <v>63</v>
      </c>
      <c r="E163">
        <v>1</v>
      </c>
      <c r="F163" t="s">
        <v>79</v>
      </c>
      <c r="G163" t="s">
        <v>35</v>
      </c>
      <c r="H163" t="s">
        <v>23</v>
      </c>
      <c r="I163" t="s">
        <v>53</v>
      </c>
      <c r="J163" t="s">
        <v>42</v>
      </c>
      <c r="K163" t="s">
        <v>32</v>
      </c>
      <c r="L163" t="s">
        <v>47</v>
      </c>
      <c r="M163">
        <v>93</v>
      </c>
      <c r="N163">
        <v>180</v>
      </c>
      <c r="O163">
        <v>16237.8</v>
      </c>
      <c r="P163">
        <v>10695</v>
      </c>
      <c r="Q163">
        <v>5542.8</v>
      </c>
      <c r="R163">
        <v>0.03</v>
      </c>
      <c r="S163" t="s">
        <v>38</v>
      </c>
      <c r="T163">
        <v>422.65</v>
      </c>
    </row>
    <row r="164" spans="1:20" x14ac:dyDescent="0.25">
      <c r="A164">
        <v>100163</v>
      </c>
      <c r="B164" s="6">
        <v>45652</v>
      </c>
      <c r="C164">
        <v>2024</v>
      </c>
      <c r="D164" t="s">
        <v>43</v>
      </c>
      <c r="E164">
        <v>12</v>
      </c>
      <c r="F164" t="s">
        <v>83</v>
      </c>
      <c r="G164" t="s">
        <v>35</v>
      </c>
      <c r="H164" t="s">
        <v>23</v>
      </c>
      <c r="I164" t="s">
        <v>77</v>
      </c>
      <c r="J164" t="s">
        <v>31</v>
      </c>
      <c r="K164" t="s">
        <v>51</v>
      </c>
      <c r="L164" t="s">
        <v>72</v>
      </c>
      <c r="M164">
        <v>81</v>
      </c>
      <c r="N164">
        <v>90</v>
      </c>
      <c r="O164">
        <v>7144.2</v>
      </c>
      <c r="P164">
        <v>4212</v>
      </c>
      <c r="Q164">
        <v>2932.2</v>
      </c>
      <c r="R164">
        <v>0.02</v>
      </c>
      <c r="S164" t="s">
        <v>70</v>
      </c>
      <c r="T164">
        <v>286.02999999999997</v>
      </c>
    </row>
    <row r="165" spans="1:20" x14ac:dyDescent="0.25">
      <c r="A165">
        <v>100164</v>
      </c>
      <c r="B165" s="6">
        <v>45264</v>
      </c>
      <c r="C165">
        <v>2023</v>
      </c>
      <c r="D165" t="s">
        <v>43</v>
      </c>
      <c r="E165">
        <v>12</v>
      </c>
      <c r="F165" t="s">
        <v>83</v>
      </c>
      <c r="G165" t="s">
        <v>35</v>
      </c>
      <c r="H165" t="s">
        <v>23</v>
      </c>
      <c r="I165" t="s">
        <v>53</v>
      </c>
      <c r="J165" t="s">
        <v>66</v>
      </c>
      <c r="K165" t="s">
        <v>59</v>
      </c>
      <c r="L165" t="s">
        <v>91</v>
      </c>
      <c r="M165">
        <v>20</v>
      </c>
      <c r="N165">
        <v>140</v>
      </c>
      <c r="O165">
        <v>2660</v>
      </c>
      <c r="P165">
        <v>1640</v>
      </c>
      <c r="Q165">
        <v>1020</v>
      </c>
      <c r="R165">
        <v>0.05</v>
      </c>
      <c r="S165" t="s">
        <v>28</v>
      </c>
      <c r="T165">
        <v>165.74</v>
      </c>
    </row>
    <row r="166" spans="1:20" x14ac:dyDescent="0.25">
      <c r="A166">
        <v>100165</v>
      </c>
      <c r="B166" s="6">
        <v>45705</v>
      </c>
      <c r="C166">
        <v>2025</v>
      </c>
      <c r="D166" t="s">
        <v>63</v>
      </c>
      <c r="E166">
        <v>2</v>
      </c>
      <c r="F166" t="s">
        <v>81</v>
      </c>
      <c r="G166" t="s">
        <v>35</v>
      </c>
      <c r="H166" t="s">
        <v>23</v>
      </c>
      <c r="I166" t="s">
        <v>53</v>
      </c>
      <c r="J166" t="s">
        <v>31</v>
      </c>
      <c r="K166" t="s">
        <v>32</v>
      </c>
      <c r="L166" t="s">
        <v>37</v>
      </c>
      <c r="M166">
        <v>85</v>
      </c>
      <c r="N166">
        <v>120</v>
      </c>
      <c r="O166">
        <v>9180</v>
      </c>
      <c r="P166">
        <v>6630</v>
      </c>
      <c r="Q166">
        <v>2550</v>
      </c>
      <c r="R166">
        <v>0.1</v>
      </c>
      <c r="S166" t="s">
        <v>70</v>
      </c>
      <c r="T166">
        <v>209.65</v>
      </c>
    </row>
    <row r="167" spans="1:20" x14ac:dyDescent="0.25">
      <c r="A167">
        <v>100166</v>
      </c>
      <c r="B167" s="6">
        <v>45018</v>
      </c>
      <c r="C167">
        <v>2023</v>
      </c>
      <c r="D167" t="s">
        <v>20</v>
      </c>
      <c r="E167">
        <v>4</v>
      </c>
      <c r="F167" t="s">
        <v>34</v>
      </c>
      <c r="G167" t="s">
        <v>29</v>
      </c>
      <c r="H167" t="s">
        <v>23</v>
      </c>
      <c r="I167" t="s">
        <v>73</v>
      </c>
      <c r="J167" t="s">
        <v>61</v>
      </c>
      <c r="K167" t="s">
        <v>59</v>
      </c>
      <c r="L167" t="s">
        <v>91</v>
      </c>
      <c r="M167">
        <v>106</v>
      </c>
      <c r="N167">
        <v>140</v>
      </c>
      <c r="O167">
        <v>14394.8</v>
      </c>
      <c r="P167">
        <v>8692</v>
      </c>
      <c r="Q167">
        <v>5702.8</v>
      </c>
      <c r="R167">
        <v>0.03</v>
      </c>
      <c r="S167" t="s">
        <v>38</v>
      </c>
      <c r="T167">
        <v>285.49</v>
      </c>
    </row>
    <row r="168" spans="1:20" x14ac:dyDescent="0.25">
      <c r="A168">
        <v>100167</v>
      </c>
      <c r="B168" s="6">
        <v>45515</v>
      </c>
      <c r="C168">
        <v>2024</v>
      </c>
      <c r="D168" t="s">
        <v>39</v>
      </c>
      <c r="E168">
        <v>8</v>
      </c>
      <c r="F168" t="s">
        <v>58</v>
      </c>
      <c r="G168" t="s">
        <v>29</v>
      </c>
      <c r="H168" t="s">
        <v>23</v>
      </c>
      <c r="I168" t="s">
        <v>85</v>
      </c>
      <c r="J168" t="s">
        <v>54</v>
      </c>
      <c r="K168" t="s">
        <v>51</v>
      </c>
      <c r="L168" t="s">
        <v>76</v>
      </c>
      <c r="M168">
        <v>112</v>
      </c>
      <c r="N168">
        <v>40</v>
      </c>
      <c r="O168">
        <v>4390.3999999999996</v>
      </c>
      <c r="P168">
        <v>2576</v>
      </c>
      <c r="Q168">
        <v>1814.4</v>
      </c>
      <c r="R168">
        <v>0.02</v>
      </c>
      <c r="S168" t="s">
        <v>38</v>
      </c>
      <c r="T168">
        <v>233.24</v>
      </c>
    </row>
    <row r="169" spans="1:20" x14ac:dyDescent="0.25">
      <c r="A169">
        <v>100168</v>
      </c>
      <c r="B169" s="6">
        <v>45813</v>
      </c>
      <c r="C169">
        <v>2025</v>
      </c>
      <c r="D169" t="s">
        <v>20</v>
      </c>
      <c r="E169">
        <v>6</v>
      </c>
      <c r="F169" t="s">
        <v>48</v>
      </c>
      <c r="G169" t="s">
        <v>29</v>
      </c>
      <c r="H169" t="s">
        <v>23</v>
      </c>
      <c r="I169" t="s">
        <v>73</v>
      </c>
      <c r="J169" t="s">
        <v>54</v>
      </c>
      <c r="K169" t="s">
        <v>55</v>
      </c>
      <c r="L169" t="s">
        <v>93</v>
      </c>
      <c r="M169">
        <v>132</v>
      </c>
      <c r="N169">
        <v>60</v>
      </c>
      <c r="O169">
        <v>7920</v>
      </c>
      <c r="P169">
        <v>5544</v>
      </c>
      <c r="Q169">
        <v>2376</v>
      </c>
      <c r="R169">
        <v>0</v>
      </c>
      <c r="S169" t="s">
        <v>70</v>
      </c>
      <c r="T169">
        <v>526.61</v>
      </c>
    </row>
    <row r="170" spans="1:20" x14ac:dyDescent="0.25">
      <c r="A170">
        <v>100169</v>
      </c>
      <c r="B170" s="6">
        <v>45479</v>
      </c>
      <c r="C170">
        <v>2024</v>
      </c>
      <c r="D170" t="s">
        <v>39</v>
      </c>
      <c r="E170">
        <v>7</v>
      </c>
      <c r="F170" t="s">
        <v>75</v>
      </c>
      <c r="G170" t="s">
        <v>35</v>
      </c>
      <c r="H170" t="s">
        <v>23</v>
      </c>
      <c r="I170" t="s">
        <v>80</v>
      </c>
      <c r="J170" t="s">
        <v>25</v>
      </c>
      <c r="K170" t="s">
        <v>55</v>
      </c>
      <c r="L170" t="s">
        <v>84</v>
      </c>
      <c r="M170">
        <v>101</v>
      </c>
      <c r="N170">
        <v>55</v>
      </c>
      <c r="O170">
        <v>5110.6000000000004</v>
      </c>
      <c r="P170">
        <v>3737</v>
      </c>
      <c r="Q170">
        <v>1373.6</v>
      </c>
      <c r="R170">
        <v>0.08</v>
      </c>
      <c r="S170" t="s">
        <v>70</v>
      </c>
      <c r="T170">
        <v>172.07</v>
      </c>
    </row>
    <row r="171" spans="1:20" x14ac:dyDescent="0.25">
      <c r="A171">
        <v>100170</v>
      </c>
      <c r="B171" s="6">
        <v>45385</v>
      </c>
      <c r="C171">
        <v>2024</v>
      </c>
      <c r="D171" t="s">
        <v>20</v>
      </c>
      <c r="E171">
        <v>4</v>
      </c>
      <c r="F171" t="s">
        <v>34</v>
      </c>
      <c r="G171" t="s">
        <v>29</v>
      </c>
      <c r="H171" t="s">
        <v>23</v>
      </c>
      <c r="I171" t="s">
        <v>49</v>
      </c>
      <c r="J171" t="s">
        <v>42</v>
      </c>
      <c r="K171" t="s">
        <v>59</v>
      </c>
      <c r="L171" t="s">
        <v>86</v>
      </c>
      <c r="M171">
        <v>31</v>
      </c>
      <c r="N171">
        <v>160</v>
      </c>
      <c r="O171">
        <v>4811.2</v>
      </c>
      <c r="P171">
        <v>2945</v>
      </c>
      <c r="Q171">
        <v>1866.2</v>
      </c>
      <c r="R171">
        <v>0.03</v>
      </c>
      <c r="S171" t="s">
        <v>38</v>
      </c>
      <c r="T171">
        <v>242.47</v>
      </c>
    </row>
    <row r="172" spans="1:20" x14ac:dyDescent="0.25">
      <c r="A172">
        <v>100171</v>
      </c>
      <c r="B172" s="6">
        <v>44940</v>
      </c>
      <c r="C172">
        <v>2023</v>
      </c>
      <c r="D172" t="s">
        <v>63</v>
      </c>
      <c r="E172">
        <v>1</v>
      </c>
      <c r="F172" t="s">
        <v>79</v>
      </c>
      <c r="G172" t="s">
        <v>22</v>
      </c>
      <c r="H172" t="s">
        <v>23</v>
      </c>
      <c r="I172" t="s">
        <v>41</v>
      </c>
      <c r="J172" t="s">
        <v>68</v>
      </c>
      <c r="K172" t="s">
        <v>32</v>
      </c>
      <c r="L172" t="s">
        <v>74</v>
      </c>
      <c r="M172">
        <v>21</v>
      </c>
      <c r="N172">
        <v>25</v>
      </c>
      <c r="O172">
        <v>525</v>
      </c>
      <c r="P172">
        <v>294</v>
      </c>
      <c r="Q172">
        <v>231</v>
      </c>
      <c r="R172">
        <v>0</v>
      </c>
      <c r="S172" t="s">
        <v>38</v>
      </c>
      <c r="T172">
        <v>33.049999999999997</v>
      </c>
    </row>
    <row r="173" spans="1:20" x14ac:dyDescent="0.25">
      <c r="A173">
        <v>100172</v>
      </c>
      <c r="B173" s="6">
        <v>45676</v>
      </c>
      <c r="C173">
        <v>2025</v>
      </c>
      <c r="D173" t="s">
        <v>63</v>
      </c>
      <c r="E173">
        <v>1</v>
      </c>
      <c r="F173" t="s">
        <v>79</v>
      </c>
      <c r="G173" t="s">
        <v>29</v>
      </c>
      <c r="H173" t="s">
        <v>23</v>
      </c>
      <c r="I173" t="s">
        <v>73</v>
      </c>
      <c r="J173" t="s">
        <v>68</v>
      </c>
      <c r="K173" t="s">
        <v>32</v>
      </c>
      <c r="L173" t="s">
        <v>74</v>
      </c>
      <c r="M173">
        <v>62</v>
      </c>
      <c r="N173">
        <v>25</v>
      </c>
      <c r="O173">
        <v>1472.5</v>
      </c>
      <c r="P173">
        <v>868</v>
      </c>
      <c r="Q173">
        <v>604.5</v>
      </c>
      <c r="R173">
        <v>0.05</v>
      </c>
      <c r="S173" t="s">
        <v>38</v>
      </c>
      <c r="T173">
        <v>62.44</v>
      </c>
    </row>
    <row r="174" spans="1:20" x14ac:dyDescent="0.25">
      <c r="A174">
        <v>100173</v>
      </c>
      <c r="B174" s="6">
        <v>45588</v>
      </c>
      <c r="C174">
        <v>2024</v>
      </c>
      <c r="D174" t="s">
        <v>43</v>
      </c>
      <c r="E174">
        <v>10</v>
      </c>
      <c r="F174" t="s">
        <v>44</v>
      </c>
      <c r="G174" t="s">
        <v>45</v>
      </c>
      <c r="H174" t="s">
        <v>23</v>
      </c>
      <c r="I174" t="s">
        <v>62</v>
      </c>
      <c r="J174" t="s">
        <v>61</v>
      </c>
      <c r="K174" t="s">
        <v>59</v>
      </c>
      <c r="L174" t="s">
        <v>67</v>
      </c>
      <c r="M174">
        <v>140</v>
      </c>
      <c r="N174">
        <v>95</v>
      </c>
      <c r="O174">
        <v>13300</v>
      </c>
      <c r="P174">
        <v>7840</v>
      </c>
      <c r="Q174">
        <v>5460</v>
      </c>
      <c r="R174">
        <v>0</v>
      </c>
      <c r="S174" t="s">
        <v>38</v>
      </c>
      <c r="T174">
        <v>494.49</v>
      </c>
    </row>
    <row r="175" spans="1:20" x14ac:dyDescent="0.25">
      <c r="A175">
        <v>100174</v>
      </c>
      <c r="B175" s="6">
        <v>45279</v>
      </c>
      <c r="C175">
        <v>2023</v>
      </c>
      <c r="D175" t="s">
        <v>43</v>
      </c>
      <c r="E175">
        <v>12</v>
      </c>
      <c r="F175" t="s">
        <v>83</v>
      </c>
      <c r="G175" t="s">
        <v>22</v>
      </c>
      <c r="H175" t="s">
        <v>23</v>
      </c>
      <c r="I175" t="s">
        <v>65</v>
      </c>
      <c r="J175" t="s">
        <v>50</v>
      </c>
      <c r="K175" t="s">
        <v>32</v>
      </c>
      <c r="L175" t="s">
        <v>37</v>
      </c>
      <c r="M175">
        <v>33</v>
      </c>
      <c r="N175">
        <v>120</v>
      </c>
      <c r="O175">
        <v>3841.2</v>
      </c>
      <c r="P175">
        <v>2574</v>
      </c>
      <c r="Q175">
        <v>1267.2</v>
      </c>
      <c r="R175">
        <v>0.03</v>
      </c>
      <c r="S175" t="s">
        <v>57</v>
      </c>
      <c r="T175">
        <v>130.69999999999999</v>
      </c>
    </row>
    <row r="176" spans="1:20" x14ac:dyDescent="0.25">
      <c r="A176">
        <v>100175</v>
      </c>
      <c r="B176" s="6">
        <v>45882</v>
      </c>
      <c r="C176">
        <v>2025</v>
      </c>
      <c r="D176" t="s">
        <v>39</v>
      </c>
      <c r="E176">
        <v>8</v>
      </c>
      <c r="F176" t="s">
        <v>58</v>
      </c>
      <c r="G176" t="s">
        <v>29</v>
      </c>
      <c r="H176" t="s">
        <v>23</v>
      </c>
      <c r="I176" t="s">
        <v>85</v>
      </c>
      <c r="J176" t="s">
        <v>31</v>
      </c>
      <c r="K176" t="s">
        <v>55</v>
      </c>
      <c r="L176" t="s">
        <v>56</v>
      </c>
      <c r="M176">
        <v>114</v>
      </c>
      <c r="N176">
        <v>320</v>
      </c>
      <c r="O176">
        <v>35385.599999999999</v>
      </c>
      <c r="P176">
        <v>26790</v>
      </c>
      <c r="Q176">
        <v>8595.6</v>
      </c>
      <c r="R176">
        <v>0.03</v>
      </c>
      <c r="S176" t="s">
        <v>70</v>
      </c>
      <c r="T176">
        <v>1942.29</v>
      </c>
    </row>
    <row r="177" spans="1:20" x14ac:dyDescent="0.25">
      <c r="A177">
        <v>100176</v>
      </c>
      <c r="B177" s="6">
        <v>45261</v>
      </c>
      <c r="C177">
        <v>2023</v>
      </c>
      <c r="D177" t="s">
        <v>43</v>
      </c>
      <c r="E177">
        <v>12</v>
      </c>
      <c r="F177" t="s">
        <v>83</v>
      </c>
      <c r="G177" t="s">
        <v>35</v>
      </c>
      <c r="H177" t="s">
        <v>23</v>
      </c>
      <c r="I177" t="s">
        <v>80</v>
      </c>
      <c r="J177" t="s">
        <v>25</v>
      </c>
      <c r="K177" t="s">
        <v>51</v>
      </c>
      <c r="L177" t="s">
        <v>76</v>
      </c>
      <c r="M177">
        <v>124</v>
      </c>
      <c r="N177">
        <v>40</v>
      </c>
      <c r="O177">
        <v>4860.8</v>
      </c>
      <c r="P177">
        <v>2852</v>
      </c>
      <c r="Q177">
        <v>2008.8</v>
      </c>
      <c r="R177">
        <v>0.02</v>
      </c>
      <c r="S177" t="s">
        <v>70</v>
      </c>
      <c r="T177">
        <v>168.93</v>
      </c>
    </row>
    <row r="178" spans="1:20" x14ac:dyDescent="0.25">
      <c r="A178">
        <v>100177</v>
      </c>
      <c r="B178" s="6">
        <v>44947</v>
      </c>
      <c r="C178">
        <v>2023</v>
      </c>
      <c r="D178" t="s">
        <v>63</v>
      </c>
      <c r="E178">
        <v>1</v>
      </c>
      <c r="F178" t="s">
        <v>79</v>
      </c>
      <c r="G178" t="s">
        <v>22</v>
      </c>
      <c r="H178" t="s">
        <v>23</v>
      </c>
      <c r="I178" t="s">
        <v>71</v>
      </c>
      <c r="J178" t="s">
        <v>50</v>
      </c>
      <c r="K178" t="s">
        <v>32</v>
      </c>
      <c r="L178" t="s">
        <v>47</v>
      </c>
      <c r="M178">
        <v>109</v>
      </c>
      <c r="N178">
        <v>180</v>
      </c>
      <c r="O178">
        <v>18050.400000000001</v>
      </c>
      <c r="P178">
        <v>12535</v>
      </c>
      <c r="Q178">
        <v>5515.4</v>
      </c>
      <c r="R178">
        <v>0.08</v>
      </c>
      <c r="S178" t="s">
        <v>38</v>
      </c>
      <c r="T178">
        <v>449.14</v>
      </c>
    </row>
    <row r="179" spans="1:20" x14ac:dyDescent="0.25">
      <c r="A179">
        <v>100178</v>
      </c>
      <c r="B179" s="6">
        <v>44928</v>
      </c>
      <c r="C179">
        <v>2023</v>
      </c>
      <c r="D179" t="s">
        <v>63</v>
      </c>
      <c r="E179">
        <v>1</v>
      </c>
      <c r="F179" t="s">
        <v>79</v>
      </c>
      <c r="G179" t="s">
        <v>22</v>
      </c>
      <c r="H179" t="s">
        <v>23</v>
      </c>
      <c r="I179" t="s">
        <v>71</v>
      </c>
      <c r="J179" t="s">
        <v>54</v>
      </c>
      <c r="K179" t="s">
        <v>55</v>
      </c>
      <c r="L179" t="s">
        <v>93</v>
      </c>
      <c r="M179">
        <v>50</v>
      </c>
      <c r="N179">
        <v>60</v>
      </c>
      <c r="O179">
        <v>2940</v>
      </c>
      <c r="P179">
        <v>2100</v>
      </c>
      <c r="Q179">
        <v>840</v>
      </c>
      <c r="R179">
        <v>0.02</v>
      </c>
      <c r="S179" t="s">
        <v>70</v>
      </c>
      <c r="T179">
        <v>184.9</v>
      </c>
    </row>
    <row r="180" spans="1:20" x14ac:dyDescent="0.25">
      <c r="A180">
        <v>100179</v>
      </c>
      <c r="B180" s="6">
        <v>45157</v>
      </c>
      <c r="C180">
        <v>2023</v>
      </c>
      <c r="D180" t="s">
        <v>39</v>
      </c>
      <c r="E180">
        <v>8</v>
      </c>
      <c r="F180" t="s">
        <v>58</v>
      </c>
      <c r="G180" t="s">
        <v>45</v>
      </c>
      <c r="H180" t="s">
        <v>23</v>
      </c>
      <c r="I180" t="s">
        <v>62</v>
      </c>
      <c r="J180" t="s">
        <v>25</v>
      </c>
      <c r="K180" t="s">
        <v>59</v>
      </c>
      <c r="L180" t="s">
        <v>86</v>
      </c>
      <c r="M180">
        <v>132</v>
      </c>
      <c r="N180">
        <v>160</v>
      </c>
      <c r="O180">
        <v>20697.599999999999</v>
      </c>
      <c r="P180">
        <v>12540</v>
      </c>
      <c r="Q180">
        <v>8157.6</v>
      </c>
      <c r="R180">
        <v>0.02</v>
      </c>
      <c r="S180" t="s">
        <v>57</v>
      </c>
      <c r="T180">
        <v>764.73</v>
      </c>
    </row>
    <row r="181" spans="1:20" x14ac:dyDescent="0.25">
      <c r="A181">
        <v>100180</v>
      </c>
      <c r="B181" s="6">
        <v>45386</v>
      </c>
      <c r="C181">
        <v>2024</v>
      </c>
      <c r="D181" t="s">
        <v>20</v>
      </c>
      <c r="E181">
        <v>4</v>
      </c>
      <c r="F181" t="s">
        <v>34</v>
      </c>
      <c r="G181" t="s">
        <v>29</v>
      </c>
      <c r="H181" t="s">
        <v>23</v>
      </c>
      <c r="I181" t="s">
        <v>49</v>
      </c>
      <c r="J181" t="s">
        <v>66</v>
      </c>
      <c r="K181" t="s">
        <v>55</v>
      </c>
      <c r="L181" t="s">
        <v>89</v>
      </c>
      <c r="M181">
        <v>40</v>
      </c>
      <c r="N181">
        <v>280</v>
      </c>
      <c r="O181">
        <v>10976</v>
      </c>
      <c r="P181">
        <v>8200</v>
      </c>
      <c r="Q181">
        <v>2776</v>
      </c>
      <c r="R181">
        <v>0.02</v>
      </c>
      <c r="S181" t="s">
        <v>38</v>
      </c>
      <c r="T181">
        <v>209.01</v>
      </c>
    </row>
    <row r="182" spans="1:20" x14ac:dyDescent="0.25">
      <c r="A182">
        <v>100181</v>
      </c>
      <c r="B182" s="6">
        <v>45770</v>
      </c>
      <c r="C182">
        <v>2025</v>
      </c>
      <c r="D182" t="s">
        <v>20</v>
      </c>
      <c r="E182">
        <v>4</v>
      </c>
      <c r="F182" t="s">
        <v>34</v>
      </c>
      <c r="G182" t="s">
        <v>35</v>
      </c>
      <c r="H182" t="s">
        <v>23</v>
      </c>
      <c r="I182" t="s">
        <v>77</v>
      </c>
      <c r="J182" t="s">
        <v>31</v>
      </c>
      <c r="K182" t="s">
        <v>51</v>
      </c>
      <c r="L182" t="s">
        <v>72</v>
      </c>
      <c r="M182">
        <v>17</v>
      </c>
      <c r="N182">
        <v>90</v>
      </c>
      <c r="O182">
        <v>1453.5</v>
      </c>
      <c r="P182">
        <v>884</v>
      </c>
      <c r="Q182">
        <v>569.5</v>
      </c>
      <c r="R182">
        <v>0.05</v>
      </c>
      <c r="S182" t="s">
        <v>38</v>
      </c>
      <c r="T182">
        <v>78.3</v>
      </c>
    </row>
    <row r="183" spans="1:20" x14ac:dyDescent="0.25">
      <c r="A183">
        <v>100182</v>
      </c>
      <c r="B183" s="6">
        <v>45613</v>
      </c>
      <c r="C183">
        <v>2024</v>
      </c>
      <c r="D183" t="s">
        <v>43</v>
      </c>
      <c r="E183">
        <v>11</v>
      </c>
      <c r="F183" t="s">
        <v>87</v>
      </c>
      <c r="G183" t="s">
        <v>45</v>
      </c>
      <c r="H183" t="s">
        <v>23</v>
      </c>
      <c r="I183" t="s">
        <v>62</v>
      </c>
      <c r="J183" t="s">
        <v>54</v>
      </c>
      <c r="K183" t="s">
        <v>59</v>
      </c>
      <c r="L183" t="s">
        <v>60</v>
      </c>
      <c r="M183">
        <v>129</v>
      </c>
      <c r="N183">
        <v>45</v>
      </c>
      <c r="O183">
        <v>5340.6</v>
      </c>
      <c r="P183">
        <v>3483</v>
      </c>
      <c r="Q183">
        <v>1857.6</v>
      </c>
      <c r="R183">
        <v>0.08</v>
      </c>
      <c r="S183" t="s">
        <v>70</v>
      </c>
      <c r="T183">
        <v>252.05</v>
      </c>
    </row>
    <row r="184" spans="1:20" x14ac:dyDescent="0.25">
      <c r="A184">
        <v>100183</v>
      </c>
      <c r="B184" s="6">
        <v>45883</v>
      </c>
      <c r="C184">
        <v>2025</v>
      </c>
      <c r="D184" t="s">
        <v>39</v>
      </c>
      <c r="E184">
        <v>8</v>
      </c>
      <c r="F184" t="s">
        <v>58</v>
      </c>
      <c r="G184" t="s">
        <v>29</v>
      </c>
      <c r="H184" t="s">
        <v>23</v>
      </c>
      <c r="I184" t="s">
        <v>85</v>
      </c>
      <c r="J184" t="s">
        <v>54</v>
      </c>
      <c r="K184" t="s">
        <v>55</v>
      </c>
      <c r="L184" t="s">
        <v>93</v>
      </c>
      <c r="M184">
        <v>46</v>
      </c>
      <c r="N184">
        <v>60</v>
      </c>
      <c r="O184">
        <v>2484</v>
      </c>
      <c r="P184">
        <v>1932</v>
      </c>
      <c r="Q184">
        <v>552</v>
      </c>
      <c r="R184">
        <v>0.1</v>
      </c>
      <c r="S184" t="s">
        <v>38</v>
      </c>
      <c r="T184">
        <v>42.64</v>
      </c>
    </row>
    <row r="185" spans="1:20" x14ac:dyDescent="0.25">
      <c r="A185">
        <v>100184</v>
      </c>
      <c r="B185" s="6">
        <v>45411</v>
      </c>
      <c r="C185">
        <v>2024</v>
      </c>
      <c r="D185" t="s">
        <v>20</v>
      </c>
      <c r="E185">
        <v>4</v>
      </c>
      <c r="F185" t="s">
        <v>34</v>
      </c>
      <c r="G185" t="s">
        <v>45</v>
      </c>
      <c r="H185" t="s">
        <v>23</v>
      </c>
      <c r="I185" t="s">
        <v>90</v>
      </c>
      <c r="J185" t="s">
        <v>31</v>
      </c>
      <c r="K185" t="s">
        <v>51</v>
      </c>
      <c r="L185" t="s">
        <v>92</v>
      </c>
      <c r="M185">
        <v>21</v>
      </c>
      <c r="N185">
        <v>50</v>
      </c>
      <c r="O185">
        <v>1050</v>
      </c>
      <c r="P185">
        <v>609</v>
      </c>
      <c r="Q185">
        <v>441</v>
      </c>
      <c r="R185">
        <v>0</v>
      </c>
      <c r="S185" t="s">
        <v>57</v>
      </c>
      <c r="T185">
        <v>72.73</v>
      </c>
    </row>
    <row r="186" spans="1:20" x14ac:dyDescent="0.25">
      <c r="A186">
        <v>100185</v>
      </c>
      <c r="B186" s="6">
        <v>45052</v>
      </c>
      <c r="C186">
        <v>2023</v>
      </c>
      <c r="D186" t="s">
        <v>20</v>
      </c>
      <c r="E186">
        <v>5</v>
      </c>
      <c r="F186" t="s">
        <v>21</v>
      </c>
      <c r="G186" t="s">
        <v>35</v>
      </c>
      <c r="H186" t="s">
        <v>23</v>
      </c>
      <c r="I186" t="s">
        <v>77</v>
      </c>
      <c r="J186" t="s">
        <v>68</v>
      </c>
      <c r="K186" t="s">
        <v>59</v>
      </c>
      <c r="L186" t="s">
        <v>60</v>
      </c>
      <c r="M186">
        <v>48</v>
      </c>
      <c r="N186">
        <v>45</v>
      </c>
      <c r="O186">
        <v>2095.1999999999998</v>
      </c>
      <c r="P186">
        <v>1296</v>
      </c>
      <c r="Q186">
        <v>799.2</v>
      </c>
      <c r="R186">
        <v>0.03</v>
      </c>
      <c r="S186" t="s">
        <v>38</v>
      </c>
      <c r="T186">
        <v>90.84</v>
      </c>
    </row>
    <row r="187" spans="1:20" x14ac:dyDescent="0.25">
      <c r="A187">
        <v>100186</v>
      </c>
      <c r="B187" s="6">
        <v>45077</v>
      </c>
      <c r="C187">
        <v>2023</v>
      </c>
      <c r="D187" t="s">
        <v>20</v>
      </c>
      <c r="E187">
        <v>5</v>
      </c>
      <c r="F187" t="s">
        <v>21</v>
      </c>
      <c r="G187" t="s">
        <v>29</v>
      </c>
      <c r="H187" t="s">
        <v>23</v>
      </c>
      <c r="I187" t="s">
        <v>85</v>
      </c>
      <c r="J187" t="s">
        <v>42</v>
      </c>
      <c r="K187" t="s">
        <v>51</v>
      </c>
      <c r="L187" t="s">
        <v>72</v>
      </c>
      <c r="M187">
        <v>133</v>
      </c>
      <c r="N187">
        <v>90</v>
      </c>
      <c r="O187">
        <v>11371.5</v>
      </c>
      <c r="P187">
        <v>6916</v>
      </c>
      <c r="Q187">
        <v>4455.5</v>
      </c>
      <c r="R187">
        <v>0.05</v>
      </c>
      <c r="S187" t="s">
        <v>57</v>
      </c>
      <c r="T187">
        <v>777.19</v>
      </c>
    </row>
    <row r="188" spans="1:20" x14ac:dyDescent="0.25">
      <c r="A188">
        <v>100187</v>
      </c>
      <c r="B188" s="6">
        <v>45595</v>
      </c>
      <c r="C188">
        <v>2024</v>
      </c>
      <c r="D188" t="s">
        <v>43</v>
      </c>
      <c r="E188">
        <v>10</v>
      </c>
      <c r="F188" t="s">
        <v>44</v>
      </c>
      <c r="G188" t="s">
        <v>29</v>
      </c>
      <c r="H188" t="s">
        <v>23</v>
      </c>
      <c r="I188" t="s">
        <v>85</v>
      </c>
      <c r="J188" t="s">
        <v>25</v>
      </c>
      <c r="K188" t="s">
        <v>55</v>
      </c>
      <c r="L188" t="s">
        <v>84</v>
      </c>
      <c r="M188">
        <v>43</v>
      </c>
      <c r="N188">
        <v>55</v>
      </c>
      <c r="O188">
        <v>2246.75</v>
      </c>
      <c r="P188">
        <v>1591</v>
      </c>
      <c r="Q188">
        <v>655.75</v>
      </c>
      <c r="R188">
        <v>0.05</v>
      </c>
      <c r="S188" t="s">
        <v>57</v>
      </c>
      <c r="T188">
        <v>154.63</v>
      </c>
    </row>
    <row r="189" spans="1:20" x14ac:dyDescent="0.25">
      <c r="A189">
        <v>100188</v>
      </c>
      <c r="B189" s="6">
        <v>45040</v>
      </c>
      <c r="C189">
        <v>2023</v>
      </c>
      <c r="D189" t="s">
        <v>20</v>
      </c>
      <c r="E189">
        <v>4</v>
      </c>
      <c r="F189" t="s">
        <v>34</v>
      </c>
      <c r="G189" t="s">
        <v>35</v>
      </c>
      <c r="H189" t="s">
        <v>23</v>
      </c>
      <c r="I189" t="s">
        <v>77</v>
      </c>
      <c r="J189" t="s">
        <v>66</v>
      </c>
      <c r="K189" t="s">
        <v>26</v>
      </c>
      <c r="L189" t="s">
        <v>69</v>
      </c>
      <c r="M189">
        <v>122</v>
      </c>
      <c r="N189">
        <v>130</v>
      </c>
      <c r="O189">
        <v>15860</v>
      </c>
      <c r="P189">
        <v>9272</v>
      </c>
      <c r="Q189">
        <v>6588</v>
      </c>
      <c r="R189">
        <v>0</v>
      </c>
      <c r="S189" t="s">
        <v>28</v>
      </c>
      <c r="T189">
        <v>1049.97</v>
      </c>
    </row>
    <row r="190" spans="1:20" x14ac:dyDescent="0.25">
      <c r="A190">
        <v>100189</v>
      </c>
      <c r="B190" s="6">
        <v>45951</v>
      </c>
      <c r="C190">
        <v>2025</v>
      </c>
      <c r="D190" t="s">
        <v>43</v>
      </c>
      <c r="E190">
        <v>10</v>
      </c>
      <c r="F190" t="s">
        <v>44</v>
      </c>
      <c r="G190" t="s">
        <v>22</v>
      </c>
      <c r="H190" t="s">
        <v>23</v>
      </c>
      <c r="I190" t="s">
        <v>24</v>
      </c>
      <c r="J190" t="s">
        <v>50</v>
      </c>
      <c r="K190" t="s">
        <v>59</v>
      </c>
      <c r="L190" t="s">
        <v>60</v>
      </c>
      <c r="M190">
        <v>57</v>
      </c>
      <c r="N190">
        <v>45</v>
      </c>
      <c r="O190">
        <v>2436.75</v>
      </c>
      <c r="P190">
        <v>1539</v>
      </c>
      <c r="Q190">
        <v>897.75</v>
      </c>
      <c r="R190">
        <v>0.05</v>
      </c>
      <c r="S190" t="s">
        <v>38</v>
      </c>
      <c r="T190">
        <v>50.84</v>
      </c>
    </row>
    <row r="191" spans="1:20" x14ac:dyDescent="0.25">
      <c r="A191">
        <v>100190</v>
      </c>
      <c r="B191" s="6">
        <v>45630</v>
      </c>
      <c r="C191">
        <v>2024</v>
      </c>
      <c r="D191" t="s">
        <v>43</v>
      </c>
      <c r="E191">
        <v>12</v>
      </c>
      <c r="F191" t="s">
        <v>83</v>
      </c>
      <c r="G191" t="s">
        <v>35</v>
      </c>
      <c r="H191" t="s">
        <v>23</v>
      </c>
      <c r="I191" t="s">
        <v>53</v>
      </c>
      <c r="J191" t="s">
        <v>61</v>
      </c>
      <c r="K191" t="s">
        <v>55</v>
      </c>
      <c r="L191" t="s">
        <v>93</v>
      </c>
      <c r="M191">
        <v>98</v>
      </c>
      <c r="N191">
        <v>60</v>
      </c>
      <c r="O191">
        <v>5409.6</v>
      </c>
      <c r="P191">
        <v>4116</v>
      </c>
      <c r="Q191">
        <v>1293.5999999999999</v>
      </c>
      <c r="R191">
        <v>0.08</v>
      </c>
      <c r="S191" t="s">
        <v>38</v>
      </c>
      <c r="T191">
        <v>313.93</v>
      </c>
    </row>
    <row r="192" spans="1:20" x14ac:dyDescent="0.25">
      <c r="A192">
        <v>100191</v>
      </c>
      <c r="B192" s="6">
        <v>45897</v>
      </c>
      <c r="C192">
        <v>2025</v>
      </c>
      <c r="D192" t="s">
        <v>39</v>
      </c>
      <c r="E192">
        <v>8</v>
      </c>
      <c r="F192" t="s">
        <v>58</v>
      </c>
      <c r="G192" t="s">
        <v>29</v>
      </c>
      <c r="H192" t="s">
        <v>23</v>
      </c>
      <c r="I192" t="s">
        <v>85</v>
      </c>
      <c r="J192" t="s">
        <v>68</v>
      </c>
      <c r="K192" t="s">
        <v>51</v>
      </c>
      <c r="L192" t="s">
        <v>76</v>
      </c>
      <c r="M192">
        <v>141</v>
      </c>
      <c r="N192">
        <v>40</v>
      </c>
      <c r="O192">
        <v>5358</v>
      </c>
      <c r="P192">
        <v>3243</v>
      </c>
      <c r="Q192">
        <v>2115</v>
      </c>
      <c r="R192">
        <v>0.05</v>
      </c>
      <c r="S192" t="s">
        <v>28</v>
      </c>
      <c r="T192">
        <v>318.43</v>
      </c>
    </row>
    <row r="193" spans="1:20" x14ac:dyDescent="0.25">
      <c r="A193">
        <v>100192</v>
      </c>
      <c r="B193" s="6">
        <v>45777</v>
      </c>
      <c r="C193">
        <v>2025</v>
      </c>
      <c r="D193" t="s">
        <v>20</v>
      </c>
      <c r="E193">
        <v>4</v>
      </c>
      <c r="F193" t="s">
        <v>34</v>
      </c>
      <c r="G193" t="s">
        <v>45</v>
      </c>
      <c r="H193" t="s">
        <v>23</v>
      </c>
      <c r="I193" t="s">
        <v>90</v>
      </c>
      <c r="J193" t="s">
        <v>42</v>
      </c>
      <c r="K193" t="s">
        <v>51</v>
      </c>
      <c r="L193" t="s">
        <v>76</v>
      </c>
      <c r="M193">
        <v>63</v>
      </c>
      <c r="N193">
        <v>40</v>
      </c>
      <c r="O193">
        <v>2394</v>
      </c>
      <c r="P193">
        <v>1449</v>
      </c>
      <c r="Q193">
        <v>945</v>
      </c>
      <c r="R193">
        <v>0.05</v>
      </c>
      <c r="S193" t="s">
        <v>38</v>
      </c>
      <c r="T193">
        <v>79.150000000000006</v>
      </c>
    </row>
    <row r="194" spans="1:20" x14ac:dyDescent="0.25">
      <c r="A194">
        <v>100193</v>
      </c>
      <c r="B194" s="6">
        <v>45637</v>
      </c>
      <c r="C194">
        <v>2024</v>
      </c>
      <c r="D194" t="s">
        <v>43</v>
      </c>
      <c r="E194">
        <v>12</v>
      </c>
      <c r="F194" t="s">
        <v>83</v>
      </c>
      <c r="G194" t="s">
        <v>22</v>
      </c>
      <c r="H194" t="s">
        <v>23</v>
      </c>
      <c r="I194" t="s">
        <v>71</v>
      </c>
      <c r="J194" t="s">
        <v>66</v>
      </c>
      <c r="K194" t="s">
        <v>51</v>
      </c>
      <c r="L194" t="s">
        <v>92</v>
      </c>
      <c r="M194">
        <v>58</v>
      </c>
      <c r="N194">
        <v>50</v>
      </c>
      <c r="O194">
        <v>2813</v>
      </c>
      <c r="P194">
        <v>1682</v>
      </c>
      <c r="Q194">
        <v>1131</v>
      </c>
      <c r="R194">
        <v>0.03</v>
      </c>
      <c r="S194" t="s">
        <v>38</v>
      </c>
      <c r="T194">
        <v>110.95</v>
      </c>
    </row>
    <row r="195" spans="1:20" x14ac:dyDescent="0.25">
      <c r="A195">
        <v>100194</v>
      </c>
      <c r="B195" s="6">
        <v>45793</v>
      </c>
      <c r="C195">
        <v>2025</v>
      </c>
      <c r="D195" t="s">
        <v>20</v>
      </c>
      <c r="E195">
        <v>5</v>
      </c>
      <c r="F195" t="s">
        <v>21</v>
      </c>
      <c r="G195" t="s">
        <v>29</v>
      </c>
      <c r="H195" t="s">
        <v>23</v>
      </c>
      <c r="I195" t="s">
        <v>85</v>
      </c>
      <c r="J195" t="s">
        <v>31</v>
      </c>
      <c r="K195" t="s">
        <v>59</v>
      </c>
      <c r="L195" t="s">
        <v>86</v>
      </c>
      <c r="M195">
        <v>18</v>
      </c>
      <c r="N195">
        <v>160</v>
      </c>
      <c r="O195">
        <v>2793.6</v>
      </c>
      <c r="P195">
        <v>1710</v>
      </c>
      <c r="Q195">
        <v>1083.5999999999999</v>
      </c>
      <c r="R195">
        <v>0.03</v>
      </c>
      <c r="S195" t="s">
        <v>57</v>
      </c>
      <c r="T195">
        <v>174.55</v>
      </c>
    </row>
    <row r="196" spans="1:20" x14ac:dyDescent="0.25">
      <c r="A196">
        <v>100195</v>
      </c>
      <c r="B196" s="6">
        <v>45555</v>
      </c>
      <c r="C196">
        <v>2024</v>
      </c>
      <c r="D196" t="s">
        <v>39</v>
      </c>
      <c r="E196">
        <v>9</v>
      </c>
      <c r="F196" t="s">
        <v>40</v>
      </c>
      <c r="G196" t="s">
        <v>45</v>
      </c>
      <c r="H196" t="s">
        <v>23</v>
      </c>
      <c r="I196" t="s">
        <v>88</v>
      </c>
      <c r="J196" t="s">
        <v>54</v>
      </c>
      <c r="K196" t="s">
        <v>32</v>
      </c>
      <c r="L196" t="s">
        <v>37</v>
      </c>
      <c r="M196">
        <v>57</v>
      </c>
      <c r="N196">
        <v>120</v>
      </c>
      <c r="O196">
        <v>6498</v>
      </c>
      <c r="P196">
        <v>4446</v>
      </c>
      <c r="Q196">
        <v>2052</v>
      </c>
      <c r="R196">
        <v>0.05</v>
      </c>
      <c r="S196" t="s">
        <v>38</v>
      </c>
      <c r="T196">
        <v>288.17</v>
      </c>
    </row>
    <row r="197" spans="1:20" x14ac:dyDescent="0.25">
      <c r="A197">
        <v>100196</v>
      </c>
      <c r="B197" s="6">
        <v>45269</v>
      </c>
      <c r="C197">
        <v>2023</v>
      </c>
      <c r="D197" t="s">
        <v>43</v>
      </c>
      <c r="E197">
        <v>12</v>
      </c>
      <c r="F197" t="s">
        <v>83</v>
      </c>
      <c r="G197" t="s">
        <v>35</v>
      </c>
      <c r="H197" t="s">
        <v>23</v>
      </c>
      <c r="I197" t="s">
        <v>36</v>
      </c>
      <c r="J197" t="s">
        <v>54</v>
      </c>
      <c r="K197" t="s">
        <v>26</v>
      </c>
      <c r="L197" t="s">
        <v>69</v>
      </c>
      <c r="M197">
        <v>30</v>
      </c>
      <c r="N197">
        <v>130</v>
      </c>
      <c r="O197">
        <v>3822</v>
      </c>
      <c r="P197">
        <v>2280</v>
      </c>
      <c r="Q197">
        <v>1542</v>
      </c>
      <c r="R197">
        <v>0.02</v>
      </c>
      <c r="S197" t="s">
        <v>38</v>
      </c>
      <c r="T197">
        <v>58.92</v>
      </c>
    </row>
    <row r="198" spans="1:20" x14ac:dyDescent="0.25">
      <c r="A198">
        <v>100197</v>
      </c>
      <c r="B198" s="6">
        <v>45325</v>
      </c>
      <c r="C198">
        <v>2024</v>
      </c>
      <c r="D198" t="s">
        <v>63</v>
      </c>
      <c r="E198">
        <v>2</v>
      </c>
      <c r="F198" t="s">
        <v>81</v>
      </c>
      <c r="G198" t="s">
        <v>45</v>
      </c>
      <c r="H198" t="s">
        <v>23</v>
      </c>
      <c r="I198" t="s">
        <v>62</v>
      </c>
      <c r="J198" t="s">
        <v>68</v>
      </c>
      <c r="K198" t="s">
        <v>55</v>
      </c>
      <c r="L198" t="s">
        <v>89</v>
      </c>
      <c r="M198">
        <v>77</v>
      </c>
      <c r="N198">
        <v>280</v>
      </c>
      <c r="O198">
        <v>19404</v>
      </c>
      <c r="P198">
        <v>15785</v>
      </c>
      <c r="Q198">
        <v>3619</v>
      </c>
      <c r="R198">
        <v>0.1</v>
      </c>
      <c r="S198" t="s">
        <v>38</v>
      </c>
      <c r="T198">
        <v>666.32</v>
      </c>
    </row>
    <row r="199" spans="1:20" x14ac:dyDescent="0.25">
      <c r="A199">
        <v>100198</v>
      </c>
      <c r="B199" s="6">
        <v>45890</v>
      </c>
      <c r="C199">
        <v>2025</v>
      </c>
      <c r="D199" t="s">
        <v>39</v>
      </c>
      <c r="E199">
        <v>8</v>
      </c>
      <c r="F199" t="s">
        <v>58</v>
      </c>
      <c r="G199" t="s">
        <v>29</v>
      </c>
      <c r="H199" t="s">
        <v>23</v>
      </c>
      <c r="I199" t="s">
        <v>73</v>
      </c>
      <c r="J199" t="s">
        <v>66</v>
      </c>
      <c r="K199" t="s">
        <v>51</v>
      </c>
      <c r="L199" t="s">
        <v>52</v>
      </c>
      <c r="M199">
        <v>44</v>
      </c>
      <c r="N199">
        <v>75</v>
      </c>
      <c r="O199">
        <v>3135</v>
      </c>
      <c r="P199">
        <v>1936</v>
      </c>
      <c r="Q199">
        <v>1199</v>
      </c>
      <c r="R199">
        <v>0.05</v>
      </c>
      <c r="S199" t="s">
        <v>57</v>
      </c>
      <c r="T199">
        <v>62.48</v>
      </c>
    </row>
    <row r="200" spans="1:20" x14ac:dyDescent="0.25">
      <c r="A200">
        <v>100199</v>
      </c>
      <c r="B200" s="6">
        <v>45515</v>
      </c>
      <c r="C200">
        <v>2024</v>
      </c>
      <c r="D200" t="s">
        <v>39</v>
      </c>
      <c r="E200">
        <v>8</v>
      </c>
      <c r="F200" t="s">
        <v>58</v>
      </c>
      <c r="G200" t="s">
        <v>29</v>
      </c>
      <c r="H200" t="s">
        <v>23</v>
      </c>
      <c r="I200" t="s">
        <v>85</v>
      </c>
      <c r="J200" t="s">
        <v>61</v>
      </c>
      <c r="K200" t="s">
        <v>32</v>
      </c>
      <c r="L200" t="s">
        <v>74</v>
      </c>
      <c r="M200">
        <v>16</v>
      </c>
      <c r="N200">
        <v>25</v>
      </c>
      <c r="O200">
        <v>380</v>
      </c>
      <c r="P200">
        <v>224</v>
      </c>
      <c r="Q200">
        <v>156</v>
      </c>
      <c r="R200">
        <v>0.05</v>
      </c>
      <c r="S200" t="s">
        <v>38</v>
      </c>
      <c r="T200">
        <v>9.49</v>
      </c>
    </row>
    <row r="201" spans="1:20" x14ac:dyDescent="0.25">
      <c r="A201">
        <v>100200</v>
      </c>
      <c r="B201" s="6">
        <v>45885</v>
      </c>
      <c r="C201">
        <v>2025</v>
      </c>
      <c r="D201" t="s">
        <v>39</v>
      </c>
      <c r="E201">
        <v>8</v>
      </c>
      <c r="F201" t="s">
        <v>58</v>
      </c>
      <c r="G201" t="s">
        <v>29</v>
      </c>
      <c r="H201" t="s">
        <v>23</v>
      </c>
      <c r="I201" t="s">
        <v>73</v>
      </c>
      <c r="J201" t="s">
        <v>66</v>
      </c>
      <c r="K201" t="s">
        <v>59</v>
      </c>
      <c r="L201" t="s">
        <v>86</v>
      </c>
      <c r="M201">
        <v>45</v>
      </c>
      <c r="N201">
        <v>160</v>
      </c>
      <c r="O201">
        <v>6984</v>
      </c>
      <c r="P201">
        <v>4275</v>
      </c>
      <c r="Q201">
        <v>2709</v>
      </c>
      <c r="R201">
        <v>0.03</v>
      </c>
      <c r="S201" t="s">
        <v>70</v>
      </c>
      <c r="T201">
        <v>138.19</v>
      </c>
    </row>
    <row r="202" spans="1:20" x14ac:dyDescent="0.25">
      <c r="A202">
        <v>100201</v>
      </c>
      <c r="B202" s="6">
        <v>45485</v>
      </c>
      <c r="C202">
        <v>2024</v>
      </c>
      <c r="D202" t="s">
        <v>39</v>
      </c>
      <c r="E202">
        <v>7</v>
      </c>
      <c r="F202" t="s">
        <v>75</v>
      </c>
      <c r="G202" t="s">
        <v>22</v>
      </c>
      <c r="H202" t="s">
        <v>23</v>
      </c>
      <c r="I202" t="s">
        <v>71</v>
      </c>
      <c r="J202" t="s">
        <v>42</v>
      </c>
      <c r="K202" t="s">
        <v>59</v>
      </c>
      <c r="L202" t="s">
        <v>86</v>
      </c>
      <c r="M202">
        <v>30</v>
      </c>
      <c r="N202">
        <v>160</v>
      </c>
      <c r="O202">
        <v>4416</v>
      </c>
      <c r="P202">
        <v>2850</v>
      </c>
      <c r="Q202">
        <v>1566</v>
      </c>
      <c r="R202">
        <v>0.08</v>
      </c>
      <c r="S202" t="s">
        <v>70</v>
      </c>
      <c r="T202">
        <v>121.64</v>
      </c>
    </row>
    <row r="203" spans="1:20" x14ac:dyDescent="0.25">
      <c r="A203">
        <v>100202</v>
      </c>
      <c r="B203" s="6">
        <v>45910</v>
      </c>
      <c r="C203">
        <v>2025</v>
      </c>
      <c r="D203" t="s">
        <v>39</v>
      </c>
      <c r="E203">
        <v>9</v>
      </c>
      <c r="F203" t="s">
        <v>40</v>
      </c>
      <c r="G203" t="s">
        <v>35</v>
      </c>
      <c r="H203" t="s">
        <v>23</v>
      </c>
      <c r="I203" t="s">
        <v>77</v>
      </c>
      <c r="J203" t="s">
        <v>68</v>
      </c>
      <c r="K203" t="s">
        <v>26</v>
      </c>
      <c r="L203" t="s">
        <v>82</v>
      </c>
      <c r="M203">
        <v>58</v>
      </c>
      <c r="N203">
        <v>105</v>
      </c>
      <c r="O203">
        <v>5968.2</v>
      </c>
      <c r="P203">
        <v>3538</v>
      </c>
      <c r="Q203">
        <v>2430.1999999999998</v>
      </c>
      <c r="R203">
        <v>0.02</v>
      </c>
      <c r="S203" t="s">
        <v>57</v>
      </c>
      <c r="T203">
        <v>345.73</v>
      </c>
    </row>
    <row r="204" spans="1:20" x14ac:dyDescent="0.25">
      <c r="A204">
        <v>100203</v>
      </c>
      <c r="B204" s="6">
        <v>46010</v>
      </c>
      <c r="C204">
        <v>2025</v>
      </c>
      <c r="D204" t="s">
        <v>43</v>
      </c>
      <c r="E204">
        <v>12</v>
      </c>
      <c r="F204" t="s">
        <v>83</v>
      </c>
      <c r="G204" t="s">
        <v>22</v>
      </c>
      <c r="H204" t="s">
        <v>23</v>
      </c>
      <c r="I204" t="s">
        <v>41</v>
      </c>
      <c r="J204" t="s">
        <v>68</v>
      </c>
      <c r="K204" t="s">
        <v>26</v>
      </c>
      <c r="L204" t="s">
        <v>69</v>
      </c>
      <c r="M204">
        <v>78</v>
      </c>
      <c r="N204">
        <v>130</v>
      </c>
      <c r="O204">
        <v>10140</v>
      </c>
      <c r="P204">
        <v>5928</v>
      </c>
      <c r="Q204">
        <v>4212</v>
      </c>
      <c r="R204">
        <v>0</v>
      </c>
      <c r="S204" t="s">
        <v>70</v>
      </c>
      <c r="T204">
        <v>563.04999999999995</v>
      </c>
    </row>
    <row r="205" spans="1:20" x14ac:dyDescent="0.25">
      <c r="A205">
        <v>100204</v>
      </c>
      <c r="B205" s="6">
        <v>45587</v>
      </c>
      <c r="C205">
        <v>2024</v>
      </c>
      <c r="D205" t="s">
        <v>43</v>
      </c>
      <c r="E205">
        <v>10</v>
      </c>
      <c r="F205" t="s">
        <v>44</v>
      </c>
      <c r="G205" t="s">
        <v>45</v>
      </c>
      <c r="H205" t="s">
        <v>23</v>
      </c>
      <c r="I205" t="s">
        <v>88</v>
      </c>
      <c r="J205" t="s">
        <v>61</v>
      </c>
      <c r="K205" t="s">
        <v>32</v>
      </c>
      <c r="L205" t="s">
        <v>74</v>
      </c>
      <c r="M205">
        <v>20</v>
      </c>
      <c r="N205">
        <v>25</v>
      </c>
      <c r="O205">
        <v>490</v>
      </c>
      <c r="P205">
        <v>280</v>
      </c>
      <c r="Q205">
        <v>210</v>
      </c>
      <c r="R205">
        <v>0.02</v>
      </c>
      <c r="S205" t="s">
        <v>38</v>
      </c>
      <c r="T205">
        <v>17.88</v>
      </c>
    </row>
    <row r="206" spans="1:20" x14ac:dyDescent="0.25">
      <c r="A206">
        <v>100205</v>
      </c>
      <c r="B206" s="6">
        <v>45847</v>
      </c>
      <c r="C206">
        <v>2025</v>
      </c>
      <c r="D206" t="s">
        <v>39</v>
      </c>
      <c r="E206">
        <v>7</v>
      </c>
      <c r="F206" t="s">
        <v>75</v>
      </c>
      <c r="G206" t="s">
        <v>35</v>
      </c>
      <c r="H206" t="s">
        <v>23</v>
      </c>
      <c r="I206" t="s">
        <v>80</v>
      </c>
      <c r="J206" t="s">
        <v>42</v>
      </c>
      <c r="K206" t="s">
        <v>32</v>
      </c>
      <c r="L206" t="s">
        <v>37</v>
      </c>
      <c r="M206">
        <v>76</v>
      </c>
      <c r="N206">
        <v>120</v>
      </c>
      <c r="O206">
        <v>8846.4</v>
      </c>
      <c r="P206">
        <v>5928</v>
      </c>
      <c r="Q206">
        <v>2918.4</v>
      </c>
      <c r="R206">
        <v>0.03</v>
      </c>
      <c r="S206" t="s">
        <v>57</v>
      </c>
      <c r="T206">
        <v>349.6</v>
      </c>
    </row>
    <row r="207" spans="1:20" x14ac:dyDescent="0.25">
      <c r="A207">
        <v>100206</v>
      </c>
      <c r="B207" s="6">
        <v>45925</v>
      </c>
      <c r="C207">
        <v>2025</v>
      </c>
      <c r="D207" t="s">
        <v>39</v>
      </c>
      <c r="E207">
        <v>9</v>
      </c>
      <c r="F207" t="s">
        <v>40</v>
      </c>
      <c r="G207" t="s">
        <v>29</v>
      </c>
      <c r="H207" t="s">
        <v>23</v>
      </c>
      <c r="I207" t="s">
        <v>49</v>
      </c>
      <c r="J207" t="s">
        <v>66</v>
      </c>
      <c r="K207" t="s">
        <v>26</v>
      </c>
      <c r="L207" t="s">
        <v>82</v>
      </c>
      <c r="M207">
        <v>111</v>
      </c>
      <c r="N207">
        <v>105</v>
      </c>
      <c r="O207">
        <v>11072.25</v>
      </c>
      <c r="P207">
        <v>6771</v>
      </c>
      <c r="Q207">
        <v>4301.25</v>
      </c>
      <c r="R207">
        <v>0.05</v>
      </c>
      <c r="S207" t="s">
        <v>38</v>
      </c>
      <c r="T207">
        <v>333.04</v>
      </c>
    </row>
    <row r="208" spans="1:20" x14ac:dyDescent="0.25">
      <c r="A208">
        <v>100207</v>
      </c>
      <c r="B208" s="6">
        <v>45279</v>
      </c>
      <c r="C208">
        <v>2023</v>
      </c>
      <c r="D208" t="s">
        <v>43</v>
      </c>
      <c r="E208">
        <v>12</v>
      </c>
      <c r="F208" t="s">
        <v>83</v>
      </c>
      <c r="G208" t="s">
        <v>29</v>
      </c>
      <c r="H208" t="s">
        <v>23</v>
      </c>
      <c r="I208" t="s">
        <v>30</v>
      </c>
      <c r="J208" t="s">
        <v>61</v>
      </c>
      <c r="K208" t="s">
        <v>51</v>
      </c>
      <c r="L208" t="s">
        <v>92</v>
      </c>
      <c r="M208">
        <v>132</v>
      </c>
      <c r="N208">
        <v>50</v>
      </c>
      <c r="O208">
        <v>6468</v>
      </c>
      <c r="P208">
        <v>3828</v>
      </c>
      <c r="Q208">
        <v>2640</v>
      </c>
      <c r="R208">
        <v>0.02</v>
      </c>
      <c r="S208" t="s">
        <v>70</v>
      </c>
      <c r="T208">
        <v>316.57</v>
      </c>
    </row>
    <row r="209" spans="1:20" x14ac:dyDescent="0.25">
      <c r="A209">
        <v>100208</v>
      </c>
      <c r="B209" s="6">
        <v>45882</v>
      </c>
      <c r="C209">
        <v>2025</v>
      </c>
      <c r="D209" t="s">
        <v>39</v>
      </c>
      <c r="E209">
        <v>8</v>
      </c>
      <c r="F209" t="s">
        <v>58</v>
      </c>
      <c r="G209" t="s">
        <v>45</v>
      </c>
      <c r="H209" t="s">
        <v>23</v>
      </c>
      <c r="I209" t="s">
        <v>62</v>
      </c>
      <c r="J209" t="s">
        <v>66</v>
      </c>
      <c r="K209" t="s">
        <v>51</v>
      </c>
      <c r="L209" t="s">
        <v>92</v>
      </c>
      <c r="M209">
        <v>17</v>
      </c>
      <c r="N209">
        <v>50</v>
      </c>
      <c r="O209">
        <v>782</v>
      </c>
      <c r="P209">
        <v>493</v>
      </c>
      <c r="Q209">
        <v>289</v>
      </c>
      <c r="R209">
        <v>0.08</v>
      </c>
      <c r="S209" t="s">
        <v>38</v>
      </c>
      <c r="T209">
        <v>39.72</v>
      </c>
    </row>
    <row r="210" spans="1:20" x14ac:dyDescent="0.25">
      <c r="A210">
        <v>100209</v>
      </c>
      <c r="B210" s="6">
        <v>44984</v>
      </c>
      <c r="C210">
        <v>2023</v>
      </c>
      <c r="D210" t="s">
        <v>63</v>
      </c>
      <c r="E210">
        <v>2</v>
      </c>
      <c r="F210" t="s">
        <v>81</v>
      </c>
      <c r="G210" t="s">
        <v>22</v>
      </c>
      <c r="H210" t="s">
        <v>23</v>
      </c>
      <c r="I210" t="s">
        <v>41</v>
      </c>
      <c r="J210" t="s">
        <v>54</v>
      </c>
      <c r="K210" t="s">
        <v>26</v>
      </c>
      <c r="L210" t="s">
        <v>69</v>
      </c>
      <c r="M210">
        <v>11</v>
      </c>
      <c r="N210">
        <v>130</v>
      </c>
      <c r="O210">
        <v>1387.1</v>
      </c>
      <c r="P210">
        <v>836</v>
      </c>
      <c r="Q210">
        <v>551.1</v>
      </c>
      <c r="R210">
        <v>0.03</v>
      </c>
      <c r="S210" t="s">
        <v>70</v>
      </c>
      <c r="T210">
        <v>96.75</v>
      </c>
    </row>
    <row r="211" spans="1:20" x14ac:dyDescent="0.25">
      <c r="A211">
        <v>100210</v>
      </c>
      <c r="B211" s="6">
        <v>45588</v>
      </c>
      <c r="C211">
        <v>2024</v>
      </c>
      <c r="D211" t="s">
        <v>43</v>
      </c>
      <c r="E211">
        <v>10</v>
      </c>
      <c r="F211" t="s">
        <v>44</v>
      </c>
      <c r="G211" t="s">
        <v>29</v>
      </c>
      <c r="H211" t="s">
        <v>23</v>
      </c>
      <c r="I211" t="s">
        <v>85</v>
      </c>
      <c r="J211" t="s">
        <v>68</v>
      </c>
      <c r="K211" t="s">
        <v>55</v>
      </c>
      <c r="L211" t="s">
        <v>93</v>
      </c>
      <c r="M211">
        <v>40</v>
      </c>
      <c r="N211">
        <v>60</v>
      </c>
      <c r="O211">
        <v>2280</v>
      </c>
      <c r="P211">
        <v>1680</v>
      </c>
      <c r="Q211">
        <v>600</v>
      </c>
      <c r="R211">
        <v>0.05</v>
      </c>
      <c r="S211" t="s">
        <v>38</v>
      </c>
      <c r="T211">
        <v>55.58</v>
      </c>
    </row>
    <row r="212" spans="1:20" x14ac:dyDescent="0.25">
      <c r="A212">
        <v>100211</v>
      </c>
      <c r="B212" s="6">
        <v>45559</v>
      </c>
      <c r="C212">
        <v>2024</v>
      </c>
      <c r="D212" t="s">
        <v>39</v>
      </c>
      <c r="E212">
        <v>9</v>
      </c>
      <c r="F212" t="s">
        <v>40</v>
      </c>
      <c r="G212" t="s">
        <v>22</v>
      </c>
      <c r="H212" t="s">
        <v>23</v>
      </c>
      <c r="I212" t="s">
        <v>65</v>
      </c>
      <c r="J212" t="s">
        <v>66</v>
      </c>
      <c r="K212" t="s">
        <v>32</v>
      </c>
      <c r="L212" t="s">
        <v>47</v>
      </c>
      <c r="M212">
        <v>149</v>
      </c>
      <c r="N212">
        <v>180</v>
      </c>
      <c r="O212">
        <v>24138</v>
      </c>
      <c r="P212">
        <v>17135</v>
      </c>
      <c r="Q212">
        <v>7003</v>
      </c>
      <c r="R212">
        <v>0.1</v>
      </c>
      <c r="S212" t="s">
        <v>38</v>
      </c>
      <c r="T212">
        <v>992.52</v>
      </c>
    </row>
    <row r="213" spans="1:20" x14ac:dyDescent="0.25">
      <c r="A213">
        <v>100212</v>
      </c>
      <c r="B213" s="6">
        <v>45274</v>
      </c>
      <c r="C213">
        <v>2023</v>
      </c>
      <c r="D213" t="s">
        <v>43</v>
      </c>
      <c r="E213">
        <v>12</v>
      </c>
      <c r="F213" t="s">
        <v>83</v>
      </c>
      <c r="G213" t="s">
        <v>22</v>
      </c>
      <c r="H213" t="s">
        <v>23</v>
      </c>
      <c r="I213" t="s">
        <v>65</v>
      </c>
      <c r="J213" t="s">
        <v>66</v>
      </c>
      <c r="K213" t="s">
        <v>32</v>
      </c>
      <c r="L213" t="s">
        <v>47</v>
      </c>
      <c r="M213">
        <v>113</v>
      </c>
      <c r="N213">
        <v>180</v>
      </c>
      <c r="O213">
        <v>19323</v>
      </c>
      <c r="P213">
        <v>12995</v>
      </c>
      <c r="Q213">
        <v>6328</v>
      </c>
      <c r="R213">
        <v>0.05</v>
      </c>
      <c r="S213" t="s">
        <v>70</v>
      </c>
      <c r="T213">
        <v>548.79</v>
      </c>
    </row>
    <row r="214" spans="1:20" x14ac:dyDescent="0.25">
      <c r="A214">
        <v>100213</v>
      </c>
      <c r="B214" s="6">
        <v>45332</v>
      </c>
      <c r="C214">
        <v>2024</v>
      </c>
      <c r="D214" t="s">
        <v>63</v>
      </c>
      <c r="E214">
        <v>2</v>
      </c>
      <c r="F214" t="s">
        <v>81</v>
      </c>
      <c r="G214" t="s">
        <v>35</v>
      </c>
      <c r="H214" t="s">
        <v>23</v>
      </c>
      <c r="I214" t="s">
        <v>80</v>
      </c>
      <c r="J214" t="s">
        <v>61</v>
      </c>
      <c r="K214" t="s">
        <v>26</v>
      </c>
      <c r="L214" t="s">
        <v>27</v>
      </c>
      <c r="M214">
        <v>25</v>
      </c>
      <c r="N214">
        <v>110</v>
      </c>
      <c r="O214">
        <v>2667.5</v>
      </c>
      <c r="P214">
        <v>1700</v>
      </c>
      <c r="Q214">
        <v>967.5</v>
      </c>
      <c r="R214">
        <v>0.03</v>
      </c>
      <c r="S214" t="s">
        <v>38</v>
      </c>
      <c r="T214">
        <v>63.38</v>
      </c>
    </row>
    <row r="215" spans="1:20" x14ac:dyDescent="0.25">
      <c r="A215">
        <v>100214</v>
      </c>
      <c r="B215" s="6">
        <v>45407</v>
      </c>
      <c r="C215">
        <v>2024</v>
      </c>
      <c r="D215" t="s">
        <v>20</v>
      </c>
      <c r="E215">
        <v>4</v>
      </c>
      <c r="F215" t="s">
        <v>34</v>
      </c>
      <c r="G215" t="s">
        <v>22</v>
      </c>
      <c r="H215" t="s">
        <v>23</v>
      </c>
      <c r="I215" t="s">
        <v>41</v>
      </c>
      <c r="J215" t="s">
        <v>42</v>
      </c>
      <c r="K215" t="s">
        <v>51</v>
      </c>
      <c r="L215" t="s">
        <v>92</v>
      </c>
      <c r="M215">
        <v>94</v>
      </c>
      <c r="N215">
        <v>50</v>
      </c>
      <c r="O215">
        <v>4606</v>
      </c>
      <c r="P215">
        <v>2726</v>
      </c>
      <c r="Q215">
        <v>1880</v>
      </c>
      <c r="R215">
        <v>0.02</v>
      </c>
      <c r="S215" t="s">
        <v>38</v>
      </c>
      <c r="T215">
        <v>129.65</v>
      </c>
    </row>
    <row r="216" spans="1:20" x14ac:dyDescent="0.25">
      <c r="A216">
        <v>100215</v>
      </c>
      <c r="B216" s="6">
        <v>45237</v>
      </c>
      <c r="C216">
        <v>2023</v>
      </c>
      <c r="D216" t="s">
        <v>43</v>
      </c>
      <c r="E216">
        <v>11</v>
      </c>
      <c r="F216" t="s">
        <v>87</v>
      </c>
      <c r="G216" t="s">
        <v>35</v>
      </c>
      <c r="H216" t="s">
        <v>23</v>
      </c>
      <c r="I216" t="s">
        <v>53</v>
      </c>
      <c r="J216" t="s">
        <v>50</v>
      </c>
      <c r="K216" t="s">
        <v>26</v>
      </c>
      <c r="L216" t="s">
        <v>69</v>
      </c>
      <c r="M216">
        <v>95</v>
      </c>
      <c r="N216">
        <v>130</v>
      </c>
      <c r="O216">
        <v>11732.5</v>
      </c>
      <c r="P216">
        <v>7220</v>
      </c>
      <c r="Q216">
        <v>4512.5</v>
      </c>
      <c r="R216">
        <v>0.05</v>
      </c>
      <c r="S216" t="s">
        <v>28</v>
      </c>
      <c r="T216">
        <v>428.32</v>
      </c>
    </row>
    <row r="217" spans="1:20" x14ac:dyDescent="0.25">
      <c r="A217">
        <v>100216</v>
      </c>
      <c r="B217" s="6">
        <v>44968</v>
      </c>
      <c r="C217">
        <v>2023</v>
      </c>
      <c r="D217" t="s">
        <v>63</v>
      </c>
      <c r="E217">
        <v>2</v>
      </c>
      <c r="F217" t="s">
        <v>81</v>
      </c>
      <c r="G217" t="s">
        <v>35</v>
      </c>
      <c r="H217" t="s">
        <v>23</v>
      </c>
      <c r="I217" t="s">
        <v>36</v>
      </c>
      <c r="J217" t="s">
        <v>66</v>
      </c>
      <c r="K217" t="s">
        <v>59</v>
      </c>
      <c r="L217" t="s">
        <v>86</v>
      </c>
      <c r="M217">
        <v>143</v>
      </c>
      <c r="N217">
        <v>160</v>
      </c>
      <c r="O217">
        <v>22880</v>
      </c>
      <c r="P217">
        <v>13585</v>
      </c>
      <c r="Q217">
        <v>9295</v>
      </c>
      <c r="R217">
        <v>0</v>
      </c>
      <c r="S217" t="s">
        <v>38</v>
      </c>
      <c r="T217">
        <v>609.96</v>
      </c>
    </row>
    <row r="218" spans="1:20" x14ac:dyDescent="0.25">
      <c r="A218">
        <v>100217</v>
      </c>
      <c r="B218" s="6">
        <v>45504</v>
      </c>
      <c r="C218">
        <v>2024</v>
      </c>
      <c r="D218" t="s">
        <v>39</v>
      </c>
      <c r="E218">
        <v>7</v>
      </c>
      <c r="F218" t="s">
        <v>75</v>
      </c>
      <c r="G218" t="s">
        <v>22</v>
      </c>
      <c r="H218" t="s">
        <v>23</v>
      </c>
      <c r="I218" t="s">
        <v>41</v>
      </c>
      <c r="J218" t="s">
        <v>68</v>
      </c>
      <c r="K218" t="s">
        <v>51</v>
      </c>
      <c r="L218" t="s">
        <v>76</v>
      </c>
      <c r="M218">
        <v>29</v>
      </c>
      <c r="N218">
        <v>40</v>
      </c>
      <c r="O218">
        <v>1102</v>
      </c>
      <c r="P218">
        <v>667</v>
      </c>
      <c r="Q218">
        <v>435</v>
      </c>
      <c r="R218">
        <v>0.05</v>
      </c>
      <c r="S218" t="s">
        <v>38</v>
      </c>
      <c r="T218">
        <v>73.06</v>
      </c>
    </row>
    <row r="219" spans="1:20" x14ac:dyDescent="0.25">
      <c r="A219">
        <v>100218</v>
      </c>
      <c r="B219" s="6">
        <v>45748</v>
      </c>
      <c r="C219">
        <v>2025</v>
      </c>
      <c r="D219" t="s">
        <v>20</v>
      </c>
      <c r="E219">
        <v>4</v>
      </c>
      <c r="F219" t="s">
        <v>34</v>
      </c>
      <c r="G219" t="s">
        <v>45</v>
      </c>
      <c r="H219" t="s">
        <v>23</v>
      </c>
      <c r="I219" t="s">
        <v>62</v>
      </c>
      <c r="J219" t="s">
        <v>50</v>
      </c>
      <c r="K219" t="s">
        <v>59</v>
      </c>
      <c r="L219" t="s">
        <v>60</v>
      </c>
      <c r="M219">
        <v>119</v>
      </c>
      <c r="N219">
        <v>45</v>
      </c>
      <c r="O219">
        <v>4926.6000000000004</v>
      </c>
      <c r="P219">
        <v>3213</v>
      </c>
      <c r="Q219">
        <v>1713.6</v>
      </c>
      <c r="R219">
        <v>0.08</v>
      </c>
      <c r="S219" t="s">
        <v>70</v>
      </c>
      <c r="T219">
        <v>298.62</v>
      </c>
    </row>
    <row r="220" spans="1:20" x14ac:dyDescent="0.25">
      <c r="A220">
        <v>100219</v>
      </c>
      <c r="B220" s="6">
        <v>45828</v>
      </c>
      <c r="C220">
        <v>2025</v>
      </c>
      <c r="D220" t="s">
        <v>20</v>
      </c>
      <c r="E220">
        <v>6</v>
      </c>
      <c r="F220" t="s">
        <v>48</v>
      </c>
      <c r="G220" t="s">
        <v>45</v>
      </c>
      <c r="H220" t="s">
        <v>23</v>
      </c>
      <c r="I220" t="s">
        <v>46</v>
      </c>
      <c r="J220" t="s">
        <v>50</v>
      </c>
      <c r="K220" t="s">
        <v>51</v>
      </c>
      <c r="L220" t="s">
        <v>72</v>
      </c>
      <c r="M220">
        <v>34</v>
      </c>
      <c r="N220">
        <v>90</v>
      </c>
      <c r="O220">
        <v>2998.8</v>
      </c>
      <c r="P220">
        <v>1768</v>
      </c>
      <c r="Q220">
        <v>1230.8</v>
      </c>
      <c r="R220">
        <v>0.02</v>
      </c>
      <c r="S220" t="s">
        <v>28</v>
      </c>
      <c r="T220">
        <v>58.17</v>
      </c>
    </row>
    <row r="221" spans="1:20" x14ac:dyDescent="0.25">
      <c r="A221">
        <v>100220</v>
      </c>
      <c r="B221" s="6">
        <v>45018</v>
      </c>
      <c r="C221">
        <v>2023</v>
      </c>
      <c r="D221" t="s">
        <v>20</v>
      </c>
      <c r="E221">
        <v>4</v>
      </c>
      <c r="F221" t="s">
        <v>34</v>
      </c>
      <c r="G221" t="s">
        <v>45</v>
      </c>
      <c r="H221" t="s">
        <v>23</v>
      </c>
      <c r="I221" t="s">
        <v>90</v>
      </c>
      <c r="J221" t="s">
        <v>25</v>
      </c>
      <c r="K221" t="s">
        <v>59</v>
      </c>
      <c r="L221" t="s">
        <v>86</v>
      </c>
      <c r="M221">
        <v>69</v>
      </c>
      <c r="N221">
        <v>160</v>
      </c>
      <c r="O221">
        <v>10156.799999999999</v>
      </c>
      <c r="P221">
        <v>6555</v>
      </c>
      <c r="Q221">
        <v>3601.8</v>
      </c>
      <c r="R221">
        <v>0.08</v>
      </c>
      <c r="S221" t="s">
        <v>70</v>
      </c>
      <c r="T221">
        <v>152.54</v>
      </c>
    </row>
    <row r="222" spans="1:20" x14ac:dyDescent="0.25">
      <c r="A222">
        <v>100221</v>
      </c>
      <c r="B222" s="6">
        <v>46010</v>
      </c>
      <c r="C222">
        <v>2025</v>
      </c>
      <c r="D222" t="s">
        <v>43</v>
      </c>
      <c r="E222">
        <v>12</v>
      </c>
      <c r="F222" t="s">
        <v>83</v>
      </c>
      <c r="G222" t="s">
        <v>22</v>
      </c>
      <c r="H222" t="s">
        <v>23</v>
      </c>
      <c r="I222" t="s">
        <v>24</v>
      </c>
      <c r="J222" t="s">
        <v>68</v>
      </c>
      <c r="K222" t="s">
        <v>51</v>
      </c>
      <c r="L222" t="s">
        <v>92</v>
      </c>
      <c r="M222">
        <v>19</v>
      </c>
      <c r="N222">
        <v>50</v>
      </c>
      <c r="O222">
        <v>931</v>
      </c>
      <c r="P222">
        <v>551</v>
      </c>
      <c r="Q222">
        <v>380</v>
      </c>
      <c r="R222">
        <v>0.02</v>
      </c>
      <c r="S222" t="s">
        <v>38</v>
      </c>
      <c r="T222">
        <v>38.78</v>
      </c>
    </row>
    <row r="223" spans="1:20" x14ac:dyDescent="0.25">
      <c r="A223">
        <v>100222</v>
      </c>
      <c r="B223" s="6">
        <v>46006</v>
      </c>
      <c r="C223">
        <v>2025</v>
      </c>
      <c r="D223" t="s">
        <v>43</v>
      </c>
      <c r="E223">
        <v>12</v>
      </c>
      <c r="F223" t="s">
        <v>83</v>
      </c>
      <c r="G223" t="s">
        <v>22</v>
      </c>
      <c r="H223" t="s">
        <v>23</v>
      </c>
      <c r="I223" t="s">
        <v>71</v>
      </c>
      <c r="J223" t="s">
        <v>66</v>
      </c>
      <c r="K223" t="s">
        <v>51</v>
      </c>
      <c r="L223" t="s">
        <v>92</v>
      </c>
      <c r="M223">
        <v>108</v>
      </c>
      <c r="N223">
        <v>50</v>
      </c>
      <c r="O223">
        <v>5400</v>
      </c>
      <c r="P223">
        <v>3132</v>
      </c>
      <c r="Q223">
        <v>2268</v>
      </c>
      <c r="R223">
        <v>0</v>
      </c>
      <c r="S223" t="s">
        <v>38</v>
      </c>
      <c r="T223">
        <v>313.45999999999998</v>
      </c>
    </row>
    <row r="224" spans="1:20" x14ac:dyDescent="0.25">
      <c r="A224">
        <v>100223</v>
      </c>
      <c r="B224" s="6">
        <v>45326</v>
      </c>
      <c r="C224">
        <v>2024</v>
      </c>
      <c r="D224" t="s">
        <v>63</v>
      </c>
      <c r="E224">
        <v>2</v>
      </c>
      <c r="F224" t="s">
        <v>81</v>
      </c>
      <c r="G224" t="s">
        <v>29</v>
      </c>
      <c r="H224" t="s">
        <v>23</v>
      </c>
      <c r="I224" t="s">
        <v>73</v>
      </c>
      <c r="J224" t="s">
        <v>50</v>
      </c>
      <c r="K224" t="s">
        <v>59</v>
      </c>
      <c r="L224" t="s">
        <v>67</v>
      </c>
      <c r="M224">
        <v>49</v>
      </c>
      <c r="N224">
        <v>95</v>
      </c>
      <c r="O224">
        <v>4282.6000000000004</v>
      </c>
      <c r="P224">
        <v>2744</v>
      </c>
      <c r="Q224">
        <v>1538.6</v>
      </c>
      <c r="R224">
        <v>0.08</v>
      </c>
      <c r="S224" t="s">
        <v>38</v>
      </c>
      <c r="T224">
        <v>209.15</v>
      </c>
    </row>
    <row r="225" spans="1:20" x14ac:dyDescent="0.25">
      <c r="A225">
        <v>100224</v>
      </c>
      <c r="B225" s="6">
        <v>45346</v>
      </c>
      <c r="C225">
        <v>2024</v>
      </c>
      <c r="D225" t="s">
        <v>63</v>
      </c>
      <c r="E225">
        <v>2</v>
      </c>
      <c r="F225" t="s">
        <v>81</v>
      </c>
      <c r="G225" t="s">
        <v>29</v>
      </c>
      <c r="H225" t="s">
        <v>23</v>
      </c>
      <c r="I225" t="s">
        <v>85</v>
      </c>
      <c r="J225" t="s">
        <v>25</v>
      </c>
      <c r="K225" t="s">
        <v>51</v>
      </c>
      <c r="L225" t="s">
        <v>52</v>
      </c>
      <c r="M225">
        <v>125</v>
      </c>
      <c r="N225">
        <v>75</v>
      </c>
      <c r="O225">
        <v>9093.75</v>
      </c>
      <c r="P225">
        <v>5500</v>
      </c>
      <c r="Q225">
        <v>3593.75</v>
      </c>
      <c r="R225">
        <v>0.03</v>
      </c>
      <c r="S225" t="s">
        <v>38</v>
      </c>
      <c r="T225">
        <v>463.55</v>
      </c>
    </row>
    <row r="226" spans="1:20" x14ac:dyDescent="0.25">
      <c r="A226">
        <v>100225</v>
      </c>
      <c r="B226" s="6">
        <v>45018</v>
      </c>
      <c r="C226">
        <v>2023</v>
      </c>
      <c r="D226" t="s">
        <v>20</v>
      </c>
      <c r="E226">
        <v>4</v>
      </c>
      <c r="F226" t="s">
        <v>34</v>
      </c>
      <c r="G226" t="s">
        <v>35</v>
      </c>
      <c r="H226" t="s">
        <v>23</v>
      </c>
      <c r="I226" t="s">
        <v>36</v>
      </c>
      <c r="J226" t="s">
        <v>66</v>
      </c>
      <c r="K226" t="s">
        <v>32</v>
      </c>
      <c r="L226" t="s">
        <v>37</v>
      </c>
      <c r="M226">
        <v>95</v>
      </c>
      <c r="N226">
        <v>120</v>
      </c>
      <c r="O226">
        <v>10260</v>
      </c>
      <c r="P226">
        <v>7410</v>
      </c>
      <c r="Q226">
        <v>2850</v>
      </c>
      <c r="R226">
        <v>0.1</v>
      </c>
      <c r="S226" t="s">
        <v>70</v>
      </c>
      <c r="T226">
        <v>294.17</v>
      </c>
    </row>
    <row r="227" spans="1:20" x14ac:dyDescent="0.25">
      <c r="A227">
        <v>100226</v>
      </c>
      <c r="B227" s="6">
        <v>45172</v>
      </c>
      <c r="C227">
        <v>2023</v>
      </c>
      <c r="D227" t="s">
        <v>39</v>
      </c>
      <c r="E227">
        <v>9</v>
      </c>
      <c r="F227" t="s">
        <v>40</v>
      </c>
      <c r="G227" t="s">
        <v>35</v>
      </c>
      <c r="H227" t="s">
        <v>23</v>
      </c>
      <c r="I227" t="s">
        <v>53</v>
      </c>
      <c r="J227" t="s">
        <v>61</v>
      </c>
      <c r="K227" t="s">
        <v>59</v>
      </c>
      <c r="L227" t="s">
        <v>67</v>
      </c>
      <c r="M227">
        <v>67</v>
      </c>
      <c r="N227">
        <v>95</v>
      </c>
      <c r="O227">
        <v>6237.7</v>
      </c>
      <c r="P227">
        <v>3752</v>
      </c>
      <c r="Q227">
        <v>2485.6999999999998</v>
      </c>
      <c r="R227">
        <v>0.02</v>
      </c>
      <c r="S227" t="s">
        <v>38</v>
      </c>
      <c r="T227">
        <v>305.91000000000003</v>
      </c>
    </row>
    <row r="228" spans="1:20" x14ac:dyDescent="0.25">
      <c r="A228">
        <v>100227</v>
      </c>
      <c r="B228" s="6">
        <v>45168</v>
      </c>
      <c r="C228">
        <v>2023</v>
      </c>
      <c r="D228" t="s">
        <v>39</v>
      </c>
      <c r="E228">
        <v>8</v>
      </c>
      <c r="F228" t="s">
        <v>58</v>
      </c>
      <c r="G228" t="s">
        <v>45</v>
      </c>
      <c r="H228" t="s">
        <v>23</v>
      </c>
      <c r="I228" t="s">
        <v>46</v>
      </c>
      <c r="J228" t="s">
        <v>54</v>
      </c>
      <c r="K228" t="s">
        <v>32</v>
      </c>
      <c r="L228" t="s">
        <v>37</v>
      </c>
      <c r="M228">
        <v>148</v>
      </c>
      <c r="N228">
        <v>120</v>
      </c>
      <c r="O228">
        <v>17227.2</v>
      </c>
      <c r="P228">
        <v>11544</v>
      </c>
      <c r="Q228">
        <v>5683.2</v>
      </c>
      <c r="R228">
        <v>0.03</v>
      </c>
      <c r="S228" t="s">
        <v>38</v>
      </c>
      <c r="T228">
        <v>1058.43</v>
      </c>
    </row>
    <row r="229" spans="1:20" x14ac:dyDescent="0.25">
      <c r="A229">
        <v>100228</v>
      </c>
      <c r="B229" s="6">
        <v>45436</v>
      </c>
      <c r="C229">
        <v>2024</v>
      </c>
      <c r="D229" t="s">
        <v>20</v>
      </c>
      <c r="E229">
        <v>5</v>
      </c>
      <c r="F229" t="s">
        <v>21</v>
      </c>
      <c r="G229" t="s">
        <v>29</v>
      </c>
      <c r="H229" t="s">
        <v>23</v>
      </c>
      <c r="I229" t="s">
        <v>85</v>
      </c>
      <c r="J229" t="s">
        <v>50</v>
      </c>
      <c r="K229" t="s">
        <v>51</v>
      </c>
      <c r="L229" t="s">
        <v>72</v>
      </c>
      <c r="M229">
        <v>91</v>
      </c>
      <c r="N229">
        <v>90</v>
      </c>
      <c r="O229">
        <v>7944.3</v>
      </c>
      <c r="P229">
        <v>4732</v>
      </c>
      <c r="Q229">
        <v>3212.3</v>
      </c>
      <c r="R229">
        <v>0.03</v>
      </c>
      <c r="S229" t="s">
        <v>28</v>
      </c>
      <c r="T229">
        <v>283.39999999999998</v>
      </c>
    </row>
    <row r="230" spans="1:20" x14ac:dyDescent="0.25">
      <c r="A230">
        <v>100229</v>
      </c>
      <c r="B230" s="6">
        <v>45480</v>
      </c>
      <c r="C230">
        <v>2024</v>
      </c>
      <c r="D230" t="s">
        <v>39</v>
      </c>
      <c r="E230">
        <v>7</v>
      </c>
      <c r="F230" t="s">
        <v>75</v>
      </c>
      <c r="G230" t="s">
        <v>45</v>
      </c>
      <c r="H230" t="s">
        <v>23</v>
      </c>
      <c r="I230" t="s">
        <v>88</v>
      </c>
      <c r="J230" t="s">
        <v>68</v>
      </c>
      <c r="K230" t="s">
        <v>55</v>
      </c>
      <c r="L230" t="s">
        <v>93</v>
      </c>
      <c r="M230">
        <v>26</v>
      </c>
      <c r="N230">
        <v>60</v>
      </c>
      <c r="O230">
        <v>1482</v>
      </c>
      <c r="P230">
        <v>1092</v>
      </c>
      <c r="Q230">
        <v>390</v>
      </c>
      <c r="R230">
        <v>0.05</v>
      </c>
      <c r="S230" t="s">
        <v>70</v>
      </c>
      <c r="T230">
        <v>99.08</v>
      </c>
    </row>
    <row r="231" spans="1:20" x14ac:dyDescent="0.25">
      <c r="A231">
        <v>100230</v>
      </c>
      <c r="B231" s="6">
        <v>44955</v>
      </c>
      <c r="C231">
        <v>2023</v>
      </c>
      <c r="D231" t="s">
        <v>63</v>
      </c>
      <c r="E231">
        <v>1</v>
      </c>
      <c r="F231" t="s">
        <v>79</v>
      </c>
      <c r="G231" t="s">
        <v>45</v>
      </c>
      <c r="H231" t="s">
        <v>23</v>
      </c>
      <c r="I231" t="s">
        <v>88</v>
      </c>
      <c r="J231" t="s">
        <v>31</v>
      </c>
      <c r="K231" t="s">
        <v>55</v>
      </c>
      <c r="L231" t="s">
        <v>56</v>
      </c>
      <c r="M231">
        <v>30</v>
      </c>
      <c r="N231">
        <v>320</v>
      </c>
      <c r="O231">
        <v>8832</v>
      </c>
      <c r="P231">
        <v>7050</v>
      </c>
      <c r="Q231">
        <v>1782</v>
      </c>
      <c r="R231">
        <v>0.08</v>
      </c>
      <c r="S231" t="s">
        <v>28</v>
      </c>
      <c r="T231">
        <v>373.15</v>
      </c>
    </row>
    <row r="232" spans="1:20" x14ac:dyDescent="0.25">
      <c r="A232">
        <v>100231</v>
      </c>
      <c r="B232" s="6">
        <v>45126</v>
      </c>
      <c r="C232">
        <v>2023</v>
      </c>
      <c r="D232" t="s">
        <v>39</v>
      </c>
      <c r="E232">
        <v>7</v>
      </c>
      <c r="F232" t="s">
        <v>75</v>
      </c>
      <c r="G232" t="s">
        <v>45</v>
      </c>
      <c r="H232" t="s">
        <v>23</v>
      </c>
      <c r="I232" t="s">
        <v>90</v>
      </c>
      <c r="J232" t="s">
        <v>50</v>
      </c>
      <c r="K232" t="s">
        <v>55</v>
      </c>
      <c r="L232" t="s">
        <v>89</v>
      </c>
      <c r="M232">
        <v>97</v>
      </c>
      <c r="N232">
        <v>280</v>
      </c>
      <c r="O232">
        <v>24987.200000000001</v>
      </c>
      <c r="P232">
        <v>19885</v>
      </c>
      <c r="Q232">
        <v>5102.2</v>
      </c>
      <c r="R232">
        <v>0.08</v>
      </c>
      <c r="S232" t="s">
        <v>70</v>
      </c>
      <c r="T232">
        <v>520.05999999999995</v>
      </c>
    </row>
    <row r="233" spans="1:20" x14ac:dyDescent="0.25">
      <c r="A233">
        <v>100232</v>
      </c>
      <c r="B233" s="6">
        <v>45027</v>
      </c>
      <c r="C233">
        <v>2023</v>
      </c>
      <c r="D233" t="s">
        <v>20</v>
      </c>
      <c r="E233">
        <v>4</v>
      </c>
      <c r="F233" t="s">
        <v>34</v>
      </c>
      <c r="G233" t="s">
        <v>29</v>
      </c>
      <c r="H233" t="s">
        <v>23</v>
      </c>
      <c r="I233" t="s">
        <v>73</v>
      </c>
      <c r="J233" t="s">
        <v>25</v>
      </c>
      <c r="K233" t="s">
        <v>32</v>
      </c>
      <c r="L233" t="s">
        <v>74</v>
      </c>
      <c r="M233">
        <v>52</v>
      </c>
      <c r="N233">
        <v>25</v>
      </c>
      <c r="O233">
        <v>1235</v>
      </c>
      <c r="P233">
        <v>728</v>
      </c>
      <c r="Q233">
        <v>507</v>
      </c>
      <c r="R233">
        <v>0.05</v>
      </c>
      <c r="S233" t="s">
        <v>38</v>
      </c>
      <c r="T233">
        <v>73.010000000000005</v>
      </c>
    </row>
    <row r="234" spans="1:20" x14ac:dyDescent="0.25">
      <c r="A234">
        <v>100233</v>
      </c>
      <c r="B234" s="6">
        <v>45074</v>
      </c>
      <c r="C234">
        <v>2023</v>
      </c>
      <c r="D234" t="s">
        <v>20</v>
      </c>
      <c r="E234">
        <v>5</v>
      </c>
      <c r="F234" t="s">
        <v>21</v>
      </c>
      <c r="G234" t="s">
        <v>45</v>
      </c>
      <c r="H234" t="s">
        <v>23</v>
      </c>
      <c r="I234" t="s">
        <v>62</v>
      </c>
      <c r="J234" t="s">
        <v>25</v>
      </c>
      <c r="K234" t="s">
        <v>51</v>
      </c>
      <c r="L234" t="s">
        <v>76</v>
      </c>
      <c r="M234">
        <v>148</v>
      </c>
      <c r="N234">
        <v>40</v>
      </c>
      <c r="O234">
        <v>5328</v>
      </c>
      <c r="P234">
        <v>3404</v>
      </c>
      <c r="Q234">
        <v>1924</v>
      </c>
      <c r="R234">
        <v>0.1</v>
      </c>
      <c r="S234" t="s">
        <v>38</v>
      </c>
      <c r="T234">
        <v>356.06</v>
      </c>
    </row>
    <row r="235" spans="1:20" x14ac:dyDescent="0.25">
      <c r="A235">
        <v>100234</v>
      </c>
      <c r="B235" s="6">
        <v>45368</v>
      </c>
      <c r="C235">
        <v>2024</v>
      </c>
      <c r="D235" t="s">
        <v>63</v>
      </c>
      <c r="E235">
        <v>3</v>
      </c>
      <c r="F235" t="s">
        <v>64</v>
      </c>
      <c r="G235" t="s">
        <v>45</v>
      </c>
      <c r="H235" t="s">
        <v>23</v>
      </c>
      <c r="I235" t="s">
        <v>46</v>
      </c>
      <c r="J235" t="s">
        <v>31</v>
      </c>
      <c r="K235" t="s">
        <v>26</v>
      </c>
      <c r="L235" t="s">
        <v>82</v>
      </c>
      <c r="M235">
        <v>17</v>
      </c>
      <c r="N235">
        <v>105</v>
      </c>
      <c r="O235">
        <v>1749.3</v>
      </c>
      <c r="P235">
        <v>1037</v>
      </c>
      <c r="Q235">
        <v>712.3</v>
      </c>
      <c r="R235">
        <v>0.02</v>
      </c>
      <c r="S235" t="s">
        <v>70</v>
      </c>
      <c r="T235">
        <v>28.25</v>
      </c>
    </row>
    <row r="236" spans="1:20" x14ac:dyDescent="0.25">
      <c r="A236">
        <v>100235</v>
      </c>
      <c r="B236" s="6">
        <v>45286</v>
      </c>
      <c r="C236">
        <v>2023</v>
      </c>
      <c r="D236" t="s">
        <v>43</v>
      </c>
      <c r="E236">
        <v>12</v>
      </c>
      <c r="F236" t="s">
        <v>83</v>
      </c>
      <c r="G236" t="s">
        <v>45</v>
      </c>
      <c r="H236" t="s">
        <v>23</v>
      </c>
      <c r="I236" t="s">
        <v>46</v>
      </c>
      <c r="J236" t="s">
        <v>42</v>
      </c>
      <c r="K236" t="s">
        <v>51</v>
      </c>
      <c r="L236" t="s">
        <v>76</v>
      </c>
      <c r="M236">
        <v>58</v>
      </c>
      <c r="N236">
        <v>40</v>
      </c>
      <c r="O236">
        <v>2273.6</v>
      </c>
      <c r="P236">
        <v>1334</v>
      </c>
      <c r="Q236">
        <v>939.6</v>
      </c>
      <c r="R236">
        <v>0.02</v>
      </c>
      <c r="S236" t="s">
        <v>70</v>
      </c>
      <c r="T236">
        <v>66.709999999999994</v>
      </c>
    </row>
    <row r="237" spans="1:20" x14ac:dyDescent="0.25">
      <c r="A237">
        <v>100236</v>
      </c>
      <c r="B237" s="6">
        <v>45304</v>
      </c>
      <c r="C237">
        <v>2024</v>
      </c>
      <c r="D237" t="s">
        <v>63</v>
      </c>
      <c r="E237">
        <v>1</v>
      </c>
      <c r="F237" t="s">
        <v>79</v>
      </c>
      <c r="G237" t="s">
        <v>22</v>
      </c>
      <c r="H237" t="s">
        <v>23</v>
      </c>
      <c r="I237" t="s">
        <v>41</v>
      </c>
      <c r="J237" t="s">
        <v>61</v>
      </c>
      <c r="K237" t="s">
        <v>55</v>
      </c>
      <c r="L237" t="s">
        <v>84</v>
      </c>
      <c r="M237">
        <v>149</v>
      </c>
      <c r="N237">
        <v>55</v>
      </c>
      <c r="O237">
        <v>7949.15</v>
      </c>
      <c r="P237">
        <v>5513</v>
      </c>
      <c r="Q237">
        <v>2436.15</v>
      </c>
      <c r="R237">
        <v>0.03</v>
      </c>
      <c r="S237" t="s">
        <v>70</v>
      </c>
      <c r="T237">
        <v>169.06</v>
      </c>
    </row>
    <row r="238" spans="1:20" x14ac:dyDescent="0.25">
      <c r="A238">
        <v>100237</v>
      </c>
      <c r="B238" s="6">
        <v>45277</v>
      </c>
      <c r="C238">
        <v>2023</v>
      </c>
      <c r="D238" t="s">
        <v>43</v>
      </c>
      <c r="E238">
        <v>12</v>
      </c>
      <c r="F238" t="s">
        <v>83</v>
      </c>
      <c r="G238" t="s">
        <v>29</v>
      </c>
      <c r="H238" t="s">
        <v>23</v>
      </c>
      <c r="I238" t="s">
        <v>49</v>
      </c>
      <c r="J238" t="s">
        <v>68</v>
      </c>
      <c r="K238" t="s">
        <v>59</v>
      </c>
      <c r="L238" t="s">
        <v>86</v>
      </c>
      <c r="M238">
        <v>20</v>
      </c>
      <c r="N238">
        <v>160</v>
      </c>
      <c r="O238">
        <v>3200</v>
      </c>
      <c r="P238">
        <v>1900</v>
      </c>
      <c r="Q238">
        <v>1300</v>
      </c>
      <c r="R238">
        <v>0</v>
      </c>
      <c r="S238" t="s">
        <v>38</v>
      </c>
      <c r="T238">
        <v>67.5</v>
      </c>
    </row>
    <row r="239" spans="1:20" x14ac:dyDescent="0.25">
      <c r="A239">
        <v>100238</v>
      </c>
      <c r="B239" s="6">
        <v>45414</v>
      </c>
      <c r="C239">
        <v>2024</v>
      </c>
      <c r="D239" t="s">
        <v>20</v>
      </c>
      <c r="E239">
        <v>5</v>
      </c>
      <c r="F239" t="s">
        <v>21</v>
      </c>
      <c r="G239" t="s">
        <v>22</v>
      </c>
      <c r="H239" t="s">
        <v>23</v>
      </c>
      <c r="I239" t="s">
        <v>41</v>
      </c>
      <c r="J239" t="s">
        <v>61</v>
      </c>
      <c r="K239" t="s">
        <v>51</v>
      </c>
      <c r="L239" t="s">
        <v>92</v>
      </c>
      <c r="M239">
        <v>123</v>
      </c>
      <c r="N239">
        <v>50</v>
      </c>
      <c r="O239">
        <v>5535</v>
      </c>
      <c r="P239">
        <v>3567</v>
      </c>
      <c r="Q239">
        <v>1968</v>
      </c>
      <c r="R239">
        <v>0.1</v>
      </c>
      <c r="S239" t="s">
        <v>57</v>
      </c>
      <c r="T239">
        <v>156.30000000000001</v>
      </c>
    </row>
    <row r="240" spans="1:20" x14ac:dyDescent="0.25">
      <c r="A240">
        <v>100239</v>
      </c>
      <c r="B240" s="6">
        <v>45612</v>
      </c>
      <c r="C240">
        <v>2024</v>
      </c>
      <c r="D240" t="s">
        <v>43</v>
      </c>
      <c r="E240">
        <v>11</v>
      </c>
      <c r="F240" t="s">
        <v>87</v>
      </c>
      <c r="G240" t="s">
        <v>45</v>
      </c>
      <c r="H240" t="s">
        <v>23</v>
      </c>
      <c r="I240" t="s">
        <v>62</v>
      </c>
      <c r="J240" t="s">
        <v>50</v>
      </c>
      <c r="K240" t="s">
        <v>55</v>
      </c>
      <c r="L240" t="s">
        <v>84</v>
      </c>
      <c r="M240">
        <v>41</v>
      </c>
      <c r="N240">
        <v>55</v>
      </c>
      <c r="O240">
        <v>2209.9</v>
      </c>
      <c r="P240">
        <v>1517</v>
      </c>
      <c r="Q240">
        <v>692.9</v>
      </c>
      <c r="R240">
        <v>0.02</v>
      </c>
      <c r="S240" t="s">
        <v>28</v>
      </c>
      <c r="T240">
        <v>140.02000000000001</v>
      </c>
    </row>
    <row r="241" spans="1:20" x14ac:dyDescent="0.25">
      <c r="A241">
        <v>100240</v>
      </c>
      <c r="B241" s="6">
        <v>45075</v>
      </c>
      <c r="C241">
        <v>2023</v>
      </c>
      <c r="D241" t="s">
        <v>20</v>
      </c>
      <c r="E241">
        <v>5</v>
      </c>
      <c r="F241" t="s">
        <v>21</v>
      </c>
      <c r="G241" t="s">
        <v>45</v>
      </c>
      <c r="H241" t="s">
        <v>23</v>
      </c>
      <c r="I241" t="s">
        <v>88</v>
      </c>
      <c r="J241" t="s">
        <v>50</v>
      </c>
      <c r="K241" t="s">
        <v>59</v>
      </c>
      <c r="L241" t="s">
        <v>91</v>
      </c>
      <c r="M241">
        <v>55</v>
      </c>
      <c r="N241">
        <v>140</v>
      </c>
      <c r="O241">
        <v>7315</v>
      </c>
      <c r="P241">
        <v>4510</v>
      </c>
      <c r="Q241">
        <v>2805</v>
      </c>
      <c r="R241">
        <v>0.05</v>
      </c>
      <c r="S241" t="s">
        <v>38</v>
      </c>
      <c r="T241">
        <v>422.11</v>
      </c>
    </row>
    <row r="242" spans="1:20" x14ac:dyDescent="0.25">
      <c r="A242">
        <v>100241</v>
      </c>
      <c r="B242" s="6">
        <v>45182</v>
      </c>
      <c r="C242">
        <v>2023</v>
      </c>
      <c r="D242" t="s">
        <v>39</v>
      </c>
      <c r="E242">
        <v>9</v>
      </c>
      <c r="F242" t="s">
        <v>40</v>
      </c>
      <c r="G242" t="s">
        <v>35</v>
      </c>
      <c r="H242" t="s">
        <v>23</v>
      </c>
      <c r="I242" t="s">
        <v>36</v>
      </c>
      <c r="J242" t="s">
        <v>61</v>
      </c>
      <c r="K242" t="s">
        <v>55</v>
      </c>
      <c r="L242" t="s">
        <v>84</v>
      </c>
      <c r="M242">
        <v>101</v>
      </c>
      <c r="N242">
        <v>55</v>
      </c>
      <c r="O242">
        <v>5555</v>
      </c>
      <c r="P242">
        <v>3737</v>
      </c>
      <c r="Q242">
        <v>1818</v>
      </c>
      <c r="R242">
        <v>0</v>
      </c>
      <c r="S242" t="s">
        <v>57</v>
      </c>
      <c r="T242">
        <v>133.68</v>
      </c>
    </row>
    <row r="243" spans="1:20" x14ac:dyDescent="0.25">
      <c r="A243">
        <v>100242</v>
      </c>
      <c r="B243" s="6">
        <v>45362</v>
      </c>
      <c r="C243">
        <v>2024</v>
      </c>
      <c r="D243" t="s">
        <v>63</v>
      </c>
      <c r="E243">
        <v>3</v>
      </c>
      <c r="F243" t="s">
        <v>64</v>
      </c>
      <c r="G243" t="s">
        <v>22</v>
      </c>
      <c r="H243" t="s">
        <v>23</v>
      </c>
      <c r="I243" t="s">
        <v>41</v>
      </c>
      <c r="J243" t="s">
        <v>61</v>
      </c>
      <c r="K243" t="s">
        <v>32</v>
      </c>
      <c r="L243" t="s">
        <v>74</v>
      </c>
      <c r="M243">
        <v>97</v>
      </c>
      <c r="N243">
        <v>25</v>
      </c>
      <c r="O243">
        <v>2376.5</v>
      </c>
      <c r="P243">
        <v>1358</v>
      </c>
      <c r="Q243">
        <v>1018.5</v>
      </c>
      <c r="R243">
        <v>0.02</v>
      </c>
      <c r="S243" t="s">
        <v>70</v>
      </c>
      <c r="T243">
        <v>89.68</v>
      </c>
    </row>
    <row r="244" spans="1:20" x14ac:dyDescent="0.25">
      <c r="A244">
        <v>100243</v>
      </c>
      <c r="B244" s="6">
        <v>45622</v>
      </c>
      <c r="C244">
        <v>2024</v>
      </c>
      <c r="D244" t="s">
        <v>43</v>
      </c>
      <c r="E244">
        <v>11</v>
      </c>
      <c r="F244" t="s">
        <v>87</v>
      </c>
      <c r="G244" t="s">
        <v>22</v>
      </c>
      <c r="H244" t="s">
        <v>23</v>
      </c>
      <c r="I244" t="s">
        <v>24</v>
      </c>
      <c r="J244" t="s">
        <v>31</v>
      </c>
      <c r="K244" t="s">
        <v>32</v>
      </c>
      <c r="L244" t="s">
        <v>74</v>
      </c>
      <c r="M244">
        <v>39</v>
      </c>
      <c r="N244">
        <v>25</v>
      </c>
      <c r="O244">
        <v>897</v>
      </c>
      <c r="P244">
        <v>546</v>
      </c>
      <c r="Q244">
        <v>351</v>
      </c>
      <c r="R244">
        <v>0.08</v>
      </c>
      <c r="S244" t="s">
        <v>70</v>
      </c>
      <c r="T244">
        <v>44.85</v>
      </c>
    </row>
    <row r="245" spans="1:20" x14ac:dyDescent="0.25">
      <c r="A245">
        <v>100244</v>
      </c>
      <c r="B245" s="6">
        <v>45062</v>
      </c>
      <c r="C245">
        <v>2023</v>
      </c>
      <c r="D245" t="s">
        <v>20</v>
      </c>
      <c r="E245">
        <v>5</v>
      </c>
      <c r="F245" t="s">
        <v>21</v>
      </c>
      <c r="G245" t="s">
        <v>35</v>
      </c>
      <c r="H245" t="s">
        <v>23</v>
      </c>
      <c r="I245" t="s">
        <v>36</v>
      </c>
      <c r="J245" t="s">
        <v>31</v>
      </c>
      <c r="K245" t="s">
        <v>32</v>
      </c>
      <c r="L245" t="s">
        <v>37</v>
      </c>
      <c r="M245">
        <v>117</v>
      </c>
      <c r="N245">
        <v>120</v>
      </c>
      <c r="O245">
        <v>13338</v>
      </c>
      <c r="P245">
        <v>9126</v>
      </c>
      <c r="Q245">
        <v>4212</v>
      </c>
      <c r="R245">
        <v>0.05</v>
      </c>
      <c r="S245" t="s">
        <v>38</v>
      </c>
      <c r="T245">
        <v>927.65</v>
      </c>
    </row>
    <row r="246" spans="1:20" x14ac:dyDescent="0.25">
      <c r="A246">
        <v>100245</v>
      </c>
      <c r="B246" s="6">
        <v>45800</v>
      </c>
      <c r="C246">
        <v>2025</v>
      </c>
      <c r="D246" t="s">
        <v>20</v>
      </c>
      <c r="E246">
        <v>5</v>
      </c>
      <c r="F246" t="s">
        <v>21</v>
      </c>
      <c r="G246" t="s">
        <v>35</v>
      </c>
      <c r="H246" t="s">
        <v>23</v>
      </c>
      <c r="I246" t="s">
        <v>53</v>
      </c>
      <c r="J246" t="s">
        <v>68</v>
      </c>
      <c r="K246" t="s">
        <v>51</v>
      </c>
      <c r="L246" t="s">
        <v>92</v>
      </c>
      <c r="M246">
        <v>137</v>
      </c>
      <c r="N246">
        <v>50</v>
      </c>
      <c r="O246">
        <v>6302</v>
      </c>
      <c r="P246">
        <v>3973</v>
      </c>
      <c r="Q246">
        <v>2329</v>
      </c>
      <c r="R246">
        <v>0.08</v>
      </c>
      <c r="S246" t="s">
        <v>38</v>
      </c>
      <c r="T246">
        <v>307.69</v>
      </c>
    </row>
    <row r="247" spans="1:20" x14ac:dyDescent="0.25">
      <c r="A247">
        <v>100246</v>
      </c>
      <c r="B247" s="6">
        <v>45963</v>
      </c>
      <c r="C247">
        <v>2025</v>
      </c>
      <c r="D247" t="s">
        <v>43</v>
      </c>
      <c r="E247">
        <v>11</v>
      </c>
      <c r="F247" t="s">
        <v>87</v>
      </c>
      <c r="G247" t="s">
        <v>45</v>
      </c>
      <c r="H247" t="s">
        <v>23</v>
      </c>
      <c r="I247" t="s">
        <v>62</v>
      </c>
      <c r="J247" t="s">
        <v>66</v>
      </c>
      <c r="K247" t="s">
        <v>59</v>
      </c>
      <c r="L247" t="s">
        <v>86</v>
      </c>
      <c r="M247">
        <v>99</v>
      </c>
      <c r="N247">
        <v>160</v>
      </c>
      <c r="O247">
        <v>14572.8</v>
      </c>
      <c r="P247">
        <v>9405</v>
      </c>
      <c r="Q247">
        <v>5167.8</v>
      </c>
      <c r="R247">
        <v>0.08</v>
      </c>
      <c r="S247" t="s">
        <v>38</v>
      </c>
      <c r="T247">
        <v>885.99</v>
      </c>
    </row>
    <row r="248" spans="1:20" x14ac:dyDescent="0.25">
      <c r="A248">
        <v>100247</v>
      </c>
      <c r="B248" s="6">
        <v>45970</v>
      </c>
      <c r="C248">
        <v>2025</v>
      </c>
      <c r="D248" t="s">
        <v>43</v>
      </c>
      <c r="E248">
        <v>11</v>
      </c>
      <c r="F248" t="s">
        <v>87</v>
      </c>
      <c r="G248" t="s">
        <v>22</v>
      </c>
      <c r="H248" t="s">
        <v>23</v>
      </c>
      <c r="I248" t="s">
        <v>65</v>
      </c>
      <c r="J248" t="s">
        <v>50</v>
      </c>
      <c r="K248" t="s">
        <v>32</v>
      </c>
      <c r="L248" t="s">
        <v>74</v>
      </c>
      <c r="M248">
        <v>79</v>
      </c>
      <c r="N248">
        <v>25</v>
      </c>
      <c r="O248">
        <v>1817</v>
      </c>
      <c r="P248">
        <v>1106</v>
      </c>
      <c r="Q248">
        <v>711</v>
      </c>
      <c r="R248">
        <v>0.08</v>
      </c>
      <c r="S248" t="s">
        <v>38</v>
      </c>
      <c r="T248">
        <v>126.82</v>
      </c>
    </row>
    <row r="249" spans="1:20" x14ac:dyDescent="0.25">
      <c r="A249">
        <v>100248</v>
      </c>
      <c r="B249" s="6">
        <v>45970</v>
      </c>
      <c r="C249">
        <v>2025</v>
      </c>
      <c r="D249" t="s">
        <v>43</v>
      </c>
      <c r="E249">
        <v>11</v>
      </c>
      <c r="F249" t="s">
        <v>87</v>
      </c>
      <c r="G249" t="s">
        <v>35</v>
      </c>
      <c r="H249" t="s">
        <v>23</v>
      </c>
      <c r="I249" t="s">
        <v>80</v>
      </c>
      <c r="J249" t="s">
        <v>54</v>
      </c>
      <c r="K249" t="s">
        <v>32</v>
      </c>
      <c r="L249" t="s">
        <v>33</v>
      </c>
      <c r="M249">
        <v>46</v>
      </c>
      <c r="N249">
        <v>60</v>
      </c>
      <c r="O249">
        <v>2622</v>
      </c>
      <c r="P249">
        <v>1748</v>
      </c>
      <c r="Q249">
        <v>874</v>
      </c>
      <c r="R249">
        <v>0.05</v>
      </c>
      <c r="S249" t="s">
        <v>38</v>
      </c>
      <c r="T249">
        <v>39.6</v>
      </c>
    </row>
    <row r="250" spans="1:20" x14ac:dyDescent="0.25">
      <c r="A250">
        <v>100249</v>
      </c>
      <c r="B250" s="6">
        <v>44964</v>
      </c>
      <c r="C250">
        <v>2023</v>
      </c>
      <c r="D250" t="s">
        <v>63</v>
      </c>
      <c r="E250">
        <v>2</v>
      </c>
      <c r="F250" t="s">
        <v>81</v>
      </c>
      <c r="G250" t="s">
        <v>35</v>
      </c>
      <c r="H250" t="s">
        <v>23</v>
      </c>
      <c r="I250" t="s">
        <v>80</v>
      </c>
      <c r="J250" t="s">
        <v>61</v>
      </c>
      <c r="K250" t="s">
        <v>32</v>
      </c>
      <c r="L250" t="s">
        <v>37</v>
      </c>
      <c r="M250">
        <v>29</v>
      </c>
      <c r="N250">
        <v>120</v>
      </c>
      <c r="O250">
        <v>3375.6</v>
      </c>
      <c r="P250">
        <v>2262</v>
      </c>
      <c r="Q250">
        <v>1113.5999999999999</v>
      </c>
      <c r="R250">
        <v>0.03</v>
      </c>
      <c r="S250" t="s">
        <v>70</v>
      </c>
      <c r="T250">
        <v>212.95</v>
      </c>
    </row>
    <row r="251" spans="1:20" x14ac:dyDescent="0.25">
      <c r="A251">
        <v>100250</v>
      </c>
      <c r="B251" s="6">
        <v>45262</v>
      </c>
      <c r="C251">
        <v>2023</v>
      </c>
      <c r="D251" t="s">
        <v>43</v>
      </c>
      <c r="E251">
        <v>12</v>
      </c>
      <c r="F251" t="s">
        <v>83</v>
      </c>
      <c r="G251" t="s">
        <v>35</v>
      </c>
      <c r="H251" t="s">
        <v>23</v>
      </c>
      <c r="I251" t="s">
        <v>53</v>
      </c>
      <c r="J251" t="s">
        <v>54</v>
      </c>
      <c r="K251" t="s">
        <v>26</v>
      </c>
      <c r="L251" t="s">
        <v>82</v>
      </c>
      <c r="M251">
        <v>33</v>
      </c>
      <c r="N251">
        <v>105</v>
      </c>
      <c r="O251">
        <v>3291.75</v>
      </c>
      <c r="P251">
        <v>2013</v>
      </c>
      <c r="Q251">
        <v>1278.75</v>
      </c>
      <c r="R251">
        <v>0.05</v>
      </c>
      <c r="S251" t="s">
        <v>38</v>
      </c>
      <c r="T251">
        <v>195.12</v>
      </c>
    </row>
    <row r="252" spans="1:20" x14ac:dyDescent="0.25">
      <c r="A252">
        <v>100251</v>
      </c>
      <c r="B252" s="6">
        <v>45841</v>
      </c>
      <c r="C252">
        <v>2025</v>
      </c>
      <c r="D252" t="s">
        <v>39</v>
      </c>
      <c r="E252">
        <v>7</v>
      </c>
      <c r="F252" t="s">
        <v>75</v>
      </c>
      <c r="G252" t="s">
        <v>45</v>
      </c>
      <c r="H252" t="s">
        <v>23</v>
      </c>
      <c r="I252" t="s">
        <v>90</v>
      </c>
      <c r="J252" t="s">
        <v>61</v>
      </c>
      <c r="K252" t="s">
        <v>32</v>
      </c>
      <c r="L252" t="s">
        <v>33</v>
      </c>
      <c r="M252">
        <v>118</v>
      </c>
      <c r="N252">
        <v>60</v>
      </c>
      <c r="O252">
        <v>6726</v>
      </c>
      <c r="P252">
        <v>4484</v>
      </c>
      <c r="Q252">
        <v>2242</v>
      </c>
      <c r="R252">
        <v>0.05</v>
      </c>
      <c r="S252" t="s">
        <v>57</v>
      </c>
      <c r="T252">
        <v>464.15</v>
      </c>
    </row>
    <row r="253" spans="1:20" x14ac:dyDescent="0.25">
      <c r="A253">
        <v>100252</v>
      </c>
      <c r="B253" s="6">
        <v>44945</v>
      </c>
      <c r="C253">
        <v>2023</v>
      </c>
      <c r="D253" t="s">
        <v>63</v>
      </c>
      <c r="E253">
        <v>1</v>
      </c>
      <c r="F253" t="s">
        <v>79</v>
      </c>
      <c r="G253" t="s">
        <v>29</v>
      </c>
      <c r="H253" t="s">
        <v>23</v>
      </c>
      <c r="I253" t="s">
        <v>73</v>
      </c>
      <c r="J253" t="s">
        <v>50</v>
      </c>
      <c r="K253" t="s">
        <v>32</v>
      </c>
      <c r="L253" t="s">
        <v>74</v>
      </c>
      <c r="M253">
        <v>122</v>
      </c>
      <c r="N253">
        <v>25</v>
      </c>
      <c r="O253">
        <v>2958.5</v>
      </c>
      <c r="P253">
        <v>1708</v>
      </c>
      <c r="Q253">
        <v>1250.5</v>
      </c>
      <c r="R253">
        <v>0.03</v>
      </c>
      <c r="S253" t="s">
        <v>38</v>
      </c>
      <c r="T253">
        <v>58.79</v>
      </c>
    </row>
    <row r="254" spans="1:20" x14ac:dyDescent="0.25">
      <c r="A254">
        <v>100253</v>
      </c>
      <c r="B254" s="6">
        <v>45402</v>
      </c>
      <c r="C254">
        <v>2024</v>
      </c>
      <c r="D254" t="s">
        <v>20</v>
      </c>
      <c r="E254">
        <v>4</v>
      </c>
      <c r="F254" t="s">
        <v>34</v>
      </c>
      <c r="G254" t="s">
        <v>22</v>
      </c>
      <c r="H254" t="s">
        <v>23</v>
      </c>
      <c r="I254" t="s">
        <v>24</v>
      </c>
      <c r="J254" t="s">
        <v>50</v>
      </c>
      <c r="K254" t="s">
        <v>55</v>
      </c>
      <c r="L254" t="s">
        <v>56</v>
      </c>
      <c r="M254">
        <v>127</v>
      </c>
      <c r="N254">
        <v>320</v>
      </c>
      <c r="O254">
        <v>38608</v>
      </c>
      <c r="P254">
        <v>29845</v>
      </c>
      <c r="Q254">
        <v>8763</v>
      </c>
      <c r="R254">
        <v>0.05</v>
      </c>
      <c r="S254" t="s">
        <v>70</v>
      </c>
      <c r="T254">
        <v>1473.61</v>
      </c>
    </row>
    <row r="255" spans="1:20" x14ac:dyDescent="0.25">
      <c r="A255">
        <v>100254</v>
      </c>
      <c r="B255" s="6">
        <v>45997</v>
      </c>
      <c r="C255">
        <v>2025</v>
      </c>
      <c r="D255" t="s">
        <v>43</v>
      </c>
      <c r="E255">
        <v>12</v>
      </c>
      <c r="F255" t="s">
        <v>83</v>
      </c>
      <c r="G255" t="s">
        <v>22</v>
      </c>
      <c r="H255" t="s">
        <v>23</v>
      </c>
      <c r="I255" t="s">
        <v>24</v>
      </c>
      <c r="J255" t="s">
        <v>31</v>
      </c>
      <c r="K255" t="s">
        <v>51</v>
      </c>
      <c r="L255" t="s">
        <v>76</v>
      </c>
      <c r="M255">
        <v>133</v>
      </c>
      <c r="N255">
        <v>40</v>
      </c>
      <c r="O255">
        <v>5160.3999999999996</v>
      </c>
      <c r="P255">
        <v>3059</v>
      </c>
      <c r="Q255">
        <v>2101.4</v>
      </c>
      <c r="R255">
        <v>0.03</v>
      </c>
      <c r="S255" t="s">
        <v>38</v>
      </c>
      <c r="T255">
        <v>239.72</v>
      </c>
    </row>
    <row r="256" spans="1:20" x14ac:dyDescent="0.25">
      <c r="A256">
        <v>100255</v>
      </c>
      <c r="B256" s="6">
        <v>45426</v>
      </c>
      <c r="C256">
        <v>2024</v>
      </c>
      <c r="D256" t="s">
        <v>20</v>
      </c>
      <c r="E256">
        <v>5</v>
      </c>
      <c r="F256" t="s">
        <v>21</v>
      </c>
      <c r="G256" t="s">
        <v>45</v>
      </c>
      <c r="H256" t="s">
        <v>23</v>
      </c>
      <c r="I256" t="s">
        <v>88</v>
      </c>
      <c r="J256" t="s">
        <v>61</v>
      </c>
      <c r="K256" t="s">
        <v>51</v>
      </c>
      <c r="L256" t="s">
        <v>92</v>
      </c>
      <c r="M256">
        <v>116</v>
      </c>
      <c r="N256">
        <v>50</v>
      </c>
      <c r="O256">
        <v>5800</v>
      </c>
      <c r="P256">
        <v>3364</v>
      </c>
      <c r="Q256">
        <v>2436</v>
      </c>
      <c r="R256">
        <v>0</v>
      </c>
      <c r="S256" t="s">
        <v>57</v>
      </c>
      <c r="T256">
        <v>352.31</v>
      </c>
    </row>
    <row r="257" spans="1:20" x14ac:dyDescent="0.25">
      <c r="A257">
        <v>100256</v>
      </c>
      <c r="B257" s="6">
        <v>45489</v>
      </c>
      <c r="C257">
        <v>2024</v>
      </c>
      <c r="D257" t="s">
        <v>39</v>
      </c>
      <c r="E257">
        <v>7</v>
      </c>
      <c r="F257" t="s">
        <v>75</v>
      </c>
      <c r="G257" t="s">
        <v>45</v>
      </c>
      <c r="H257" t="s">
        <v>23</v>
      </c>
      <c r="I257" t="s">
        <v>90</v>
      </c>
      <c r="J257" t="s">
        <v>42</v>
      </c>
      <c r="K257" t="s">
        <v>51</v>
      </c>
      <c r="L257" t="s">
        <v>76</v>
      </c>
      <c r="M257">
        <v>78</v>
      </c>
      <c r="N257">
        <v>40</v>
      </c>
      <c r="O257">
        <v>2870.4</v>
      </c>
      <c r="P257">
        <v>1794</v>
      </c>
      <c r="Q257">
        <v>1076.4000000000001</v>
      </c>
      <c r="R257">
        <v>0.08</v>
      </c>
      <c r="S257" t="s">
        <v>70</v>
      </c>
      <c r="T257">
        <v>72.44</v>
      </c>
    </row>
    <row r="258" spans="1:20" x14ac:dyDescent="0.25">
      <c r="A258">
        <v>100257</v>
      </c>
      <c r="B258" s="6">
        <v>45630</v>
      </c>
      <c r="C258">
        <v>2024</v>
      </c>
      <c r="D258" t="s">
        <v>43</v>
      </c>
      <c r="E258">
        <v>12</v>
      </c>
      <c r="F258" t="s">
        <v>83</v>
      </c>
      <c r="G258" t="s">
        <v>45</v>
      </c>
      <c r="H258" t="s">
        <v>23</v>
      </c>
      <c r="I258" t="s">
        <v>62</v>
      </c>
      <c r="J258" t="s">
        <v>42</v>
      </c>
      <c r="K258" t="s">
        <v>32</v>
      </c>
      <c r="L258" t="s">
        <v>47</v>
      </c>
      <c r="M258">
        <v>135</v>
      </c>
      <c r="N258">
        <v>180</v>
      </c>
      <c r="O258">
        <v>23085</v>
      </c>
      <c r="P258">
        <v>15525</v>
      </c>
      <c r="Q258">
        <v>7560</v>
      </c>
      <c r="R258">
        <v>0.05</v>
      </c>
      <c r="S258" t="s">
        <v>57</v>
      </c>
      <c r="T258">
        <v>976.62</v>
      </c>
    </row>
    <row r="259" spans="1:20" x14ac:dyDescent="0.25">
      <c r="A259">
        <v>100258</v>
      </c>
      <c r="B259" s="6">
        <v>45538</v>
      </c>
      <c r="C259">
        <v>2024</v>
      </c>
      <c r="D259" t="s">
        <v>39</v>
      </c>
      <c r="E259">
        <v>9</v>
      </c>
      <c r="F259" t="s">
        <v>40</v>
      </c>
      <c r="G259" t="s">
        <v>35</v>
      </c>
      <c r="H259" t="s">
        <v>23</v>
      </c>
      <c r="I259" t="s">
        <v>77</v>
      </c>
      <c r="J259" t="s">
        <v>31</v>
      </c>
      <c r="K259" t="s">
        <v>32</v>
      </c>
      <c r="L259" t="s">
        <v>47</v>
      </c>
      <c r="M259">
        <v>117</v>
      </c>
      <c r="N259">
        <v>180</v>
      </c>
      <c r="O259">
        <v>21060</v>
      </c>
      <c r="P259">
        <v>13455</v>
      </c>
      <c r="Q259">
        <v>7605</v>
      </c>
      <c r="R259">
        <v>0</v>
      </c>
      <c r="S259" t="s">
        <v>70</v>
      </c>
      <c r="T259">
        <v>1186.22</v>
      </c>
    </row>
    <row r="260" spans="1:20" x14ac:dyDescent="0.25">
      <c r="A260">
        <v>100259</v>
      </c>
      <c r="B260" s="6">
        <v>45651</v>
      </c>
      <c r="C260">
        <v>2024</v>
      </c>
      <c r="D260" t="s">
        <v>43</v>
      </c>
      <c r="E260">
        <v>12</v>
      </c>
      <c r="F260" t="s">
        <v>83</v>
      </c>
      <c r="G260" t="s">
        <v>35</v>
      </c>
      <c r="H260" t="s">
        <v>23</v>
      </c>
      <c r="I260" t="s">
        <v>80</v>
      </c>
      <c r="J260" t="s">
        <v>50</v>
      </c>
      <c r="K260" t="s">
        <v>32</v>
      </c>
      <c r="L260" t="s">
        <v>33</v>
      </c>
      <c r="M260">
        <v>95</v>
      </c>
      <c r="N260">
        <v>60</v>
      </c>
      <c r="O260">
        <v>5586</v>
      </c>
      <c r="P260">
        <v>3610</v>
      </c>
      <c r="Q260">
        <v>1976</v>
      </c>
      <c r="R260">
        <v>0.02</v>
      </c>
      <c r="S260" t="s">
        <v>57</v>
      </c>
      <c r="T260">
        <v>159.66999999999999</v>
      </c>
    </row>
    <row r="261" spans="1:20" x14ac:dyDescent="0.25">
      <c r="A261">
        <v>100260</v>
      </c>
      <c r="B261" s="6">
        <v>45832</v>
      </c>
      <c r="C261">
        <v>2025</v>
      </c>
      <c r="D261" t="s">
        <v>20</v>
      </c>
      <c r="E261">
        <v>6</v>
      </c>
      <c r="F261" t="s">
        <v>48</v>
      </c>
      <c r="G261" t="s">
        <v>29</v>
      </c>
      <c r="H261" t="s">
        <v>23</v>
      </c>
      <c r="I261" t="s">
        <v>49</v>
      </c>
      <c r="J261" t="s">
        <v>31</v>
      </c>
      <c r="K261" t="s">
        <v>26</v>
      </c>
      <c r="L261" t="s">
        <v>78</v>
      </c>
      <c r="M261">
        <v>79</v>
      </c>
      <c r="N261">
        <v>95</v>
      </c>
      <c r="O261">
        <v>7505</v>
      </c>
      <c r="P261">
        <v>4582</v>
      </c>
      <c r="Q261">
        <v>2923</v>
      </c>
      <c r="R261">
        <v>0</v>
      </c>
      <c r="S261" t="s">
        <v>38</v>
      </c>
      <c r="T261">
        <v>313.83</v>
      </c>
    </row>
    <row r="262" spans="1:20" x14ac:dyDescent="0.25">
      <c r="A262">
        <v>100261</v>
      </c>
      <c r="B262" s="6">
        <v>45176</v>
      </c>
      <c r="C262">
        <v>2023</v>
      </c>
      <c r="D262" t="s">
        <v>39</v>
      </c>
      <c r="E262">
        <v>9</v>
      </c>
      <c r="F262" t="s">
        <v>40</v>
      </c>
      <c r="G262" t="s">
        <v>22</v>
      </c>
      <c r="H262" t="s">
        <v>23</v>
      </c>
      <c r="I262" t="s">
        <v>71</v>
      </c>
      <c r="J262" t="s">
        <v>31</v>
      </c>
      <c r="K262" t="s">
        <v>51</v>
      </c>
      <c r="L262" t="s">
        <v>76</v>
      </c>
      <c r="M262">
        <v>16</v>
      </c>
      <c r="N262">
        <v>40</v>
      </c>
      <c r="O262">
        <v>640</v>
      </c>
      <c r="P262">
        <v>368</v>
      </c>
      <c r="Q262">
        <v>272</v>
      </c>
      <c r="R262">
        <v>0</v>
      </c>
      <c r="S262" t="s">
        <v>57</v>
      </c>
      <c r="T262">
        <v>17.93</v>
      </c>
    </row>
    <row r="263" spans="1:20" x14ac:dyDescent="0.25">
      <c r="A263">
        <v>100262</v>
      </c>
      <c r="B263" s="6">
        <v>45870</v>
      </c>
      <c r="C263">
        <v>2025</v>
      </c>
      <c r="D263" t="s">
        <v>39</v>
      </c>
      <c r="E263">
        <v>8</v>
      </c>
      <c r="F263" t="s">
        <v>58</v>
      </c>
      <c r="G263" t="s">
        <v>22</v>
      </c>
      <c r="H263" t="s">
        <v>23</v>
      </c>
      <c r="I263" t="s">
        <v>71</v>
      </c>
      <c r="J263" t="s">
        <v>68</v>
      </c>
      <c r="K263" t="s">
        <v>32</v>
      </c>
      <c r="L263" t="s">
        <v>47</v>
      </c>
      <c r="M263">
        <v>129</v>
      </c>
      <c r="N263">
        <v>180</v>
      </c>
      <c r="O263">
        <v>22755.599999999999</v>
      </c>
      <c r="P263">
        <v>14835</v>
      </c>
      <c r="Q263">
        <v>7920.6</v>
      </c>
      <c r="R263">
        <v>0.02</v>
      </c>
      <c r="S263" t="s">
        <v>28</v>
      </c>
      <c r="T263">
        <v>1256</v>
      </c>
    </row>
    <row r="264" spans="1:20" x14ac:dyDescent="0.25">
      <c r="A264">
        <v>100263</v>
      </c>
      <c r="B264" s="6">
        <v>45910</v>
      </c>
      <c r="C264">
        <v>2025</v>
      </c>
      <c r="D264" t="s">
        <v>39</v>
      </c>
      <c r="E264">
        <v>9</v>
      </c>
      <c r="F264" t="s">
        <v>40</v>
      </c>
      <c r="G264" t="s">
        <v>45</v>
      </c>
      <c r="H264" t="s">
        <v>23</v>
      </c>
      <c r="I264" t="s">
        <v>90</v>
      </c>
      <c r="J264" t="s">
        <v>42</v>
      </c>
      <c r="K264" t="s">
        <v>51</v>
      </c>
      <c r="L264" t="s">
        <v>92</v>
      </c>
      <c r="M264">
        <v>137</v>
      </c>
      <c r="N264">
        <v>50</v>
      </c>
      <c r="O264">
        <v>6165</v>
      </c>
      <c r="P264">
        <v>3973</v>
      </c>
      <c r="Q264">
        <v>2192</v>
      </c>
      <c r="R264">
        <v>0.1</v>
      </c>
      <c r="S264" t="s">
        <v>38</v>
      </c>
      <c r="T264">
        <v>154.53</v>
      </c>
    </row>
    <row r="265" spans="1:20" x14ac:dyDescent="0.25">
      <c r="A265">
        <v>100264</v>
      </c>
      <c r="B265" s="6">
        <v>45821</v>
      </c>
      <c r="C265">
        <v>2025</v>
      </c>
      <c r="D265" t="s">
        <v>20</v>
      </c>
      <c r="E265">
        <v>6</v>
      </c>
      <c r="F265" t="s">
        <v>48</v>
      </c>
      <c r="G265" t="s">
        <v>35</v>
      </c>
      <c r="H265" t="s">
        <v>23</v>
      </c>
      <c r="I265" t="s">
        <v>77</v>
      </c>
      <c r="J265" t="s">
        <v>68</v>
      </c>
      <c r="K265" t="s">
        <v>55</v>
      </c>
      <c r="L265" t="s">
        <v>89</v>
      </c>
      <c r="M265">
        <v>42</v>
      </c>
      <c r="N265">
        <v>280</v>
      </c>
      <c r="O265">
        <v>11407.2</v>
      </c>
      <c r="P265">
        <v>8610</v>
      </c>
      <c r="Q265">
        <v>2797.2</v>
      </c>
      <c r="R265">
        <v>0.03</v>
      </c>
      <c r="S265" t="s">
        <v>70</v>
      </c>
      <c r="T265">
        <v>243.11</v>
      </c>
    </row>
    <row r="266" spans="1:20" x14ac:dyDescent="0.25">
      <c r="A266">
        <v>100265</v>
      </c>
      <c r="B266" s="6">
        <v>44969</v>
      </c>
      <c r="C266">
        <v>2023</v>
      </c>
      <c r="D266" t="s">
        <v>63</v>
      </c>
      <c r="E266">
        <v>2</v>
      </c>
      <c r="F266" t="s">
        <v>81</v>
      </c>
      <c r="G266" t="s">
        <v>45</v>
      </c>
      <c r="H266" t="s">
        <v>23</v>
      </c>
      <c r="I266" t="s">
        <v>90</v>
      </c>
      <c r="J266" t="s">
        <v>42</v>
      </c>
      <c r="K266" t="s">
        <v>26</v>
      </c>
      <c r="L266" t="s">
        <v>27</v>
      </c>
      <c r="M266">
        <v>107</v>
      </c>
      <c r="N266">
        <v>110</v>
      </c>
      <c r="O266">
        <v>11770</v>
      </c>
      <c r="P266">
        <v>7276</v>
      </c>
      <c r="Q266">
        <v>4494</v>
      </c>
      <c r="R266">
        <v>0</v>
      </c>
      <c r="S266" t="s">
        <v>70</v>
      </c>
      <c r="T266">
        <v>473.23</v>
      </c>
    </row>
    <row r="267" spans="1:20" x14ac:dyDescent="0.25">
      <c r="A267">
        <v>100266</v>
      </c>
      <c r="B267" s="6">
        <v>44948</v>
      </c>
      <c r="C267">
        <v>2023</v>
      </c>
      <c r="D267" t="s">
        <v>63</v>
      </c>
      <c r="E267">
        <v>1</v>
      </c>
      <c r="F267" t="s">
        <v>79</v>
      </c>
      <c r="G267" t="s">
        <v>29</v>
      </c>
      <c r="H267" t="s">
        <v>23</v>
      </c>
      <c r="I267" t="s">
        <v>73</v>
      </c>
      <c r="J267" t="s">
        <v>50</v>
      </c>
      <c r="K267" t="s">
        <v>26</v>
      </c>
      <c r="L267" t="s">
        <v>78</v>
      </c>
      <c r="M267">
        <v>121</v>
      </c>
      <c r="N267">
        <v>95</v>
      </c>
      <c r="O267">
        <v>11150.15</v>
      </c>
      <c r="P267">
        <v>7018</v>
      </c>
      <c r="Q267">
        <v>4132.1499999999996</v>
      </c>
      <c r="R267">
        <v>0.03</v>
      </c>
      <c r="S267" t="s">
        <v>38</v>
      </c>
      <c r="T267">
        <v>626.76</v>
      </c>
    </row>
    <row r="268" spans="1:20" x14ac:dyDescent="0.25">
      <c r="A268">
        <v>100267</v>
      </c>
      <c r="B268" s="6">
        <v>45497</v>
      </c>
      <c r="C268">
        <v>2024</v>
      </c>
      <c r="D268" t="s">
        <v>39</v>
      </c>
      <c r="E268">
        <v>7</v>
      </c>
      <c r="F268" t="s">
        <v>75</v>
      </c>
      <c r="G268" t="s">
        <v>35</v>
      </c>
      <c r="H268" t="s">
        <v>23</v>
      </c>
      <c r="I268" t="s">
        <v>53</v>
      </c>
      <c r="J268" t="s">
        <v>50</v>
      </c>
      <c r="K268" t="s">
        <v>32</v>
      </c>
      <c r="L268" t="s">
        <v>74</v>
      </c>
      <c r="M268">
        <v>58</v>
      </c>
      <c r="N268">
        <v>25</v>
      </c>
      <c r="O268">
        <v>1421</v>
      </c>
      <c r="P268">
        <v>812</v>
      </c>
      <c r="Q268">
        <v>609</v>
      </c>
      <c r="R268">
        <v>0.02</v>
      </c>
      <c r="S268" t="s">
        <v>70</v>
      </c>
      <c r="T268">
        <v>41.53</v>
      </c>
    </row>
    <row r="269" spans="1:20" x14ac:dyDescent="0.25">
      <c r="A269">
        <v>100268</v>
      </c>
      <c r="B269" s="6">
        <v>46018</v>
      </c>
      <c r="C269">
        <v>2025</v>
      </c>
      <c r="D269" t="s">
        <v>43</v>
      </c>
      <c r="E269">
        <v>12</v>
      </c>
      <c r="F269" t="s">
        <v>83</v>
      </c>
      <c r="G269" t="s">
        <v>35</v>
      </c>
      <c r="H269" t="s">
        <v>23</v>
      </c>
      <c r="I269" t="s">
        <v>80</v>
      </c>
      <c r="J269" t="s">
        <v>25</v>
      </c>
      <c r="K269" t="s">
        <v>59</v>
      </c>
      <c r="L269" t="s">
        <v>91</v>
      </c>
      <c r="M269">
        <v>88</v>
      </c>
      <c r="N269">
        <v>140</v>
      </c>
      <c r="O269">
        <v>11334.4</v>
      </c>
      <c r="P269">
        <v>7216</v>
      </c>
      <c r="Q269">
        <v>4118.3999999999996</v>
      </c>
      <c r="R269">
        <v>0.08</v>
      </c>
      <c r="S269" t="s">
        <v>28</v>
      </c>
      <c r="T269">
        <v>712.73</v>
      </c>
    </row>
    <row r="270" spans="1:20" x14ac:dyDescent="0.25">
      <c r="A270">
        <v>100269</v>
      </c>
      <c r="B270" s="6">
        <v>45606</v>
      </c>
      <c r="C270">
        <v>2024</v>
      </c>
      <c r="D270" t="s">
        <v>43</v>
      </c>
      <c r="E270">
        <v>11</v>
      </c>
      <c r="F270" t="s">
        <v>87</v>
      </c>
      <c r="G270" t="s">
        <v>35</v>
      </c>
      <c r="H270" t="s">
        <v>23</v>
      </c>
      <c r="I270" t="s">
        <v>80</v>
      </c>
      <c r="J270" t="s">
        <v>31</v>
      </c>
      <c r="K270" t="s">
        <v>26</v>
      </c>
      <c r="L270" t="s">
        <v>69</v>
      </c>
      <c r="M270">
        <v>75</v>
      </c>
      <c r="N270">
        <v>130</v>
      </c>
      <c r="O270">
        <v>9750</v>
      </c>
      <c r="P270">
        <v>5700</v>
      </c>
      <c r="Q270">
        <v>4050</v>
      </c>
      <c r="R270">
        <v>0</v>
      </c>
      <c r="S270" t="s">
        <v>38</v>
      </c>
      <c r="T270">
        <v>395.03</v>
      </c>
    </row>
    <row r="271" spans="1:20" x14ac:dyDescent="0.25">
      <c r="A271">
        <v>100270</v>
      </c>
      <c r="B271" s="6">
        <v>45938</v>
      </c>
      <c r="C271">
        <v>2025</v>
      </c>
      <c r="D271" t="s">
        <v>43</v>
      </c>
      <c r="E271">
        <v>10</v>
      </c>
      <c r="F271" t="s">
        <v>44</v>
      </c>
      <c r="G271" t="s">
        <v>22</v>
      </c>
      <c r="H271" t="s">
        <v>23</v>
      </c>
      <c r="I271" t="s">
        <v>41</v>
      </c>
      <c r="J271" t="s">
        <v>61</v>
      </c>
      <c r="K271" t="s">
        <v>51</v>
      </c>
      <c r="L271" t="s">
        <v>52</v>
      </c>
      <c r="M271">
        <v>98</v>
      </c>
      <c r="N271">
        <v>75</v>
      </c>
      <c r="O271">
        <v>7129.5</v>
      </c>
      <c r="P271">
        <v>4312</v>
      </c>
      <c r="Q271">
        <v>2817.5</v>
      </c>
      <c r="R271">
        <v>0.03</v>
      </c>
      <c r="S271" t="s">
        <v>28</v>
      </c>
      <c r="T271">
        <v>143.57</v>
      </c>
    </row>
    <row r="272" spans="1:20" x14ac:dyDescent="0.25">
      <c r="A272">
        <v>100271</v>
      </c>
      <c r="B272" s="6">
        <v>45430</v>
      </c>
      <c r="C272">
        <v>2024</v>
      </c>
      <c r="D272" t="s">
        <v>20</v>
      </c>
      <c r="E272">
        <v>5</v>
      </c>
      <c r="F272" t="s">
        <v>21</v>
      </c>
      <c r="G272" t="s">
        <v>29</v>
      </c>
      <c r="H272" t="s">
        <v>23</v>
      </c>
      <c r="I272" t="s">
        <v>85</v>
      </c>
      <c r="J272" t="s">
        <v>54</v>
      </c>
      <c r="K272" t="s">
        <v>32</v>
      </c>
      <c r="L272" t="s">
        <v>47</v>
      </c>
      <c r="M272">
        <v>50</v>
      </c>
      <c r="N272">
        <v>180</v>
      </c>
      <c r="O272">
        <v>8550</v>
      </c>
      <c r="P272">
        <v>5750</v>
      </c>
      <c r="Q272">
        <v>2800</v>
      </c>
      <c r="R272">
        <v>0.05</v>
      </c>
      <c r="S272" t="s">
        <v>70</v>
      </c>
      <c r="T272">
        <v>426.66</v>
      </c>
    </row>
    <row r="273" spans="1:20" x14ac:dyDescent="0.25">
      <c r="A273">
        <v>100272</v>
      </c>
      <c r="B273" s="6">
        <v>45164</v>
      </c>
      <c r="C273">
        <v>2023</v>
      </c>
      <c r="D273" t="s">
        <v>39</v>
      </c>
      <c r="E273">
        <v>8</v>
      </c>
      <c r="F273" t="s">
        <v>58</v>
      </c>
      <c r="G273" t="s">
        <v>29</v>
      </c>
      <c r="H273" t="s">
        <v>23</v>
      </c>
      <c r="I273" t="s">
        <v>85</v>
      </c>
      <c r="J273" t="s">
        <v>61</v>
      </c>
      <c r="K273" t="s">
        <v>32</v>
      </c>
      <c r="L273" t="s">
        <v>47</v>
      </c>
      <c r="M273">
        <v>21</v>
      </c>
      <c r="N273">
        <v>180</v>
      </c>
      <c r="O273">
        <v>3780</v>
      </c>
      <c r="P273">
        <v>2415</v>
      </c>
      <c r="Q273">
        <v>1365</v>
      </c>
      <c r="R273">
        <v>0</v>
      </c>
      <c r="S273" t="s">
        <v>28</v>
      </c>
      <c r="T273">
        <v>184.24</v>
      </c>
    </row>
    <row r="274" spans="1:20" x14ac:dyDescent="0.25">
      <c r="A274">
        <v>100273</v>
      </c>
      <c r="B274" s="6">
        <v>44966</v>
      </c>
      <c r="C274">
        <v>2023</v>
      </c>
      <c r="D274" t="s">
        <v>63</v>
      </c>
      <c r="E274">
        <v>2</v>
      </c>
      <c r="F274" t="s">
        <v>81</v>
      </c>
      <c r="G274" t="s">
        <v>35</v>
      </c>
      <c r="H274" t="s">
        <v>23</v>
      </c>
      <c r="I274" t="s">
        <v>77</v>
      </c>
      <c r="J274" t="s">
        <v>25</v>
      </c>
      <c r="K274" t="s">
        <v>59</v>
      </c>
      <c r="L274" t="s">
        <v>67</v>
      </c>
      <c r="M274">
        <v>17</v>
      </c>
      <c r="N274">
        <v>95</v>
      </c>
      <c r="O274">
        <v>1485.8</v>
      </c>
      <c r="P274">
        <v>952</v>
      </c>
      <c r="Q274">
        <v>533.79999999999995</v>
      </c>
      <c r="R274">
        <v>0.08</v>
      </c>
      <c r="S274" t="s">
        <v>38</v>
      </c>
      <c r="T274">
        <v>75.760000000000005</v>
      </c>
    </row>
    <row r="275" spans="1:20" x14ac:dyDescent="0.25">
      <c r="A275">
        <v>100274</v>
      </c>
      <c r="B275" s="6">
        <v>45916</v>
      </c>
      <c r="C275">
        <v>2025</v>
      </c>
      <c r="D275" t="s">
        <v>39</v>
      </c>
      <c r="E275">
        <v>9</v>
      </c>
      <c r="F275" t="s">
        <v>40</v>
      </c>
      <c r="G275" t="s">
        <v>35</v>
      </c>
      <c r="H275" t="s">
        <v>23</v>
      </c>
      <c r="I275" t="s">
        <v>36</v>
      </c>
      <c r="J275" t="s">
        <v>31</v>
      </c>
      <c r="K275" t="s">
        <v>32</v>
      </c>
      <c r="L275" t="s">
        <v>47</v>
      </c>
      <c r="M275">
        <v>146</v>
      </c>
      <c r="N275">
        <v>180</v>
      </c>
      <c r="O275">
        <v>24177.599999999999</v>
      </c>
      <c r="P275">
        <v>16790</v>
      </c>
      <c r="Q275">
        <v>7387.6</v>
      </c>
      <c r="R275">
        <v>0.08</v>
      </c>
      <c r="S275" t="s">
        <v>28</v>
      </c>
      <c r="T275">
        <v>1034.47</v>
      </c>
    </row>
    <row r="276" spans="1:20" x14ac:dyDescent="0.25">
      <c r="A276">
        <v>100275</v>
      </c>
      <c r="B276" s="6">
        <v>45939</v>
      </c>
      <c r="C276">
        <v>2025</v>
      </c>
      <c r="D276" t="s">
        <v>43</v>
      </c>
      <c r="E276">
        <v>10</v>
      </c>
      <c r="F276" t="s">
        <v>44</v>
      </c>
      <c r="G276" t="s">
        <v>45</v>
      </c>
      <c r="H276" t="s">
        <v>23</v>
      </c>
      <c r="I276" t="s">
        <v>88</v>
      </c>
      <c r="J276" t="s">
        <v>31</v>
      </c>
      <c r="K276" t="s">
        <v>59</v>
      </c>
      <c r="L276" t="s">
        <v>91</v>
      </c>
      <c r="M276">
        <v>111</v>
      </c>
      <c r="N276">
        <v>140</v>
      </c>
      <c r="O276">
        <v>13986</v>
      </c>
      <c r="P276">
        <v>9102</v>
      </c>
      <c r="Q276">
        <v>4884</v>
      </c>
      <c r="R276">
        <v>0.1</v>
      </c>
      <c r="S276" t="s">
        <v>38</v>
      </c>
      <c r="T276">
        <v>714.51</v>
      </c>
    </row>
    <row r="277" spans="1:20" x14ac:dyDescent="0.25">
      <c r="A277">
        <v>100276</v>
      </c>
      <c r="B277" s="6">
        <v>45057</v>
      </c>
      <c r="C277">
        <v>2023</v>
      </c>
      <c r="D277" t="s">
        <v>20</v>
      </c>
      <c r="E277">
        <v>5</v>
      </c>
      <c r="F277" t="s">
        <v>21</v>
      </c>
      <c r="G277" t="s">
        <v>45</v>
      </c>
      <c r="H277" t="s">
        <v>23</v>
      </c>
      <c r="I277" t="s">
        <v>62</v>
      </c>
      <c r="J277" t="s">
        <v>50</v>
      </c>
      <c r="K277" t="s">
        <v>26</v>
      </c>
      <c r="L277" t="s">
        <v>78</v>
      </c>
      <c r="M277">
        <v>135</v>
      </c>
      <c r="N277">
        <v>95</v>
      </c>
      <c r="O277">
        <v>12440.25</v>
      </c>
      <c r="P277">
        <v>7830</v>
      </c>
      <c r="Q277">
        <v>4610.25</v>
      </c>
      <c r="R277">
        <v>0.03</v>
      </c>
      <c r="S277" t="s">
        <v>28</v>
      </c>
      <c r="T277">
        <v>852.66</v>
      </c>
    </row>
    <row r="278" spans="1:20" x14ac:dyDescent="0.25">
      <c r="A278">
        <v>100277</v>
      </c>
      <c r="B278" s="6">
        <v>45572</v>
      </c>
      <c r="C278">
        <v>2024</v>
      </c>
      <c r="D278" t="s">
        <v>43</v>
      </c>
      <c r="E278">
        <v>10</v>
      </c>
      <c r="F278" t="s">
        <v>44</v>
      </c>
      <c r="G278" t="s">
        <v>22</v>
      </c>
      <c r="H278" t="s">
        <v>23</v>
      </c>
      <c r="I278" t="s">
        <v>65</v>
      </c>
      <c r="J278" t="s">
        <v>68</v>
      </c>
      <c r="K278" t="s">
        <v>51</v>
      </c>
      <c r="L278" t="s">
        <v>52</v>
      </c>
      <c r="M278">
        <v>117</v>
      </c>
      <c r="N278">
        <v>75</v>
      </c>
      <c r="O278">
        <v>8511.75</v>
      </c>
      <c r="P278">
        <v>5148</v>
      </c>
      <c r="Q278">
        <v>3363.75</v>
      </c>
      <c r="R278">
        <v>0.03</v>
      </c>
      <c r="S278" t="s">
        <v>57</v>
      </c>
      <c r="T278">
        <v>295.18</v>
      </c>
    </row>
    <row r="279" spans="1:20" x14ac:dyDescent="0.25">
      <c r="A279">
        <v>100278</v>
      </c>
      <c r="B279" s="6">
        <v>45514</v>
      </c>
      <c r="C279">
        <v>2024</v>
      </c>
      <c r="D279" t="s">
        <v>39</v>
      </c>
      <c r="E279">
        <v>8</v>
      </c>
      <c r="F279" t="s">
        <v>58</v>
      </c>
      <c r="G279" t="s">
        <v>29</v>
      </c>
      <c r="H279" t="s">
        <v>23</v>
      </c>
      <c r="I279" t="s">
        <v>85</v>
      </c>
      <c r="J279" t="s">
        <v>68</v>
      </c>
      <c r="K279" t="s">
        <v>32</v>
      </c>
      <c r="L279" t="s">
        <v>37</v>
      </c>
      <c r="M279">
        <v>43</v>
      </c>
      <c r="N279">
        <v>120</v>
      </c>
      <c r="O279">
        <v>5056.8</v>
      </c>
      <c r="P279">
        <v>3354</v>
      </c>
      <c r="Q279">
        <v>1702.8</v>
      </c>
      <c r="R279">
        <v>0.02</v>
      </c>
      <c r="S279" t="s">
        <v>70</v>
      </c>
      <c r="T279">
        <v>201.11</v>
      </c>
    </row>
    <row r="280" spans="1:20" x14ac:dyDescent="0.25">
      <c r="A280">
        <v>100279</v>
      </c>
      <c r="B280" s="6">
        <v>45205</v>
      </c>
      <c r="C280">
        <v>2023</v>
      </c>
      <c r="D280" t="s">
        <v>43</v>
      </c>
      <c r="E280">
        <v>10</v>
      </c>
      <c r="F280" t="s">
        <v>44</v>
      </c>
      <c r="G280" t="s">
        <v>29</v>
      </c>
      <c r="H280" t="s">
        <v>23</v>
      </c>
      <c r="I280" t="s">
        <v>49</v>
      </c>
      <c r="J280" t="s">
        <v>25</v>
      </c>
      <c r="K280" t="s">
        <v>51</v>
      </c>
      <c r="L280" t="s">
        <v>92</v>
      </c>
      <c r="M280">
        <v>117</v>
      </c>
      <c r="N280">
        <v>50</v>
      </c>
      <c r="O280">
        <v>5674.5</v>
      </c>
      <c r="P280">
        <v>3393</v>
      </c>
      <c r="Q280">
        <v>2281.5</v>
      </c>
      <c r="R280">
        <v>0.03</v>
      </c>
      <c r="S280" t="s">
        <v>38</v>
      </c>
      <c r="T280">
        <v>390.69</v>
      </c>
    </row>
    <row r="281" spans="1:20" x14ac:dyDescent="0.25">
      <c r="A281">
        <v>100280</v>
      </c>
      <c r="B281" s="6">
        <v>45819</v>
      </c>
      <c r="C281">
        <v>2025</v>
      </c>
      <c r="D281" t="s">
        <v>20</v>
      </c>
      <c r="E281">
        <v>6</v>
      </c>
      <c r="F281" t="s">
        <v>48</v>
      </c>
      <c r="G281" t="s">
        <v>29</v>
      </c>
      <c r="H281" t="s">
        <v>23</v>
      </c>
      <c r="I281" t="s">
        <v>85</v>
      </c>
      <c r="J281" t="s">
        <v>50</v>
      </c>
      <c r="K281" t="s">
        <v>51</v>
      </c>
      <c r="L281" t="s">
        <v>72</v>
      </c>
      <c r="M281">
        <v>56</v>
      </c>
      <c r="N281">
        <v>90</v>
      </c>
      <c r="O281">
        <v>5040</v>
      </c>
      <c r="P281">
        <v>2912</v>
      </c>
      <c r="Q281">
        <v>2128</v>
      </c>
      <c r="R281">
        <v>0</v>
      </c>
      <c r="S281" t="s">
        <v>28</v>
      </c>
      <c r="T281">
        <v>312.81</v>
      </c>
    </row>
    <row r="282" spans="1:20" x14ac:dyDescent="0.25">
      <c r="A282">
        <v>100281</v>
      </c>
      <c r="B282" s="6">
        <v>45781</v>
      </c>
      <c r="C282">
        <v>2025</v>
      </c>
      <c r="D282" t="s">
        <v>20</v>
      </c>
      <c r="E282">
        <v>5</v>
      </c>
      <c r="F282" t="s">
        <v>21</v>
      </c>
      <c r="G282" t="s">
        <v>29</v>
      </c>
      <c r="H282" t="s">
        <v>23</v>
      </c>
      <c r="I282" t="s">
        <v>30</v>
      </c>
      <c r="J282" t="s">
        <v>25</v>
      </c>
      <c r="K282" t="s">
        <v>51</v>
      </c>
      <c r="L282" t="s">
        <v>76</v>
      </c>
      <c r="M282">
        <v>56</v>
      </c>
      <c r="N282">
        <v>40</v>
      </c>
      <c r="O282">
        <v>2195.1999999999998</v>
      </c>
      <c r="P282">
        <v>1288</v>
      </c>
      <c r="Q282">
        <v>907.2</v>
      </c>
      <c r="R282">
        <v>0.02</v>
      </c>
      <c r="S282" t="s">
        <v>57</v>
      </c>
      <c r="T282">
        <v>58.6</v>
      </c>
    </row>
    <row r="283" spans="1:20" x14ac:dyDescent="0.25">
      <c r="A283">
        <v>100282</v>
      </c>
      <c r="B283" s="6">
        <v>45875</v>
      </c>
      <c r="C283">
        <v>2025</v>
      </c>
      <c r="D283" t="s">
        <v>39</v>
      </c>
      <c r="E283">
        <v>8</v>
      </c>
      <c r="F283" t="s">
        <v>58</v>
      </c>
      <c r="G283" t="s">
        <v>35</v>
      </c>
      <c r="H283" t="s">
        <v>23</v>
      </c>
      <c r="I283" t="s">
        <v>80</v>
      </c>
      <c r="J283" t="s">
        <v>54</v>
      </c>
      <c r="K283" t="s">
        <v>55</v>
      </c>
      <c r="L283" t="s">
        <v>56</v>
      </c>
      <c r="M283">
        <v>48</v>
      </c>
      <c r="N283">
        <v>320</v>
      </c>
      <c r="O283">
        <v>14131.2</v>
      </c>
      <c r="P283">
        <v>11280</v>
      </c>
      <c r="Q283">
        <v>2851.2</v>
      </c>
      <c r="R283">
        <v>0.08</v>
      </c>
      <c r="S283" t="s">
        <v>38</v>
      </c>
      <c r="T283">
        <v>257.89999999999998</v>
      </c>
    </row>
    <row r="284" spans="1:20" x14ac:dyDescent="0.25">
      <c r="A284">
        <v>100283</v>
      </c>
      <c r="B284" s="6">
        <v>45572</v>
      </c>
      <c r="C284">
        <v>2024</v>
      </c>
      <c r="D284" t="s">
        <v>43</v>
      </c>
      <c r="E284">
        <v>10</v>
      </c>
      <c r="F284" t="s">
        <v>44</v>
      </c>
      <c r="G284" t="s">
        <v>22</v>
      </c>
      <c r="H284" t="s">
        <v>23</v>
      </c>
      <c r="I284" t="s">
        <v>24</v>
      </c>
      <c r="J284" t="s">
        <v>50</v>
      </c>
      <c r="K284" t="s">
        <v>59</v>
      </c>
      <c r="L284" t="s">
        <v>67</v>
      </c>
      <c r="M284">
        <v>107</v>
      </c>
      <c r="N284">
        <v>95</v>
      </c>
      <c r="O284">
        <v>9860.0499999999993</v>
      </c>
      <c r="P284">
        <v>5992</v>
      </c>
      <c r="Q284">
        <v>3868.05</v>
      </c>
      <c r="R284">
        <v>0.03</v>
      </c>
      <c r="S284" t="s">
        <v>38</v>
      </c>
      <c r="T284">
        <v>397.55</v>
      </c>
    </row>
    <row r="285" spans="1:20" x14ac:dyDescent="0.25">
      <c r="A285">
        <v>100284</v>
      </c>
      <c r="B285" s="6">
        <v>45628</v>
      </c>
      <c r="C285">
        <v>2024</v>
      </c>
      <c r="D285" t="s">
        <v>43</v>
      </c>
      <c r="E285">
        <v>12</v>
      </c>
      <c r="F285" t="s">
        <v>83</v>
      </c>
      <c r="G285" t="s">
        <v>22</v>
      </c>
      <c r="H285" t="s">
        <v>23</v>
      </c>
      <c r="I285" t="s">
        <v>24</v>
      </c>
      <c r="J285" t="s">
        <v>66</v>
      </c>
      <c r="K285" t="s">
        <v>55</v>
      </c>
      <c r="L285" t="s">
        <v>84</v>
      </c>
      <c r="M285">
        <v>93</v>
      </c>
      <c r="N285">
        <v>55</v>
      </c>
      <c r="O285">
        <v>5115</v>
      </c>
      <c r="P285">
        <v>3441</v>
      </c>
      <c r="Q285">
        <v>1674</v>
      </c>
      <c r="R285">
        <v>0</v>
      </c>
      <c r="S285" t="s">
        <v>28</v>
      </c>
      <c r="T285">
        <v>195.29</v>
      </c>
    </row>
    <row r="286" spans="1:20" x14ac:dyDescent="0.25">
      <c r="A286">
        <v>100285</v>
      </c>
      <c r="B286" s="6">
        <v>45588</v>
      </c>
      <c r="C286">
        <v>2024</v>
      </c>
      <c r="D286" t="s">
        <v>43</v>
      </c>
      <c r="E286">
        <v>10</v>
      </c>
      <c r="F286" t="s">
        <v>44</v>
      </c>
      <c r="G286" t="s">
        <v>29</v>
      </c>
      <c r="H286" t="s">
        <v>23</v>
      </c>
      <c r="I286" t="s">
        <v>73</v>
      </c>
      <c r="J286" t="s">
        <v>50</v>
      </c>
      <c r="K286" t="s">
        <v>51</v>
      </c>
      <c r="L286" t="s">
        <v>52</v>
      </c>
      <c r="M286">
        <v>140</v>
      </c>
      <c r="N286">
        <v>75</v>
      </c>
      <c r="O286">
        <v>9975</v>
      </c>
      <c r="P286">
        <v>6160</v>
      </c>
      <c r="Q286">
        <v>3815</v>
      </c>
      <c r="R286">
        <v>0.05</v>
      </c>
      <c r="S286" t="s">
        <v>28</v>
      </c>
      <c r="T286">
        <v>591.22</v>
      </c>
    </row>
    <row r="287" spans="1:20" x14ac:dyDescent="0.25">
      <c r="A287">
        <v>100286</v>
      </c>
      <c r="B287" s="6">
        <v>46013</v>
      </c>
      <c r="C287">
        <v>2025</v>
      </c>
      <c r="D287" t="s">
        <v>43</v>
      </c>
      <c r="E287">
        <v>12</v>
      </c>
      <c r="F287" t="s">
        <v>83</v>
      </c>
      <c r="G287" t="s">
        <v>45</v>
      </c>
      <c r="H287" t="s">
        <v>23</v>
      </c>
      <c r="I287" t="s">
        <v>90</v>
      </c>
      <c r="J287" t="s">
        <v>66</v>
      </c>
      <c r="K287" t="s">
        <v>59</v>
      </c>
      <c r="L287" t="s">
        <v>60</v>
      </c>
      <c r="M287">
        <v>28</v>
      </c>
      <c r="N287">
        <v>45</v>
      </c>
      <c r="O287">
        <v>1159.2</v>
      </c>
      <c r="P287">
        <v>756</v>
      </c>
      <c r="Q287">
        <v>403.2</v>
      </c>
      <c r="R287">
        <v>0.08</v>
      </c>
      <c r="S287" t="s">
        <v>38</v>
      </c>
      <c r="T287">
        <v>24.57</v>
      </c>
    </row>
    <row r="288" spans="1:20" x14ac:dyDescent="0.25">
      <c r="A288">
        <v>100287</v>
      </c>
      <c r="B288" s="6">
        <v>45602</v>
      </c>
      <c r="C288">
        <v>2024</v>
      </c>
      <c r="D288" t="s">
        <v>43</v>
      </c>
      <c r="E288">
        <v>11</v>
      </c>
      <c r="F288" t="s">
        <v>87</v>
      </c>
      <c r="G288" t="s">
        <v>29</v>
      </c>
      <c r="H288" t="s">
        <v>23</v>
      </c>
      <c r="I288" t="s">
        <v>73</v>
      </c>
      <c r="J288" t="s">
        <v>61</v>
      </c>
      <c r="K288" t="s">
        <v>51</v>
      </c>
      <c r="L288" t="s">
        <v>72</v>
      </c>
      <c r="M288">
        <v>129</v>
      </c>
      <c r="N288">
        <v>90</v>
      </c>
      <c r="O288">
        <v>11377.8</v>
      </c>
      <c r="P288">
        <v>6708</v>
      </c>
      <c r="Q288">
        <v>4669.8</v>
      </c>
      <c r="R288">
        <v>0.02</v>
      </c>
      <c r="S288" t="s">
        <v>38</v>
      </c>
      <c r="T288">
        <v>686.64</v>
      </c>
    </row>
    <row r="289" spans="1:20" x14ac:dyDescent="0.25">
      <c r="A289">
        <v>100288</v>
      </c>
      <c r="B289" s="6">
        <v>45260</v>
      </c>
      <c r="C289">
        <v>2023</v>
      </c>
      <c r="D289" t="s">
        <v>43</v>
      </c>
      <c r="E289">
        <v>11</v>
      </c>
      <c r="F289" t="s">
        <v>87</v>
      </c>
      <c r="G289" t="s">
        <v>35</v>
      </c>
      <c r="H289" t="s">
        <v>23</v>
      </c>
      <c r="I289" t="s">
        <v>77</v>
      </c>
      <c r="J289" t="s">
        <v>66</v>
      </c>
      <c r="K289" t="s">
        <v>32</v>
      </c>
      <c r="L289" t="s">
        <v>47</v>
      </c>
      <c r="M289">
        <v>17</v>
      </c>
      <c r="N289">
        <v>180</v>
      </c>
      <c r="O289">
        <v>2815.2</v>
      </c>
      <c r="P289">
        <v>1955</v>
      </c>
      <c r="Q289">
        <v>860.2</v>
      </c>
      <c r="R289">
        <v>0.08</v>
      </c>
      <c r="S289" t="s">
        <v>28</v>
      </c>
      <c r="T289">
        <v>93.39</v>
      </c>
    </row>
    <row r="290" spans="1:20" x14ac:dyDescent="0.25">
      <c r="A290">
        <v>100289</v>
      </c>
      <c r="B290" s="6">
        <v>45621</v>
      </c>
      <c r="C290">
        <v>2024</v>
      </c>
      <c r="D290" t="s">
        <v>43</v>
      </c>
      <c r="E290">
        <v>11</v>
      </c>
      <c r="F290" t="s">
        <v>87</v>
      </c>
      <c r="G290" t="s">
        <v>29</v>
      </c>
      <c r="H290" t="s">
        <v>23</v>
      </c>
      <c r="I290" t="s">
        <v>73</v>
      </c>
      <c r="J290" t="s">
        <v>68</v>
      </c>
      <c r="K290" t="s">
        <v>26</v>
      </c>
      <c r="L290" t="s">
        <v>82</v>
      </c>
      <c r="M290">
        <v>21</v>
      </c>
      <c r="N290">
        <v>105</v>
      </c>
      <c r="O290">
        <v>2094.75</v>
      </c>
      <c r="P290">
        <v>1281</v>
      </c>
      <c r="Q290">
        <v>813.75</v>
      </c>
      <c r="R290">
        <v>0.05</v>
      </c>
      <c r="S290" t="s">
        <v>70</v>
      </c>
      <c r="T290">
        <v>146.11000000000001</v>
      </c>
    </row>
    <row r="291" spans="1:20" x14ac:dyDescent="0.25">
      <c r="A291">
        <v>100290</v>
      </c>
      <c r="B291" s="6">
        <v>45587</v>
      </c>
      <c r="C291">
        <v>2024</v>
      </c>
      <c r="D291" t="s">
        <v>43</v>
      </c>
      <c r="E291">
        <v>10</v>
      </c>
      <c r="F291" t="s">
        <v>44</v>
      </c>
      <c r="G291" t="s">
        <v>45</v>
      </c>
      <c r="H291" t="s">
        <v>23</v>
      </c>
      <c r="I291" t="s">
        <v>62</v>
      </c>
      <c r="J291" t="s">
        <v>31</v>
      </c>
      <c r="K291" t="s">
        <v>26</v>
      </c>
      <c r="L291" t="s">
        <v>69</v>
      </c>
      <c r="M291">
        <v>146</v>
      </c>
      <c r="N291">
        <v>130</v>
      </c>
      <c r="O291">
        <v>18031</v>
      </c>
      <c r="P291">
        <v>11096</v>
      </c>
      <c r="Q291">
        <v>6935</v>
      </c>
      <c r="R291">
        <v>0.05</v>
      </c>
      <c r="S291" t="s">
        <v>28</v>
      </c>
      <c r="T291">
        <v>1092.8699999999999</v>
      </c>
    </row>
    <row r="292" spans="1:20" x14ac:dyDescent="0.25">
      <c r="A292">
        <v>100291</v>
      </c>
      <c r="B292" s="6">
        <v>45958</v>
      </c>
      <c r="C292">
        <v>2025</v>
      </c>
      <c r="D292" t="s">
        <v>43</v>
      </c>
      <c r="E292">
        <v>10</v>
      </c>
      <c r="F292" t="s">
        <v>44</v>
      </c>
      <c r="G292" t="s">
        <v>45</v>
      </c>
      <c r="H292" t="s">
        <v>23</v>
      </c>
      <c r="I292" t="s">
        <v>90</v>
      </c>
      <c r="J292" t="s">
        <v>25</v>
      </c>
      <c r="K292" t="s">
        <v>51</v>
      </c>
      <c r="L292" t="s">
        <v>72</v>
      </c>
      <c r="M292">
        <v>85</v>
      </c>
      <c r="N292">
        <v>90</v>
      </c>
      <c r="O292">
        <v>7420.5</v>
      </c>
      <c r="P292">
        <v>4420</v>
      </c>
      <c r="Q292">
        <v>3000.5</v>
      </c>
      <c r="R292">
        <v>0.03</v>
      </c>
      <c r="S292" t="s">
        <v>28</v>
      </c>
      <c r="T292">
        <v>167.43</v>
      </c>
    </row>
    <row r="293" spans="1:20" x14ac:dyDescent="0.25">
      <c r="A293">
        <v>100292</v>
      </c>
      <c r="B293" s="6">
        <v>45531</v>
      </c>
      <c r="C293">
        <v>2024</v>
      </c>
      <c r="D293" t="s">
        <v>39</v>
      </c>
      <c r="E293">
        <v>8</v>
      </c>
      <c r="F293" t="s">
        <v>58</v>
      </c>
      <c r="G293" t="s">
        <v>35</v>
      </c>
      <c r="H293" t="s">
        <v>23</v>
      </c>
      <c r="I293" t="s">
        <v>80</v>
      </c>
      <c r="J293" t="s">
        <v>54</v>
      </c>
      <c r="K293" t="s">
        <v>55</v>
      </c>
      <c r="L293" t="s">
        <v>84</v>
      </c>
      <c r="M293">
        <v>29</v>
      </c>
      <c r="N293">
        <v>55</v>
      </c>
      <c r="O293">
        <v>1515.25</v>
      </c>
      <c r="P293">
        <v>1073</v>
      </c>
      <c r="Q293">
        <v>442.25</v>
      </c>
      <c r="R293">
        <v>0.05</v>
      </c>
      <c r="S293" t="s">
        <v>70</v>
      </c>
      <c r="T293">
        <v>76.03</v>
      </c>
    </row>
    <row r="294" spans="1:20" x14ac:dyDescent="0.25">
      <c r="A294">
        <v>100293</v>
      </c>
      <c r="B294" s="6">
        <v>45466</v>
      </c>
      <c r="C294">
        <v>2024</v>
      </c>
      <c r="D294" t="s">
        <v>20</v>
      </c>
      <c r="E294">
        <v>6</v>
      </c>
      <c r="F294" t="s">
        <v>48</v>
      </c>
      <c r="G294" t="s">
        <v>29</v>
      </c>
      <c r="H294" t="s">
        <v>23</v>
      </c>
      <c r="I294" t="s">
        <v>85</v>
      </c>
      <c r="J294" t="s">
        <v>25</v>
      </c>
      <c r="K294" t="s">
        <v>26</v>
      </c>
      <c r="L294" t="s">
        <v>69</v>
      </c>
      <c r="M294">
        <v>95</v>
      </c>
      <c r="N294">
        <v>130</v>
      </c>
      <c r="O294">
        <v>12103</v>
      </c>
      <c r="P294">
        <v>7220</v>
      </c>
      <c r="Q294">
        <v>4883</v>
      </c>
      <c r="R294">
        <v>0.02</v>
      </c>
      <c r="S294" t="s">
        <v>57</v>
      </c>
      <c r="T294">
        <v>362.32</v>
      </c>
    </row>
    <row r="295" spans="1:20" x14ac:dyDescent="0.25">
      <c r="A295">
        <v>100294</v>
      </c>
      <c r="B295" s="6">
        <v>45140</v>
      </c>
      <c r="C295">
        <v>2023</v>
      </c>
      <c r="D295" t="s">
        <v>39</v>
      </c>
      <c r="E295">
        <v>8</v>
      </c>
      <c r="F295" t="s">
        <v>58</v>
      </c>
      <c r="G295" t="s">
        <v>45</v>
      </c>
      <c r="H295" t="s">
        <v>23</v>
      </c>
      <c r="I295" t="s">
        <v>88</v>
      </c>
      <c r="J295" t="s">
        <v>50</v>
      </c>
      <c r="K295" t="s">
        <v>51</v>
      </c>
      <c r="L295" t="s">
        <v>72</v>
      </c>
      <c r="M295">
        <v>15</v>
      </c>
      <c r="N295">
        <v>90</v>
      </c>
      <c r="O295">
        <v>1350</v>
      </c>
      <c r="P295">
        <v>780</v>
      </c>
      <c r="Q295">
        <v>570</v>
      </c>
      <c r="R295">
        <v>0</v>
      </c>
      <c r="S295" t="s">
        <v>70</v>
      </c>
      <c r="T295">
        <v>30.65</v>
      </c>
    </row>
    <row r="296" spans="1:20" x14ac:dyDescent="0.25">
      <c r="A296">
        <v>100295</v>
      </c>
      <c r="B296" s="6">
        <v>45367</v>
      </c>
      <c r="C296">
        <v>2024</v>
      </c>
      <c r="D296" t="s">
        <v>63</v>
      </c>
      <c r="E296">
        <v>3</v>
      </c>
      <c r="F296" t="s">
        <v>64</v>
      </c>
      <c r="G296" t="s">
        <v>45</v>
      </c>
      <c r="H296" t="s">
        <v>23</v>
      </c>
      <c r="I296" t="s">
        <v>46</v>
      </c>
      <c r="J296" t="s">
        <v>42</v>
      </c>
      <c r="K296" t="s">
        <v>59</v>
      </c>
      <c r="L296" t="s">
        <v>91</v>
      </c>
      <c r="M296">
        <v>44</v>
      </c>
      <c r="N296">
        <v>140</v>
      </c>
      <c r="O296">
        <v>5975.2</v>
      </c>
      <c r="P296">
        <v>3608</v>
      </c>
      <c r="Q296">
        <v>2367.1999999999998</v>
      </c>
      <c r="R296">
        <v>0.03</v>
      </c>
      <c r="S296" t="s">
        <v>70</v>
      </c>
      <c r="T296">
        <v>245.5</v>
      </c>
    </row>
    <row r="297" spans="1:20" x14ac:dyDescent="0.25">
      <c r="A297">
        <v>100296</v>
      </c>
      <c r="B297" s="6">
        <v>45924</v>
      </c>
      <c r="C297">
        <v>2025</v>
      </c>
      <c r="D297" t="s">
        <v>39</v>
      </c>
      <c r="E297">
        <v>9</v>
      </c>
      <c r="F297" t="s">
        <v>40</v>
      </c>
      <c r="G297" t="s">
        <v>45</v>
      </c>
      <c r="H297" t="s">
        <v>23</v>
      </c>
      <c r="I297" t="s">
        <v>88</v>
      </c>
      <c r="J297" t="s">
        <v>54</v>
      </c>
      <c r="K297" t="s">
        <v>32</v>
      </c>
      <c r="L297" t="s">
        <v>47</v>
      </c>
      <c r="M297">
        <v>52</v>
      </c>
      <c r="N297">
        <v>180</v>
      </c>
      <c r="O297">
        <v>8611.2000000000007</v>
      </c>
      <c r="P297">
        <v>5980</v>
      </c>
      <c r="Q297">
        <v>2631.2</v>
      </c>
      <c r="R297">
        <v>0.08</v>
      </c>
      <c r="S297" t="s">
        <v>57</v>
      </c>
      <c r="T297">
        <v>264.10000000000002</v>
      </c>
    </row>
    <row r="298" spans="1:20" x14ac:dyDescent="0.25">
      <c r="A298">
        <v>100297</v>
      </c>
      <c r="B298" s="6">
        <v>45630</v>
      </c>
      <c r="C298">
        <v>2024</v>
      </c>
      <c r="D298" t="s">
        <v>43</v>
      </c>
      <c r="E298">
        <v>12</v>
      </c>
      <c r="F298" t="s">
        <v>83</v>
      </c>
      <c r="G298" t="s">
        <v>35</v>
      </c>
      <c r="H298" t="s">
        <v>23</v>
      </c>
      <c r="I298" t="s">
        <v>36</v>
      </c>
      <c r="J298" t="s">
        <v>42</v>
      </c>
      <c r="K298" t="s">
        <v>51</v>
      </c>
      <c r="L298" t="s">
        <v>76</v>
      </c>
      <c r="M298">
        <v>18</v>
      </c>
      <c r="N298">
        <v>40</v>
      </c>
      <c r="O298">
        <v>662.4</v>
      </c>
      <c r="P298">
        <v>414</v>
      </c>
      <c r="Q298">
        <v>248.4</v>
      </c>
      <c r="R298">
        <v>0.08</v>
      </c>
      <c r="S298" t="s">
        <v>38</v>
      </c>
      <c r="T298">
        <v>20.3</v>
      </c>
    </row>
    <row r="299" spans="1:20" x14ac:dyDescent="0.25">
      <c r="A299">
        <v>100298</v>
      </c>
      <c r="B299" s="6">
        <v>45745</v>
      </c>
      <c r="C299">
        <v>2025</v>
      </c>
      <c r="D299" t="s">
        <v>63</v>
      </c>
      <c r="E299">
        <v>3</v>
      </c>
      <c r="F299" t="s">
        <v>64</v>
      </c>
      <c r="G299" t="s">
        <v>22</v>
      </c>
      <c r="H299" t="s">
        <v>23</v>
      </c>
      <c r="I299" t="s">
        <v>24</v>
      </c>
      <c r="J299" t="s">
        <v>25</v>
      </c>
      <c r="K299" t="s">
        <v>59</v>
      </c>
      <c r="L299" t="s">
        <v>67</v>
      </c>
      <c r="M299">
        <v>150</v>
      </c>
      <c r="N299">
        <v>95</v>
      </c>
      <c r="O299">
        <v>13537.5</v>
      </c>
      <c r="P299">
        <v>8400</v>
      </c>
      <c r="Q299">
        <v>5137.5</v>
      </c>
      <c r="R299">
        <v>0.05</v>
      </c>
      <c r="S299" t="s">
        <v>38</v>
      </c>
      <c r="T299">
        <v>236.46</v>
      </c>
    </row>
    <row r="300" spans="1:20" x14ac:dyDescent="0.25">
      <c r="A300">
        <v>100299</v>
      </c>
      <c r="B300" s="6">
        <v>44927</v>
      </c>
      <c r="C300">
        <v>2023</v>
      </c>
      <c r="D300" t="s">
        <v>63</v>
      </c>
      <c r="E300">
        <v>1</v>
      </c>
      <c r="F300" t="s">
        <v>79</v>
      </c>
      <c r="G300" t="s">
        <v>29</v>
      </c>
      <c r="H300" t="s">
        <v>23</v>
      </c>
      <c r="I300" t="s">
        <v>49</v>
      </c>
      <c r="J300" t="s">
        <v>61</v>
      </c>
      <c r="K300" t="s">
        <v>26</v>
      </c>
      <c r="L300" t="s">
        <v>82</v>
      </c>
      <c r="M300">
        <v>118</v>
      </c>
      <c r="N300">
        <v>105</v>
      </c>
      <c r="O300">
        <v>11770.5</v>
      </c>
      <c r="P300">
        <v>7198</v>
      </c>
      <c r="Q300">
        <v>4572.5</v>
      </c>
      <c r="R300">
        <v>0.05</v>
      </c>
      <c r="S300" t="s">
        <v>57</v>
      </c>
      <c r="T300">
        <v>376.84</v>
      </c>
    </row>
    <row r="301" spans="1:20" x14ac:dyDescent="0.25">
      <c r="A301">
        <v>100300</v>
      </c>
      <c r="B301" s="6">
        <v>45914</v>
      </c>
      <c r="C301">
        <v>2025</v>
      </c>
      <c r="D301" t="s">
        <v>39</v>
      </c>
      <c r="E301">
        <v>9</v>
      </c>
      <c r="F301" t="s">
        <v>40</v>
      </c>
      <c r="G301" t="s">
        <v>35</v>
      </c>
      <c r="H301" t="s">
        <v>23</v>
      </c>
      <c r="I301" t="s">
        <v>77</v>
      </c>
      <c r="J301" t="s">
        <v>42</v>
      </c>
      <c r="K301" t="s">
        <v>32</v>
      </c>
      <c r="L301" t="s">
        <v>74</v>
      </c>
      <c r="M301">
        <v>96</v>
      </c>
      <c r="N301">
        <v>25</v>
      </c>
      <c r="O301">
        <v>2280</v>
      </c>
      <c r="P301">
        <v>1344</v>
      </c>
      <c r="Q301">
        <v>936</v>
      </c>
      <c r="R301">
        <v>0.05</v>
      </c>
      <c r="S301" t="s">
        <v>70</v>
      </c>
      <c r="T301">
        <v>138.22999999999999</v>
      </c>
    </row>
    <row r="302" spans="1:20" x14ac:dyDescent="0.25">
      <c r="A302">
        <v>100301</v>
      </c>
      <c r="B302" s="6">
        <v>45776</v>
      </c>
      <c r="C302">
        <v>2025</v>
      </c>
      <c r="D302" t="s">
        <v>20</v>
      </c>
      <c r="E302">
        <v>4</v>
      </c>
      <c r="F302" t="s">
        <v>34</v>
      </c>
      <c r="G302" t="s">
        <v>35</v>
      </c>
      <c r="H302" t="s">
        <v>23</v>
      </c>
      <c r="I302" t="s">
        <v>36</v>
      </c>
      <c r="J302" t="s">
        <v>54</v>
      </c>
      <c r="K302" t="s">
        <v>26</v>
      </c>
      <c r="L302" t="s">
        <v>27</v>
      </c>
      <c r="M302">
        <v>136</v>
      </c>
      <c r="N302">
        <v>110</v>
      </c>
      <c r="O302">
        <v>14212</v>
      </c>
      <c r="P302">
        <v>9248</v>
      </c>
      <c r="Q302">
        <v>4964</v>
      </c>
      <c r="R302">
        <v>0.05</v>
      </c>
      <c r="S302" t="s">
        <v>70</v>
      </c>
      <c r="T302">
        <v>285.32</v>
      </c>
    </row>
    <row r="303" spans="1:20" x14ac:dyDescent="0.25">
      <c r="A303">
        <v>100302</v>
      </c>
      <c r="B303" s="6">
        <v>45258</v>
      </c>
      <c r="C303">
        <v>2023</v>
      </c>
      <c r="D303" t="s">
        <v>43</v>
      </c>
      <c r="E303">
        <v>11</v>
      </c>
      <c r="F303" t="s">
        <v>87</v>
      </c>
      <c r="G303" t="s">
        <v>35</v>
      </c>
      <c r="H303" t="s">
        <v>23</v>
      </c>
      <c r="I303" t="s">
        <v>53</v>
      </c>
      <c r="J303" t="s">
        <v>68</v>
      </c>
      <c r="K303" t="s">
        <v>51</v>
      </c>
      <c r="L303" t="s">
        <v>52</v>
      </c>
      <c r="M303">
        <v>11</v>
      </c>
      <c r="N303">
        <v>75</v>
      </c>
      <c r="O303">
        <v>783.75</v>
      </c>
      <c r="P303">
        <v>484</v>
      </c>
      <c r="Q303">
        <v>299.75</v>
      </c>
      <c r="R303">
        <v>0.05</v>
      </c>
      <c r="S303" t="s">
        <v>28</v>
      </c>
      <c r="T303">
        <v>41.01</v>
      </c>
    </row>
    <row r="304" spans="1:20" x14ac:dyDescent="0.25">
      <c r="A304">
        <v>100303</v>
      </c>
      <c r="B304" s="6">
        <v>45836</v>
      </c>
      <c r="C304">
        <v>2025</v>
      </c>
      <c r="D304" t="s">
        <v>20</v>
      </c>
      <c r="E304">
        <v>6</v>
      </c>
      <c r="F304" t="s">
        <v>48</v>
      </c>
      <c r="G304" t="s">
        <v>35</v>
      </c>
      <c r="H304" t="s">
        <v>23</v>
      </c>
      <c r="I304" t="s">
        <v>53</v>
      </c>
      <c r="J304" t="s">
        <v>25</v>
      </c>
      <c r="K304" t="s">
        <v>55</v>
      </c>
      <c r="L304" t="s">
        <v>93</v>
      </c>
      <c r="M304">
        <v>48</v>
      </c>
      <c r="N304">
        <v>60</v>
      </c>
      <c r="O304">
        <v>2649.6</v>
      </c>
      <c r="P304">
        <v>2016</v>
      </c>
      <c r="Q304">
        <v>633.6</v>
      </c>
      <c r="R304">
        <v>0.08</v>
      </c>
      <c r="S304" t="s">
        <v>57</v>
      </c>
      <c r="T304">
        <v>145.25</v>
      </c>
    </row>
    <row r="305" spans="1:20" x14ac:dyDescent="0.25">
      <c r="A305">
        <v>100304</v>
      </c>
      <c r="B305" s="6">
        <v>45313</v>
      </c>
      <c r="C305">
        <v>2024</v>
      </c>
      <c r="D305" t="s">
        <v>63</v>
      </c>
      <c r="E305">
        <v>1</v>
      </c>
      <c r="F305" t="s">
        <v>79</v>
      </c>
      <c r="G305" t="s">
        <v>29</v>
      </c>
      <c r="H305" t="s">
        <v>23</v>
      </c>
      <c r="I305" t="s">
        <v>85</v>
      </c>
      <c r="J305" t="s">
        <v>61</v>
      </c>
      <c r="K305" t="s">
        <v>32</v>
      </c>
      <c r="L305" t="s">
        <v>37</v>
      </c>
      <c r="M305">
        <v>21</v>
      </c>
      <c r="N305">
        <v>120</v>
      </c>
      <c r="O305">
        <v>2469.6</v>
      </c>
      <c r="P305">
        <v>1638</v>
      </c>
      <c r="Q305">
        <v>831.6</v>
      </c>
      <c r="R305">
        <v>0.02</v>
      </c>
      <c r="S305" t="s">
        <v>38</v>
      </c>
      <c r="T305">
        <v>103.06</v>
      </c>
    </row>
    <row r="306" spans="1:20" x14ac:dyDescent="0.25">
      <c r="A306">
        <v>100305</v>
      </c>
      <c r="B306" s="6">
        <v>45500</v>
      </c>
      <c r="C306">
        <v>2024</v>
      </c>
      <c r="D306" t="s">
        <v>39</v>
      </c>
      <c r="E306">
        <v>7</v>
      </c>
      <c r="F306" t="s">
        <v>75</v>
      </c>
      <c r="G306" t="s">
        <v>45</v>
      </c>
      <c r="H306" t="s">
        <v>23</v>
      </c>
      <c r="I306" t="s">
        <v>90</v>
      </c>
      <c r="J306" t="s">
        <v>68</v>
      </c>
      <c r="K306" t="s">
        <v>51</v>
      </c>
      <c r="L306" t="s">
        <v>52</v>
      </c>
      <c r="M306">
        <v>47</v>
      </c>
      <c r="N306">
        <v>75</v>
      </c>
      <c r="O306">
        <v>3243</v>
      </c>
      <c r="P306">
        <v>2068</v>
      </c>
      <c r="Q306">
        <v>1175</v>
      </c>
      <c r="R306">
        <v>0.08</v>
      </c>
      <c r="S306" t="s">
        <v>70</v>
      </c>
      <c r="T306">
        <v>172.16</v>
      </c>
    </row>
    <row r="307" spans="1:20" x14ac:dyDescent="0.25">
      <c r="A307">
        <v>100306</v>
      </c>
      <c r="B307" s="6">
        <v>45301</v>
      </c>
      <c r="C307">
        <v>2024</v>
      </c>
      <c r="D307" t="s">
        <v>63</v>
      </c>
      <c r="E307">
        <v>1</v>
      </c>
      <c r="F307" t="s">
        <v>79</v>
      </c>
      <c r="G307" t="s">
        <v>45</v>
      </c>
      <c r="H307" t="s">
        <v>23</v>
      </c>
      <c r="I307" t="s">
        <v>46</v>
      </c>
      <c r="J307" t="s">
        <v>50</v>
      </c>
      <c r="K307" t="s">
        <v>55</v>
      </c>
      <c r="L307" t="s">
        <v>84</v>
      </c>
      <c r="M307">
        <v>117</v>
      </c>
      <c r="N307">
        <v>55</v>
      </c>
      <c r="O307">
        <v>6113.25</v>
      </c>
      <c r="P307">
        <v>4329</v>
      </c>
      <c r="Q307">
        <v>1784.25</v>
      </c>
      <c r="R307">
        <v>0.05</v>
      </c>
      <c r="S307" t="s">
        <v>70</v>
      </c>
      <c r="T307">
        <v>368.22</v>
      </c>
    </row>
    <row r="308" spans="1:20" x14ac:dyDescent="0.25">
      <c r="A308">
        <v>100307</v>
      </c>
      <c r="B308" s="6">
        <v>45991</v>
      </c>
      <c r="C308">
        <v>2025</v>
      </c>
      <c r="D308" t="s">
        <v>43</v>
      </c>
      <c r="E308">
        <v>11</v>
      </c>
      <c r="F308" t="s">
        <v>87</v>
      </c>
      <c r="G308" t="s">
        <v>22</v>
      </c>
      <c r="H308" t="s">
        <v>23</v>
      </c>
      <c r="I308" t="s">
        <v>24</v>
      </c>
      <c r="J308" t="s">
        <v>31</v>
      </c>
      <c r="K308" t="s">
        <v>51</v>
      </c>
      <c r="L308" t="s">
        <v>72</v>
      </c>
      <c r="M308">
        <v>66</v>
      </c>
      <c r="N308">
        <v>90</v>
      </c>
      <c r="O308">
        <v>5940</v>
      </c>
      <c r="P308">
        <v>3432</v>
      </c>
      <c r="Q308">
        <v>2508</v>
      </c>
      <c r="R308">
        <v>0</v>
      </c>
      <c r="S308" t="s">
        <v>38</v>
      </c>
      <c r="T308">
        <v>217.48</v>
      </c>
    </row>
    <row r="309" spans="1:20" x14ac:dyDescent="0.25">
      <c r="A309">
        <v>100308</v>
      </c>
      <c r="B309" s="6">
        <v>45366</v>
      </c>
      <c r="C309">
        <v>2024</v>
      </c>
      <c r="D309" t="s">
        <v>63</v>
      </c>
      <c r="E309">
        <v>3</v>
      </c>
      <c r="F309" t="s">
        <v>64</v>
      </c>
      <c r="G309" t="s">
        <v>29</v>
      </c>
      <c r="H309" t="s">
        <v>23</v>
      </c>
      <c r="I309" t="s">
        <v>73</v>
      </c>
      <c r="J309" t="s">
        <v>25</v>
      </c>
      <c r="K309" t="s">
        <v>59</v>
      </c>
      <c r="L309" t="s">
        <v>60</v>
      </c>
      <c r="M309">
        <v>65</v>
      </c>
      <c r="N309">
        <v>45</v>
      </c>
      <c r="O309">
        <v>2778.75</v>
      </c>
      <c r="P309">
        <v>1755</v>
      </c>
      <c r="Q309">
        <v>1023.75</v>
      </c>
      <c r="R309">
        <v>0.05</v>
      </c>
      <c r="S309" t="s">
        <v>38</v>
      </c>
      <c r="T309">
        <v>186.36</v>
      </c>
    </row>
    <row r="310" spans="1:20" x14ac:dyDescent="0.25">
      <c r="A310">
        <v>100309</v>
      </c>
      <c r="B310" s="6">
        <v>45840</v>
      </c>
      <c r="C310">
        <v>2025</v>
      </c>
      <c r="D310" t="s">
        <v>39</v>
      </c>
      <c r="E310">
        <v>7</v>
      </c>
      <c r="F310" t="s">
        <v>75</v>
      </c>
      <c r="G310" t="s">
        <v>29</v>
      </c>
      <c r="H310" t="s">
        <v>23</v>
      </c>
      <c r="I310" t="s">
        <v>30</v>
      </c>
      <c r="J310" t="s">
        <v>31</v>
      </c>
      <c r="K310" t="s">
        <v>51</v>
      </c>
      <c r="L310" t="s">
        <v>52</v>
      </c>
      <c r="M310">
        <v>135</v>
      </c>
      <c r="N310">
        <v>75</v>
      </c>
      <c r="O310">
        <v>9618.75</v>
      </c>
      <c r="P310">
        <v>5940</v>
      </c>
      <c r="Q310">
        <v>3678.75</v>
      </c>
      <c r="R310">
        <v>0.05</v>
      </c>
      <c r="S310" t="s">
        <v>70</v>
      </c>
      <c r="T310">
        <v>197.85</v>
      </c>
    </row>
    <row r="311" spans="1:20" x14ac:dyDescent="0.25">
      <c r="A311">
        <v>100310</v>
      </c>
      <c r="B311" s="6">
        <v>45856</v>
      </c>
      <c r="C311">
        <v>2025</v>
      </c>
      <c r="D311" t="s">
        <v>39</v>
      </c>
      <c r="E311">
        <v>7</v>
      </c>
      <c r="F311" t="s">
        <v>75</v>
      </c>
      <c r="G311" t="s">
        <v>29</v>
      </c>
      <c r="H311" t="s">
        <v>23</v>
      </c>
      <c r="I311" t="s">
        <v>49</v>
      </c>
      <c r="J311" t="s">
        <v>68</v>
      </c>
      <c r="K311" t="s">
        <v>59</v>
      </c>
      <c r="L311" t="s">
        <v>86</v>
      </c>
      <c r="M311">
        <v>74</v>
      </c>
      <c r="N311">
        <v>160</v>
      </c>
      <c r="O311">
        <v>11840</v>
      </c>
      <c r="P311">
        <v>7030</v>
      </c>
      <c r="Q311">
        <v>4810</v>
      </c>
      <c r="R311">
        <v>0</v>
      </c>
      <c r="S311" t="s">
        <v>70</v>
      </c>
      <c r="T311">
        <v>286.58</v>
      </c>
    </row>
    <row r="312" spans="1:20" x14ac:dyDescent="0.25">
      <c r="A312">
        <v>100311</v>
      </c>
      <c r="B312" s="6">
        <v>45369</v>
      </c>
      <c r="C312">
        <v>2024</v>
      </c>
      <c r="D312" t="s">
        <v>63</v>
      </c>
      <c r="E312">
        <v>3</v>
      </c>
      <c r="F312" t="s">
        <v>64</v>
      </c>
      <c r="G312" t="s">
        <v>22</v>
      </c>
      <c r="H312" t="s">
        <v>23</v>
      </c>
      <c r="I312" t="s">
        <v>24</v>
      </c>
      <c r="J312" t="s">
        <v>68</v>
      </c>
      <c r="K312" t="s">
        <v>32</v>
      </c>
      <c r="L312" t="s">
        <v>33</v>
      </c>
      <c r="M312">
        <v>116</v>
      </c>
      <c r="N312">
        <v>60</v>
      </c>
      <c r="O312">
        <v>6751.2</v>
      </c>
      <c r="P312">
        <v>4408</v>
      </c>
      <c r="Q312">
        <v>2343.1999999999998</v>
      </c>
      <c r="R312">
        <v>0.03</v>
      </c>
      <c r="S312" t="s">
        <v>38</v>
      </c>
      <c r="T312">
        <v>160.69</v>
      </c>
    </row>
    <row r="313" spans="1:20" x14ac:dyDescent="0.25">
      <c r="A313">
        <v>100312</v>
      </c>
      <c r="B313" s="6">
        <v>45051</v>
      </c>
      <c r="C313">
        <v>2023</v>
      </c>
      <c r="D313" t="s">
        <v>20</v>
      </c>
      <c r="E313">
        <v>5</v>
      </c>
      <c r="F313" t="s">
        <v>21</v>
      </c>
      <c r="G313" t="s">
        <v>22</v>
      </c>
      <c r="H313" t="s">
        <v>23</v>
      </c>
      <c r="I313" t="s">
        <v>71</v>
      </c>
      <c r="J313" t="s">
        <v>61</v>
      </c>
      <c r="K313" t="s">
        <v>51</v>
      </c>
      <c r="L313" t="s">
        <v>92</v>
      </c>
      <c r="M313">
        <v>131</v>
      </c>
      <c r="N313">
        <v>50</v>
      </c>
      <c r="O313">
        <v>6550</v>
      </c>
      <c r="P313">
        <v>3799</v>
      </c>
      <c r="Q313">
        <v>2751</v>
      </c>
      <c r="R313">
        <v>0</v>
      </c>
      <c r="S313" t="s">
        <v>70</v>
      </c>
      <c r="T313">
        <v>442.62</v>
      </c>
    </row>
    <row r="314" spans="1:20" x14ac:dyDescent="0.25">
      <c r="A314">
        <v>100313</v>
      </c>
      <c r="B314" s="6">
        <v>45572</v>
      </c>
      <c r="C314">
        <v>2024</v>
      </c>
      <c r="D314" t="s">
        <v>43</v>
      </c>
      <c r="E314">
        <v>10</v>
      </c>
      <c r="F314" t="s">
        <v>44</v>
      </c>
      <c r="G314" t="s">
        <v>29</v>
      </c>
      <c r="H314" t="s">
        <v>23</v>
      </c>
      <c r="I314" t="s">
        <v>85</v>
      </c>
      <c r="J314" t="s">
        <v>50</v>
      </c>
      <c r="K314" t="s">
        <v>26</v>
      </c>
      <c r="L314" t="s">
        <v>27</v>
      </c>
      <c r="M314">
        <v>38</v>
      </c>
      <c r="N314">
        <v>110</v>
      </c>
      <c r="O314">
        <v>4096.3999999999996</v>
      </c>
      <c r="P314">
        <v>2584</v>
      </c>
      <c r="Q314">
        <v>1512.4</v>
      </c>
      <c r="R314">
        <v>0.02</v>
      </c>
      <c r="S314" t="s">
        <v>38</v>
      </c>
      <c r="T314">
        <v>277.99</v>
      </c>
    </row>
    <row r="315" spans="1:20" x14ac:dyDescent="0.25">
      <c r="A315">
        <v>100314</v>
      </c>
      <c r="B315" s="6">
        <v>45934</v>
      </c>
      <c r="C315">
        <v>2025</v>
      </c>
      <c r="D315" t="s">
        <v>43</v>
      </c>
      <c r="E315">
        <v>10</v>
      </c>
      <c r="F315" t="s">
        <v>44</v>
      </c>
      <c r="G315" t="s">
        <v>35</v>
      </c>
      <c r="H315" t="s">
        <v>23</v>
      </c>
      <c r="I315" t="s">
        <v>80</v>
      </c>
      <c r="J315" t="s">
        <v>61</v>
      </c>
      <c r="K315" t="s">
        <v>55</v>
      </c>
      <c r="L315" t="s">
        <v>93</v>
      </c>
      <c r="M315">
        <v>58</v>
      </c>
      <c r="N315">
        <v>60</v>
      </c>
      <c r="O315">
        <v>3375.6</v>
      </c>
      <c r="P315">
        <v>2436</v>
      </c>
      <c r="Q315">
        <v>939.6</v>
      </c>
      <c r="R315">
        <v>0.03</v>
      </c>
      <c r="S315" t="s">
        <v>57</v>
      </c>
      <c r="T315">
        <v>81.89</v>
      </c>
    </row>
    <row r="316" spans="1:20" x14ac:dyDescent="0.25">
      <c r="A316">
        <v>100315</v>
      </c>
      <c r="B316" s="6">
        <v>45873</v>
      </c>
      <c r="C316">
        <v>2025</v>
      </c>
      <c r="D316" t="s">
        <v>39</v>
      </c>
      <c r="E316">
        <v>8</v>
      </c>
      <c r="F316" t="s">
        <v>58</v>
      </c>
      <c r="G316" t="s">
        <v>22</v>
      </c>
      <c r="H316" t="s">
        <v>23</v>
      </c>
      <c r="I316" t="s">
        <v>41</v>
      </c>
      <c r="J316" t="s">
        <v>54</v>
      </c>
      <c r="K316" t="s">
        <v>26</v>
      </c>
      <c r="L316" t="s">
        <v>27</v>
      </c>
      <c r="M316">
        <v>60</v>
      </c>
      <c r="N316">
        <v>110</v>
      </c>
      <c r="O316">
        <v>6600</v>
      </c>
      <c r="P316">
        <v>4080</v>
      </c>
      <c r="Q316">
        <v>2520</v>
      </c>
      <c r="R316">
        <v>0</v>
      </c>
      <c r="S316" t="s">
        <v>38</v>
      </c>
      <c r="T316">
        <v>283.2</v>
      </c>
    </row>
    <row r="317" spans="1:20" x14ac:dyDescent="0.25">
      <c r="A317">
        <v>100316</v>
      </c>
      <c r="B317" s="6">
        <v>45226</v>
      </c>
      <c r="C317">
        <v>2023</v>
      </c>
      <c r="D317" t="s">
        <v>43</v>
      </c>
      <c r="E317">
        <v>10</v>
      </c>
      <c r="F317" t="s">
        <v>44</v>
      </c>
      <c r="G317" t="s">
        <v>22</v>
      </c>
      <c r="H317" t="s">
        <v>23</v>
      </c>
      <c r="I317" t="s">
        <v>24</v>
      </c>
      <c r="J317" t="s">
        <v>61</v>
      </c>
      <c r="K317" t="s">
        <v>59</v>
      </c>
      <c r="L317" t="s">
        <v>60</v>
      </c>
      <c r="M317">
        <v>101</v>
      </c>
      <c r="N317">
        <v>45</v>
      </c>
      <c r="O317">
        <v>4317.75</v>
      </c>
      <c r="P317">
        <v>2727</v>
      </c>
      <c r="Q317">
        <v>1590.75</v>
      </c>
      <c r="R317">
        <v>0.05</v>
      </c>
      <c r="S317" t="s">
        <v>70</v>
      </c>
      <c r="T317">
        <v>302.17</v>
      </c>
    </row>
    <row r="318" spans="1:20" x14ac:dyDescent="0.25">
      <c r="A318">
        <v>100317</v>
      </c>
      <c r="B318" s="6">
        <v>45065</v>
      </c>
      <c r="C318">
        <v>2023</v>
      </c>
      <c r="D318" t="s">
        <v>20</v>
      </c>
      <c r="E318">
        <v>5</v>
      </c>
      <c r="F318" t="s">
        <v>21</v>
      </c>
      <c r="G318" t="s">
        <v>29</v>
      </c>
      <c r="H318" t="s">
        <v>23</v>
      </c>
      <c r="I318" t="s">
        <v>30</v>
      </c>
      <c r="J318" t="s">
        <v>68</v>
      </c>
      <c r="K318" t="s">
        <v>26</v>
      </c>
      <c r="L318" t="s">
        <v>69</v>
      </c>
      <c r="M318">
        <v>91</v>
      </c>
      <c r="N318">
        <v>130</v>
      </c>
      <c r="O318">
        <v>11238.5</v>
      </c>
      <c r="P318">
        <v>6916</v>
      </c>
      <c r="Q318">
        <v>4322.5</v>
      </c>
      <c r="R318">
        <v>0.05</v>
      </c>
      <c r="S318" t="s">
        <v>70</v>
      </c>
      <c r="T318">
        <v>520.52</v>
      </c>
    </row>
    <row r="319" spans="1:20" x14ac:dyDescent="0.25">
      <c r="A319">
        <v>100318</v>
      </c>
      <c r="B319" s="6">
        <v>45925</v>
      </c>
      <c r="C319">
        <v>2025</v>
      </c>
      <c r="D319" t="s">
        <v>39</v>
      </c>
      <c r="E319">
        <v>9</v>
      </c>
      <c r="F319" t="s">
        <v>40</v>
      </c>
      <c r="G319" t="s">
        <v>45</v>
      </c>
      <c r="H319" t="s">
        <v>23</v>
      </c>
      <c r="I319" t="s">
        <v>62</v>
      </c>
      <c r="J319" t="s">
        <v>31</v>
      </c>
      <c r="K319" t="s">
        <v>32</v>
      </c>
      <c r="L319" t="s">
        <v>37</v>
      </c>
      <c r="M319">
        <v>110</v>
      </c>
      <c r="N319">
        <v>120</v>
      </c>
      <c r="O319">
        <v>12804</v>
      </c>
      <c r="P319">
        <v>8580</v>
      </c>
      <c r="Q319">
        <v>4224</v>
      </c>
      <c r="R319">
        <v>0.03</v>
      </c>
      <c r="S319" t="s">
        <v>70</v>
      </c>
      <c r="T319">
        <v>352.45</v>
      </c>
    </row>
    <row r="320" spans="1:20" x14ac:dyDescent="0.25">
      <c r="A320">
        <v>100319</v>
      </c>
      <c r="B320" s="6">
        <v>45193</v>
      </c>
      <c r="C320">
        <v>2023</v>
      </c>
      <c r="D320" t="s">
        <v>39</v>
      </c>
      <c r="E320">
        <v>9</v>
      </c>
      <c r="F320" t="s">
        <v>40</v>
      </c>
      <c r="G320" t="s">
        <v>35</v>
      </c>
      <c r="H320" t="s">
        <v>23</v>
      </c>
      <c r="I320" t="s">
        <v>77</v>
      </c>
      <c r="J320" t="s">
        <v>31</v>
      </c>
      <c r="K320" t="s">
        <v>51</v>
      </c>
      <c r="L320" t="s">
        <v>76</v>
      </c>
      <c r="M320">
        <v>148</v>
      </c>
      <c r="N320">
        <v>40</v>
      </c>
      <c r="O320">
        <v>5742.4</v>
      </c>
      <c r="P320">
        <v>3404</v>
      </c>
      <c r="Q320">
        <v>2338.4</v>
      </c>
      <c r="R320">
        <v>0.03</v>
      </c>
      <c r="S320" t="s">
        <v>38</v>
      </c>
      <c r="T320">
        <v>104.37</v>
      </c>
    </row>
    <row r="321" spans="1:20" x14ac:dyDescent="0.25">
      <c r="A321">
        <v>100320</v>
      </c>
      <c r="B321" s="6">
        <v>45484</v>
      </c>
      <c r="C321">
        <v>2024</v>
      </c>
      <c r="D321" t="s">
        <v>39</v>
      </c>
      <c r="E321">
        <v>7</v>
      </c>
      <c r="F321" t="s">
        <v>75</v>
      </c>
      <c r="G321" t="s">
        <v>35</v>
      </c>
      <c r="H321" t="s">
        <v>23</v>
      </c>
      <c r="I321" t="s">
        <v>80</v>
      </c>
      <c r="J321" t="s">
        <v>66</v>
      </c>
      <c r="K321" t="s">
        <v>55</v>
      </c>
      <c r="L321" t="s">
        <v>89</v>
      </c>
      <c r="M321">
        <v>57</v>
      </c>
      <c r="N321">
        <v>280</v>
      </c>
      <c r="O321">
        <v>15960</v>
      </c>
      <c r="P321">
        <v>11685</v>
      </c>
      <c r="Q321">
        <v>4275</v>
      </c>
      <c r="R321">
        <v>0</v>
      </c>
      <c r="S321" t="s">
        <v>70</v>
      </c>
      <c r="T321">
        <v>901.81</v>
      </c>
    </row>
    <row r="322" spans="1:20" x14ac:dyDescent="0.25">
      <c r="A322">
        <v>100321</v>
      </c>
      <c r="B322" s="6">
        <v>45333</v>
      </c>
      <c r="C322">
        <v>2024</v>
      </c>
      <c r="D322" t="s">
        <v>63</v>
      </c>
      <c r="E322">
        <v>2</v>
      </c>
      <c r="F322" t="s">
        <v>81</v>
      </c>
      <c r="G322" t="s">
        <v>22</v>
      </c>
      <c r="H322" t="s">
        <v>23</v>
      </c>
      <c r="I322" t="s">
        <v>24</v>
      </c>
      <c r="J322" t="s">
        <v>54</v>
      </c>
      <c r="K322" t="s">
        <v>59</v>
      </c>
      <c r="L322" t="s">
        <v>60</v>
      </c>
      <c r="M322">
        <v>91</v>
      </c>
      <c r="N322">
        <v>45</v>
      </c>
      <c r="O322">
        <v>3972.15</v>
      </c>
      <c r="P322">
        <v>2457</v>
      </c>
      <c r="Q322">
        <v>1515.15</v>
      </c>
      <c r="R322">
        <v>0.03</v>
      </c>
      <c r="S322" t="s">
        <v>70</v>
      </c>
      <c r="T322">
        <v>191.13</v>
      </c>
    </row>
    <row r="323" spans="1:20" x14ac:dyDescent="0.25">
      <c r="A323">
        <v>100322</v>
      </c>
      <c r="B323" s="6">
        <v>45291</v>
      </c>
      <c r="C323">
        <v>2023</v>
      </c>
      <c r="D323" t="s">
        <v>43</v>
      </c>
      <c r="E323">
        <v>12</v>
      </c>
      <c r="F323" t="s">
        <v>83</v>
      </c>
      <c r="G323" t="s">
        <v>22</v>
      </c>
      <c r="H323" t="s">
        <v>23</v>
      </c>
      <c r="I323" t="s">
        <v>65</v>
      </c>
      <c r="J323" t="s">
        <v>42</v>
      </c>
      <c r="K323" t="s">
        <v>55</v>
      </c>
      <c r="L323" t="s">
        <v>56</v>
      </c>
      <c r="M323">
        <v>125</v>
      </c>
      <c r="N323">
        <v>320</v>
      </c>
      <c r="O323">
        <v>40000</v>
      </c>
      <c r="P323">
        <v>29375</v>
      </c>
      <c r="Q323">
        <v>10625</v>
      </c>
      <c r="R323">
        <v>0</v>
      </c>
      <c r="S323" t="s">
        <v>28</v>
      </c>
      <c r="T323">
        <v>2008.44</v>
      </c>
    </row>
    <row r="324" spans="1:20" x14ac:dyDescent="0.25">
      <c r="A324">
        <v>100323</v>
      </c>
      <c r="B324" s="6">
        <v>45073</v>
      </c>
      <c r="C324">
        <v>2023</v>
      </c>
      <c r="D324" t="s">
        <v>20</v>
      </c>
      <c r="E324">
        <v>5</v>
      </c>
      <c r="F324" t="s">
        <v>21</v>
      </c>
      <c r="G324" t="s">
        <v>22</v>
      </c>
      <c r="H324" t="s">
        <v>23</v>
      </c>
      <c r="I324" t="s">
        <v>41</v>
      </c>
      <c r="J324" t="s">
        <v>54</v>
      </c>
      <c r="K324" t="s">
        <v>51</v>
      </c>
      <c r="L324" t="s">
        <v>92</v>
      </c>
      <c r="M324">
        <v>22</v>
      </c>
      <c r="N324">
        <v>50</v>
      </c>
      <c r="O324">
        <v>990</v>
      </c>
      <c r="P324">
        <v>638</v>
      </c>
      <c r="Q324">
        <v>352</v>
      </c>
      <c r="R324">
        <v>0.1</v>
      </c>
      <c r="S324" t="s">
        <v>38</v>
      </c>
      <c r="T324">
        <v>26.87</v>
      </c>
    </row>
    <row r="325" spans="1:20" x14ac:dyDescent="0.25">
      <c r="A325">
        <v>100324</v>
      </c>
      <c r="B325" s="6">
        <v>45406</v>
      </c>
      <c r="C325">
        <v>2024</v>
      </c>
      <c r="D325" t="s">
        <v>20</v>
      </c>
      <c r="E325">
        <v>4</v>
      </c>
      <c r="F325" t="s">
        <v>34</v>
      </c>
      <c r="G325" t="s">
        <v>35</v>
      </c>
      <c r="H325" t="s">
        <v>23</v>
      </c>
      <c r="I325" t="s">
        <v>77</v>
      </c>
      <c r="J325" t="s">
        <v>61</v>
      </c>
      <c r="K325" t="s">
        <v>32</v>
      </c>
      <c r="L325" t="s">
        <v>74</v>
      </c>
      <c r="M325">
        <v>63</v>
      </c>
      <c r="N325">
        <v>25</v>
      </c>
      <c r="O325">
        <v>1527.75</v>
      </c>
      <c r="P325">
        <v>882</v>
      </c>
      <c r="Q325">
        <v>645.75</v>
      </c>
      <c r="R325">
        <v>0.03</v>
      </c>
      <c r="S325" t="s">
        <v>38</v>
      </c>
      <c r="T325">
        <v>76.069999999999993</v>
      </c>
    </row>
    <row r="326" spans="1:20" x14ac:dyDescent="0.25">
      <c r="A326">
        <v>100325</v>
      </c>
      <c r="B326" s="6">
        <v>45120</v>
      </c>
      <c r="C326">
        <v>2023</v>
      </c>
      <c r="D326" t="s">
        <v>39</v>
      </c>
      <c r="E326">
        <v>7</v>
      </c>
      <c r="F326" t="s">
        <v>75</v>
      </c>
      <c r="G326" t="s">
        <v>45</v>
      </c>
      <c r="H326" t="s">
        <v>23</v>
      </c>
      <c r="I326" t="s">
        <v>62</v>
      </c>
      <c r="J326" t="s">
        <v>68</v>
      </c>
      <c r="K326" t="s">
        <v>26</v>
      </c>
      <c r="L326" t="s">
        <v>78</v>
      </c>
      <c r="M326">
        <v>66</v>
      </c>
      <c r="N326">
        <v>95</v>
      </c>
      <c r="O326">
        <v>5956.5</v>
      </c>
      <c r="P326">
        <v>3828</v>
      </c>
      <c r="Q326">
        <v>2128.5</v>
      </c>
      <c r="R326">
        <v>0.05</v>
      </c>
      <c r="S326" t="s">
        <v>57</v>
      </c>
      <c r="T326">
        <v>413.86</v>
      </c>
    </row>
    <row r="327" spans="1:20" x14ac:dyDescent="0.25">
      <c r="A327">
        <v>100326</v>
      </c>
      <c r="B327" s="6">
        <v>45039</v>
      </c>
      <c r="C327">
        <v>2023</v>
      </c>
      <c r="D327" t="s">
        <v>20</v>
      </c>
      <c r="E327">
        <v>4</v>
      </c>
      <c r="F327" t="s">
        <v>34</v>
      </c>
      <c r="G327" t="s">
        <v>29</v>
      </c>
      <c r="H327" t="s">
        <v>23</v>
      </c>
      <c r="I327" t="s">
        <v>30</v>
      </c>
      <c r="J327" t="s">
        <v>54</v>
      </c>
      <c r="K327" t="s">
        <v>32</v>
      </c>
      <c r="L327" t="s">
        <v>74</v>
      </c>
      <c r="M327">
        <v>74</v>
      </c>
      <c r="N327">
        <v>25</v>
      </c>
      <c r="O327">
        <v>1813</v>
      </c>
      <c r="P327">
        <v>1036</v>
      </c>
      <c r="Q327">
        <v>777</v>
      </c>
      <c r="R327">
        <v>0.02</v>
      </c>
      <c r="S327" t="s">
        <v>38</v>
      </c>
      <c r="T327">
        <v>90.31</v>
      </c>
    </row>
    <row r="328" spans="1:20" x14ac:dyDescent="0.25">
      <c r="A328">
        <v>100327</v>
      </c>
      <c r="B328" s="6">
        <v>45574</v>
      </c>
      <c r="C328">
        <v>2024</v>
      </c>
      <c r="D328" t="s">
        <v>43</v>
      </c>
      <c r="E328">
        <v>10</v>
      </c>
      <c r="F328" t="s">
        <v>44</v>
      </c>
      <c r="G328" t="s">
        <v>45</v>
      </c>
      <c r="H328" t="s">
        <v>23</v>
      </c>
      <c r="I328" t="s">
        <v>62</v>
      </c>
      <c r="J328" t="s">
        <v>31</v>
      </c>
      <c r="K328" t="s">
        <v>59</v>
      </c>
      <c r="L328" t="s">
        <v>67</v>
      </c>
      <c r="M328">
        <v>10</v>
      </c>
      <c r="N328">
        <v>95</v>
      </c>
      <c r="O328">
        <v>874</v>
      </c>
      <c r="P328">
        <v>560</v>
      </c>
      <c r="Q328">
        <v>314</v>
      </c>
      <c r="R328">
        <v>0.08</v>
      </c>
      <c r="S328" t="s">
        <v>38</v>
      </c>
      <c r="T328">
        <v>42.61</v>
      </c>
    </row>
    <row r="329" spans="1:20" x14ac:dyDescent="0.25">
      <c r="A329">
        <v>100328</v>
      </c>
      <c r="B329" s="6">
        <v>45728</v>
      </c>
      <c r="C329">
        <v>2025</v>
      </c>
      <c r="D329" t="s">
        <v>63</v>
      </c>
      <c r="E329">
        <v>3</v>
      </c>
      <c r="F329" t="s">
        <v>64</v>
      </c>
      <c r="G329" t="s">
        <v>35</v>
      </c>
      <c r="H329" t="s">
        <v>23</v>
      </c>
      <c r="I329" t="s">
        <v>36</v>
      </c>
      <c r="J329" t="s">
        <v>66</v>
      </c>
      <c r="K329" t="s">
        <v>51</v>
      </c>
      <c r="L329" t="s">
        <v>76</v>
      </c>
      <c r="M329">
        <v>111</v>
      </c>
      <c r="N329">
        <v>40</v>
      </c>
      <c r="O329">
        <v>4351.2</v>
      </c>
      <c r="P329">
        <v>2553</v>
      </c>
      <c r="Q329">
        <v>1798.2</v>
      </c>
      <c r="R329">
        <v>0.02</v>
      </c>
      <c r="S329" t="s">
        <v>57</v>
      </c>
      <c r="T329">
        <v>196.68</v>
      </c>
    </row>
    <row r="330" spans="1:20" x14ac:dyDescent="0.25">
      <c r="A330">
        <v>100329</v>
      </c>
      <c r="B330" s="6">
        <v>44971</v>
      </c>
      <c r="C330">
        <v>2023</v>
      </c>
      <c r="D330" t="s">
        <v>63</v>
      </c>
      <c r="E330">
        <v>2</v>
      </c>
      <c r="F330" t="s">
        <v>81</v>
      </c>
      <c r="G330" t="s">
        <v>45</v>
      </c>
      <c r="H330" t="s">
        <v>23</v>
      </c>
      <c r="I330" t="s">
        <v>90</v>
      </c>
      <c r="J330" t="s">
        <v>68</v>
      </c>
      <c r="K330" t="s">
        <v>59</v>
      </c>
      <c r="L330" t="s">
        <v>91</v>
      </c>
      <c r="M330">
        <v>75</v>
      </c>
      <c r="N330">
        <v>140</v>
      </c>
      <c r="O330">
        <v>10500</v>
      </c>
      <c r="P330">
        <v>6150</v>
      </c>
      <c r="Q330">
        <v>4350</v>
      </c>
      <c r="R330">
        <v>0</v>
      </c>
      <c r="S330" t="s">
        <v>38</v>
      </c>
      <c r="T330">
        <v>446.61</v>
      </c>
    </row>
    <row r="331" spans="1:20" x14ac:dyDescent="0.25">
      <c r="A331">
        <v>100330</v>
      </c>
      <c r="B331" s="6">
        <v>45248</v>
      </c>
      <c r="C331">
        <v>2023</v>
      </c>
      <c r="D331" t="s">
        <v>43</v>
      </c>
      <c r="E331">
        <v>11</v>
      </c>
      <c r="F331" t="s">
        <v>87</v>
      </c>
      <c r="G331" t="s">
        <v>35</v>
      </c>
      <c r="H331" t="s">
        <v>23</v>
      </c>
      <c r="I331" t="s">
        <v>36</v>
      </c>
      <c r="J331" t="s">
        <v>66</v>
      </c>
      <c r="K331" t="s">
        <v>51</v>
      </c>
      <c r="L331" t="s">
        <v>52</v>
      </c>
      <c r="M331">
        <v>43</v>
      </c>
      <c r="N331">
        <v>75</v>
      </c>
      <c r="O331">
        <v>3160.5</v>
      </c>
      <c r="P331">
        <v>1892</v>
      </c>
      <c r="Q331">
        <v>1268.5</v>
      </c>
      <c r="R331">
        <v>0.02</v>
      </c>
      <c r="S331" t="s">
        <v>38</v>
      </c>
      <c r="T331">
        <v>187.07</v>
      </c>
    </row>
    <row r="332" spans="1:20" x14ac:dyDescent="0.25">
      <c r="A332">
        <v>100331</v>
      </c>
      <c r="B332" s="6">
        <v>45977</v>
      </c>
      <c r="C332">
        <v>2025</v>
      </c>
      <c r="D332" t="s">
        <v>43</v>
      </c>
      <c r="E332">
        <v>11</v>
      </c>
      <c r="F332" t="s">
        <v>87</v>
      </c>
      <c r="G332" t="s">
        <v>35</v>
      </c>
      <c r="H332" t="s">
        <v>23</v>
      </c>
      <c r="I332" t="s">
        <v>77</v>
      </c>
      <c r="J332" t="s">
        <v>61</v>
      </c>
      <c r="K332" t="s">
        <v>59</v>
      </c>
      <c r="L332" t="s">
        <v>67</v>
      </c>
      <c r="M332">
        <v>74</v>
      </c>
      <c r="N332">
        <v>95</v>
      </c>
      <c r="O332">
        <v>6819.1</v>
      </c>
      <c r="P332">
        <v>4144</v>
      </c>
      <c r="Q332">
        <v>2675.1</v>
      </c>
      <c r="R332">
        <v>0.03</v>
      </c>
      <c r="S332" t="s">
        <v>70</v>
      </c>
      <c r="T332">
        <v>184.53</v>
      </c>
    </row>
    <row r="333" spans="1:20" x14ac:dyDescent="0.25">
      <c r="A333">
        <v>100332</v>
      </c>
      <c r="B333" s="6">
        <v>46003</v>
      </c>
      <c r="C333">
        <v>2025</v>
      </c>
      <c r="D333" t="s">
        <v>43</v>
      </c>
      <c r="E333">
        <v>12</v>
      </c>
      <c r="F333" t="s">
        <v>83</v>
      </c>
      <c r="G333" t="s">
        <v>22</v>
      </c>
      <c r="H333" t="s">
        <v>23</v>
      </c>
      <c r="I333" t="s">
        <v>71</v>
      </c>
      <c r="J333" t="s">
        <v>68</v>
      </c>
      <c r="K333" t="s">
        <v>26</v>
      </c>
      <c r="L333" t="s">
        <v>69</v>
      </c>
      <c r="M333">
        <v>90</v>
      </c>
      <c r="N333">
        <v>130</v>
      </c>
      <c r="O333">
        <v>11115</v>
      </c>
      <c r="P333">
        <v>6840</v>
      </c>
      <c r="Q333">
        <v>4275</v>
      </c>
      <c r="R333">
        <v>0.05</v>
      </c>
      <c r="S333" t="s">
        <v>70</v>
      </c>
      <c r="T333">
        <v>696.7</v>
      </c>
    </row>
    <row r="334" spans="1:20" x14ac:dyDescent="0.25">
      <c r="A334">
        <v>100333</v>
      </c>
      <c r="B334" s="6">
        <v>45586</v>
      </c>
      <c r="C334">
        <v>2024</v>
      </c>
      <c r="D334" t="s">
        <v>43</v>
      </c>
      <c r="E334">
        <v>10</v>
      </c>
      <c r="F334" t="s">
        <v>44</v>
      </c>
      <c r="G334" t="s">
        <v>29</v>
      </c>
      <c r="H334" t="s">
        <v>23</v>
      </c>
      <c r="I334" t="s">
        <v>85</v>
      </c>
      <c r="J334" t="s">
        <v>66</v>
      </c>
      <c r="K334" t="s">
        <v>51</v>
      </c>
      <c r="L334" t="s">
        <v>72</v>
      </c>
      <c r="M334">
        <v>119</v>
      </c>
      <c r="N334">
        <v>90</v>
      </c>
      <c r="O334">
        <v>9853.2000000000007</v>
      </c>
      <c r="P334">
        <v>6188</v>
      </c>
      <c r="Q334">
        <v>3665.2</v>
      </c>
      <c r="R334">
        <v>0.08</v>
      </c>
      <c r="S334" t="s">
        <v>70</v>
      </c>
      <c r="T334">
        <v>583.48</v>
      </c>
    </row>
    <row r="335" spans="1:20" x14ac:dyDescent="0.25">
      <c r="A335">
        <v>100334</v>
      </c>
      <c r="B335" s="6">
        <v>45186</v>
      </c>
      <c r="C335">
        <v>2023</v>
      </c>
      <c r="D335" t="s">
        <v>39</v>
      </c>
      <c r="E335">
        <v>9</v>
      </c>
      <c r="F335" t="s">
        <v>40</v>
      </c>
      <c r="G335" t="s">
        <v>45</v>
      </c>
      <c r="H335" t="s">
        <v>23</v>
      </c>
      <c r="I335" t="s">
        <v>90</v>
      </c>
      <c r="J335" t="s">
        <v>68</v>
      </c>
      <c r="K335" t="s">
        <v>26</v>
      </c>
      <c r="L335" t="s">
        <v>78</v>
      </c>
      <c r="M335">
        <v>21</v>
      </c>
      <c r="N335">
        <v>95</v>
      </c>
      <c r="O335">
        <v>1935.15</v>
      </c>
      <c r="P335">
        <v>1218</v>
      </c>
      <c r="Q335">
        <v>717.15</v>
      </c>
      <c r="R335">
        <v>0.03</v>
      </c>
      <c r="S335" t="s">
        <v>57</v>
      </c>
      <c r="T335">
        <v>59.28</v>
      </c>
    </row>
    <row r="336" spans="1:20" x14ac:dyDescent="0.25">
      <c r="A336">
        <v>100335</v>
      </c>
      <c r="B336" s="6">
        <v>45799</v>
      </c>
      <c r="C336">
        <v>2025</v>
      </c>
      <c r="D336" t="s">
        <v>20</v>
      </c>
      <c r="E336">
        <v>5</v>
      </c>
      <c r="F336" t="s">
        <v>21</v>
      </c>
      <c r="G336" t="s">
        <v>29</v>
      </c>
      <c r="H336" t="s">
        <v>23</v>
      </c>
      <c r="I336" t="s">
        <v>73</v>
      </c>
      <c r="J336" t="s">
        <v>66</v>
      </c>
      <c r="K336" t="s">
        <v>51</v>
      </c>
      <c r="L336" t="s">
        <v>52</v>
      </c>
      <c r="M336">
        <v>102</v>
      </c>
      <c r="N336">
        <v>75</v>
      </c>
      <c r="O336">
        <v>7650</v>
      </c>
      <c r="P336">
        <v>4488</v>
      </c>
      <c r="Q336">
        <v>3162</v>
      </c>
      <c r="R336">
        <v>0</v>
      </c>
      <c r="S336" t="s">
        <v>28</v>
      </c>
      <c r="T336">
        <v>230.95</v>
      </c>
    </row>
    <row r="337" spans="1:20" x14ac:dyDescent="0.25">
      <c r="A337">
        <v>100336</v>
      </c>
      <c r="B337" s="6">
        <v>45744</v>
      </c>
      <c r="C337">
        <v>2025</v>
      </c>
      <c r="D337" t="s">
        <v>63</v>
      </c>
      <c r="E337">
        <v>3</v>
      </c>
      <c r="F337" t="s">
        <v>64</v>
      </c>
      <c r="G337" t="s">
        <v>29</v>
      </c>
      <c r="H337" t="s">
        <v>23</v>
      </c>
      <c r="I337" t="s">
        <v>73</v>
      </c>
      <c r="J337" t="s">
        <v>42</v>
      </c>
      <c r="K337" t="s">
        <v>51</v>
      </c>
      <c r="L337" t="s">
        <v>72</v>
      </c>
      <c r="M337">
        <v>130</v>
      </c>
      <c r="N337">
        <v>90</v>
      </c>
      <c r="O337">
        <v>11700</v>
      </c>
      <c r="P337">
        <v>6760</v>
      </c>
      <c r="Q337">
        <v>4940</v>
      </c>
      <c r="R337">
        <v>0</v>
      </c>
      <c r="S337" t="s">
        <v>38</v>
      </c>
      <c r="T337">
        <v>774.53</v>
      </c>
    </row>
    <row r="338" spans="1:20" x14ac:dyDescent="0.25">
      <c r="A338">
        <v>100337</v>
      </c>
      <c r="B338" s="6">
        <v>45063</v>
      </c>
      <c r="C338">
        <v>2023</v>
      </c>
      <c r="D338" t="s">
        <v>20</v>
      </c>
      <c r="E338">
        <v>5</v>
      </c>
      <c r="F338" t="s">
        <v>21</v>
      </c>
      <c r="G338" t="s">
        <v>22</v>
      </c>
      <c r="H338" t="s">
        <v>23</v>
      </c>
      <c r="I338" t="s">
        <v>41</v>
      </c>
      <c r="J338" t="s">
        <v>42</v>
      </c>
      <c r="K338" t="s">
        <v>51</v>
      </c>
      <c r="L338" t="s">
        <v>72</v>
      </c>
      <c r="M338">
        <v>91</v>
      </c>
      <c r="N338">
        <v>90</v>
      </c>
      <c r="O338">
        <v>7534.8</v>
      </c>
      <c r="P338">
        <v>4732</v>
      </c>
      <c r="Q338">
        <v>2802.8</v>
      </c>
      <c r="R338">
        <v>0.08</v>
      </c>
      <c r="S338" t="s">
        <v>38</v>
      </c>
      <c r="T338">
        <v>292.8</v>
      </c>
    </row>
    <row r="339" spans="1:20" x14ac:dyDescent="0.25">
      <c r="A339">
        <v>100338</v>
      </c>
      <c r="B339" s="6">
        <v>45617</v>
      </c>
      <c r="C339">
        <v>2024</v>
      </c>
      <c r="D339" t="s">
        <v>43</v>
      </c>
      <c r="E339">
        <v>11</v>
      </c>
      <c r="F339" t="s">
        <v>87</v>
      </c>
      <c r="G339" t="s">
        <v>45</v>
      </c>
      <c r="H339" t="s">
        <v>23</v>
      </c>
      <c r="I339" t="s">
        <v>46</v>
      </c>
      <c r="J339" t="s">
        <v>68</v>
      </c>
      <c r="K339" t="s">
        <v>26</v>
      </c>
      <c r="L339" t="s">
        <v>78</v>
      </c>
      <c r="M339">
        <v>69</v>
      </c>
      <c r="N339">
        <v>95</v>
      </c>
      <c r="O339">
        <v>6227.25</v>
      </c>
      <c r="P339">
        <v>4002</v>
      </c>
      <c r="Q339">
        <v>2225.25</v>
      </c>
      <c r="R339">
        <v>0.05</v>
      </c>
      <c r="S339" t="s">
        <v>38</v>
      </c>
      <c r="T339">
        <v>334.48</v>
      </c>
    </row>
    <row r="340" spans="1:20" x14ac:dyDescent="0.25">
      <c r="A340">
        <v>100339</v>
      </c>
      <c r="B340" s="6">
        <v>45161</v>
      </c>
      <c r="C340">
        <v>2023</v>
      </c>
      <c r="D340" t="s">
        <v>39</v>
      </c>
      <c r="E340">
        <v>8</v>
      </c>
      <c r="F340" t="s">
        <v>58</v>
      </c>
      <c r="G340" t="s">
        <v>45</v>
      </c>
      <c r="H340" t="s">
        <v>23</v>
      </c>
      <c r="I340" t="s">
        <v>46</v>
      </c>
      <c r="J340" t="s">
        <v>66</v>
      </c>
      <c r="K340" t="s">
        <v>55</v>
      </c>
      <c r="L340" t="s">
        <v>56</v>
      </c>
      <c r="M340">
        <v>20</v>
      </c>
      <c r="N340">
        <v>320</v>
      </c>
      <c r="O340">
        <v>5760</v>
      </c>
      <c r="P340">
        <v>4700</v>
      </c>
      <c r="Q340">
        <v>1060</v>
      </c>
      <c r="R340">
        <v>0.1</v>
      </c>
      <c r="S340" t="s">
        <v>38</v>
      </c>
      <c r="T340">
        <v>308.95999999999998</v>
      </c>
    </row>
    <row r="341" spans="1:20" x14ac:dyDescent="0.25">
      <c r="A341">
        <v>100340</v>
      </c>
      <c r="B341" s="6">
        <v>45905</v>
      </c>
      <c r="C341">
        <v>2025</v>
      </c>
      <c r="D341" t="s">
        <v>39</v>
      </c>
      <c r="E341">
        <v>9</v>
      </c>
      <c r="F341" t="s">
        <v>40</v>
      </c>
      <c r="G341" t="s">
        <v>22</v>
      </c>
      <c r="H341" t="s">
        <v>23</v>
      </c>
      <c r="I341" t="s">
        <v>65</v>
      </c>
      <c r="J341" t="s">
        <v>31</v>
      </c>
      <c r="K341" t="s">
        <v>55</v>
      </c>
      <c r="L341" t="s">
        <v>93</v>
      </c>
      <c r="M341">
        <v>110</v>
      </c>
      <c r="N341">
        <v>60</v>
      </c>
      <c r="O341">
        <v>6402</v>
      </c>
      <c r="P341">
        <v>4620</v>
      </c>
      <c r="Q341">
        <v>1782</v>
      </c>
      <c r="R341">
        <v>0.03</v>
      </c>
      <c r="S341" t="s">
        <v>70</v>
      </c>
      <c r="T341">
        <v>231.63</v>
      </c>
    </row>
    <row r="342" spans="1:20" x14ac:dyDescent="0.25">
      <c r="A342">
        <v>100341</v>
      </c>
      <c r="B342" s="6">
        <v>45153</v>
      </c>
      <c r="C342">
        <v>2023</v>
      </c>
      <c r="D342" t="s">
        <v>39</v>
      </c>
      <c r="E342">
        <v>8</v>
      </c>
      <c r="F342" t="s">
        <v>58</v>
      </c>
      <c r="G342" t="s">
        <v>29</v>
      </c>
      <c r="H342" t="s">
        <v>23</v>
      </c>
      <c r="I342" t="s">
        <v>73</v>
      </c>
      <c r="J342" t="s">
        <v>54</v>
      </c>
      <c r="K342" t="s">
        <v>32</v>
      </c>
      <c r="L342" t="s">
        <v>37</v>
      </c>
      <c r="M342">
        <v>22</v>
      </c>
      <c r="N342">
        <v>120</v>
      </c>
      <c r="O342">
        <v>2560.8000000000002</v>
      </c>
      <c r="P342">
        <v>1716</v>
      </c>
      <c r="Q342">
        <v>844.8</v>
      </c>
      <c r="R342">
        <v>0.03</v>
      </c>
      <c r="S342" t="s">
        <v>57</v>
      </c>
      <c r="T342">
        <v>154.21</v>
      </c>
    </row>
    <row r="343" spans="1:20" x14ac:dyDescent="0.25">
      <c r="A343">
        <v>100342</v>
      </c>
      <c r="B343" s="6">
        <v>45575</v>
      </c>
      <c r="C343">
        <v>2024</v>
      </c>
      <c r="D343" t="s">
        <v>43</v>
      </c>
      <c r="E343">
        <v>10</v>
      </c>
      <c r="F343" t="s">
        <v>44</v>
      </c>
      <c r="G343" t="s">
        <v>45</v>
      </c>
      <c r="H343" t="s">
        <v>23</v>
      </c>
      <c r="I343" t="s">
        <v>88</v>
      </c>
      <c r="J343" t="s">
        <v>68</v>
      </c>
      <c r="K343" t="s">
        <v>59</v>
      </c>
      <c r="L343" t="s">
        <v>91</v>
      </c>
      <c r="M343">
        <v>109</v>
      </c>
      <c r="N343">
        <v>140</v>
      </c>
      <c r="O343">
        <v>14497</v>
      </c>
      <c r="P343">
        <v>8938</v>
      </c>
      <c r="Q343">
        <v>5559</v>
      </c>
      <c r="R343">
        <v>0.05</v>
      </c>
      <c r="S343" t="s">
        <v>38</v>
      </c>
      <c r="T343">
        <v>702.04</v>
      </c>
    </row>
    <row r="344" spans="1:20" x14ac:dyDescent="0.25">
      <c r="A344">
        <v>100343</v>
      </c>
      <c r="B344" s="6">
        <v>45702</v>
      </c>
      <c r="C344">
        <v>2025</v>
      </c>
      <c r="D344" t="s">
        <v>63</v>
      </c>
      <c r="E344">
        <v>2</v>
      </c>
      <c r="F344" t="s">
        <v>81</v>
      </c>
      <c r="G344" t="s">
        <v>22</v>
      </c>
      <c r="H344" t="s">
        <v>23</v>
      </c>
      <c r="I344" t="s">
        <v>65</v>
      </c>
      <c r="J344" t="s">
        <v>31</v>
      </c>
      <c r="K344" t="s">
        <v>26</v>
      </c>
      <c r="L344" t="s">
        <v>82</v>
      </c>
      <c r="M344">
        <v>79</v>
      </c>
      <c r="N344">
        <v>105</v>
      </c>
      <c r="O344">
        <v>7880.25</v>
      </c>
      <c r="P344">
        <v>4819</v>
      </c>
      <c r="Q344">
        <v>3061.25</v>
      </c>
      <c r="R344">
        <v>0.05</v>
      </c>
      <c r="S344" t="s">
        <v>70</v>
      </c>
      <c r="T344">
        <v>289.45999999999998</v>
      </c>
    </row>
    <row r="345" spans="1:20" x14ac:dyDescent="0.25">
      <c r="A345">
        <v>100344</v>
      </c>
      <c r="B345" s="6">
        <v>46015</v>
      </c>
      <c r="C345">
        <v>2025</v>
      </c>
      <c r="D345" t="s">
        <v>43</v>
      </c>
      <c r="E345">
        <v>12</v>
      </c>
      <c r="F345" t="s">
        <v>83</v>
      </c>
      <c r="G345" t="s">
        <v>29</v>
      </c>
      <c r="H345" t="s">
        <v>23</v>
      </c>
      <c r="I345" t="s">
        <v>73</v>
      </c>
      <c r="J345" t="s">
        <v>68</v>
      </c>
      <c r="K345" t="s">
        <v>51</v>
      </c>
      <c r="L345" t="s">
        <v>52</v>
      </c>
      <c r="M345">
        <v>22</v>
      </c>
      <c r="N345">
        <v>75</v>
      </c>
      <c r="O345">
        <v>1650</v>
      </c>
      <c r="P345">
        <v>968</v>
      </c>
      <c r="Q345">
        <v>682</v>
      </c>
      <c r="R345">
        <v>0</v>
      </c>
      <c r="S345" t="s">
        <v>70</v>
      </c>
      <c r="T345">
        <v>34.869999999999997</v>
      </c>
    </row>
    <row r="346" spans="1:20" x14ac:dyDescent="0.25">
      <c r="A346">
        <v>100345</v>
      </c>
      <c r="B346" s="6">
        <v>44979</v>
      </c>
      <c r="C346">
        <v>2023</v>
      </c>
      <c r="D346" t="s">
        <v>63</v>
      </c>
      <c r="E346">
        <v>2</v>
      </c>
      <c r="F346" t="s">
        <v>81</v>
      </c>
      <c r="G346" t="s">
        <v>35</v>
      </c>
      <c r="H346" t="s">
        <v>23</v>
      </c>
      <c r="I346" t="s">
        <v>36</v>
      </c>
      <c r="J346" t="s">
        <v>66</v>
      </c>
      <c r="K346" t="s">
        <v>51</v>
      </c>
      <c r="L346" t="s">
        <v>76</v>
      </c>
      <c r="M346">
        <v>33</v>
      </c>
      <c r="N346">
        <v>40</v>
      </c>
      <c r="O346">
        <v>1214.4000000000001</v>
      </c>
      <c r="P346">
        <v>759</v>
      </c>
      <c r="Q346">
        <v>455.4</v>
      </c>
      <c r="R346">
        <v>0.08</v>
      </c>
      <c r="S346" t="s">
        <v>70</v>
      </c>
      <c r="T346">
        <v>65.599999999999994</v>
      </c>
    </row>
    <row r="347" spans="1:20" x14ac:dyDescent="0.25">
      <c r="A347">
        <v>100346</v>
      </c>
      <c r="B347" s="6">
        <v>45313</v>
      </c>
      <c r="C347">
        <v>2024</v>
      </c>
      <c r="D347" t="s">
        <v>63</v>
      </c>
      <c r="E347">
        <v>1</v>
      </c>
      <c r="F347" t="s">
        <v>79</v>
      </c>
      <c r="G347" t="s">
        <v>22</v>
      </c>
      <c r="H347" t="s">
        <v>23</v>
      </c>
      <c r="I347" t="s">
        <v>41</v>
      </c>
      <c r="J347" t="s">
        <v>50</v>
      </c>
      <c r="K347" t="s">
        <v>59</v>
      </c>
      <c r="L347" t="s">
        <v>86</v>
      </c>
      <c r="M347">
        <v>125</v>
      </c>
      <c r="N347">
        <v>160</v>
      </c>
      <c r="O347">
        <v>20000</v>
      </c>
      <c r="P347">
        <v>11875</v>
      </c>
      <c r="Q347">
        <v>8125</v>
      </c>
      <c r="R347">
        <v>0</v>
      </c>
      <c r="S347" t="s">
        <v>38</v>
      </c>
      <c r="T347">
        <v>810.5</v>
      </c>
    </row>
    <row r="348" spans="1:20" x14ac:dyDescent="0.25">
      <c r="A348">
        <v>100347</v>
      </c>
      <c r="B348" s="6">
        <v>45784</v>
      </c>
      <c r="C348">
        <v>2025</v>
      </c>
      <c r="D348" t="s">
        <v>20</v>
      </c>
      <c r="E348">
        <v>5</v>
      </c>
      <c r="F348" t="s">
        <v>21</v>
      </c>
      <c r="G348" t="s">
        <v>35</v>
      </c>
      <c r="H348" t="s">
        <v>23</v>
      </c>
      <c r="I348" t="s">
        <v>77</v>
      </c>
      <c r="J348" t="s">
        <v>68</v>
      </c>
      <c r="K348" t="s">
        <v>51</v>
      </c>
      <c r="L348" t="s">
        <v>72</v>
      </c>
      <c r="M348">
        <v>25</v>
      </c>
      <c r="N348">
        <v>90</v>
      </c>
      <c r="O348">
        <v>2137.5</v>
      </c>
      <c r="P348">
        <v>1300</v>
      </c>
      <c r="Q348">
        <v>837.5</v>
      </c>
      <c r="R348">
        <v>0.05</v>
      </c>
      <c r="S348" t="s">
        <v>28</v>
      </c>
      <c r="T348">
        <v>93.35</v>
      </c>
    </row>
    <row r="349" spans="1:20" x14ac:dyDescent="0.25">
      <c r="A349">
        <v>100348</v>
      </c>
      <c r="B349" s="6">
        <v>45101</v>
      </c>
      <c r="C349">
        <v>2023</v>
      </c>
      <c r="D349" t="s">
        <v>20</v>
      </c>
      <c r="E349">
        <v>6</v>
      </c>
      <c r="F349" t="s">
        <v>48</v>
      </c>
      <c r="G349" t="s">
        <v>35</v>
      </c>
      <c r="H349" t="s">
        <v>23</v>
      </c>
      <c r="I349" t="s">
        <v>77</v>
      </c>
      <c r="J349" t="s">
        <v>42</v>
      </c>
      <c r="K349" t="s">
        <v>32</v>
      </c>
      <c r="L349" t="s">
        <v>33</v>
      </c>
      <c r="M349">
        <v>144</v>
      </c>
      <c r="N349">
        <v>60</v>
      </c>
      <c r="O349">
        <v>8640</v>
      </c>
      <c r="P349">
        <v>5472</v>
      </c>
      <c r="Q349">
        <v>3168</v>
      </c>
      <c r="R349">
        <v>0</v>
      </c>
      <c r="S349" t="s">
        <v>57</v>
      </c>
      <c r="T349">
        <v>268.98</v>
      </c>
    </row>
    <row r="350" spans="1:20" x14ac:dyDescent="0.25">
      <c r="A350">
        <v>100349</v>
      </c>
      <c r="B350" s="6">
        <v>45445</v>
      </c>
      <c r="C350">
        <v>2024</v>
      </c>
      <c r="D350" t="s">
        <v>20</v>
      </c>
      <c r="E350">
        <v>6</v>
      </c>
      <c r="F350" t="s">
        <v>48</v>
      </c>
      <c r="G350" t="s">
        <v>29</v>
      </c>
      <c r="H350" t="s">
        <v>23</v>
      </c>
      <c r="I350" t="s">
        <v>73</v>
      </c>
      <c r="J350" t="s">
        <v>50</v>
      </c>
      <c r="K350" t="s">
        <v>51</v>
      </c>
      <c r="L350" t="s">
        <v>72</v>
      </c>
      <c r="M350">
        <v>52</v>
      </c>
      <c r="N350">
        <v>90</v>
      </c>
      <c r="O350">
        <v>4446</v>
      </c>
      <c r="P350">
        <v>2704</v>
      </c>
      <c r="Q350">
        <v>1742</v>
      </c>
      <c r="R350">
        <v>0.05</v>
      </c>
      <c r="S350" t="s">
        <v>57</v>
      </c>
      <c r="T350">
        <v>200.79</v>
      </c>
    </row>
    <row r="351" spans="1:20" x14ac:dyDescent="0.25">
      <c r="A351">
        <v>100350</v>
      </c>
      <c r="B351" s="6">
        <v>45383</v>
      </c>
      <c r="C351">
        <v>2024</v>
      </c>
      <c r="D351" t="s">
        <v>20</v>
      </c>
      <c r="E351">
        <v>4</v>
      </c>
      <c r="F351" t="s">
        <v>34</v>
      </c>
      <c r="G351" t="s">
        <v>29</v>
      </c>
      <c r="H351" t="s">
        <v>23</v>
      </c>
      <c r="I351" t="s">
        <v>30</v>
      </c>
      <c r="J351" t="s">
        <v>25</v>
      </c>
      <c r="K351" t="s">
        <v>26</v>
      </c>
      <c r="L351" t="s">
        <v>69</v>
      </c>
      <c r="M351">
        <v>54</v>
      </c>
      <c r="N351">
        <v>130</v>
      </c>
      <c r="O351">
        <v>6809.4</v>
      </c>
      <c r="P351">
        <v>4104</v>
      </c>
      <c r="Q351">
        <v>2705.4</v>
      </c>
      <c r="R351">
        <v>0.03</v>
      </c>
      <c r="S351" t="s">
        <v>57</v>
      </c>
      <c r="T351">
        <v>215.59</v>
      </c>
    </row>
    <row r="352" spans="1:20" x14ac:dyDescent="0.25">
      <c r="A352">
        <v>100351</v>
      </c>
      <c r="B352" s="6">
        <v>45083</v>
      </c>
      <c r="C352">
        <v>2023</v>
      </c>
      <c r="D352" t="s">
        <v>20</v>
      </c>
      <c r="E352">
        <v>6</v>
      </c>
      <c r="F352" t="s">
        <v>48</v>
      </c>
      <c r="G352" t="s">
        <v>35</v>
      </c>
      <c r="H352" t="s">
        <v>23</v>
      </c>
      <c r="I352" t="s">
        <v>36</v>
      </c>
      <c r="J352" t="s">
        <v>68</v>
      </c>
      <c r="K352" t="s">
        <v>59</v>
      </c>
      <c r="L352" t="s">
        <v>67</v>
      </c>
      <c r="M352">
        <v>133</v>
      </c>
      <c r="N352">
        <v>95</v>
      </c>
      <c r="O352">
        <v>12255.95</v>
      </c>
      <c r="P352">
        <v>7448</v>
      </c>
      <c r="Q352">
        <v>4807.95</v>
      </c>
      <c r="R352">
        <v>0.03</v>
      </c>
      <c r="S352" t="s">
        <v>28</v>
      </c>
      <c r="T352">
        <v>222.83</v>
      </c>
    </row>
    <row r="353" spans="1:20" x14ac:dyDescent="0.25">
      <c r="A353">
        <v>100352</v>
      </c>
      <c r="B353" s="6">
        <v>45557</v>
      </c>
      <c r="C353">
        <v>2024</v>
      </c>
      <c r="D353" t="s">
        <v>39</v>
      </c>
      <c r="E353">
        <v>9</v>
      </c>
      <c r="F353" t="s">
        <v>40</v>
      </c>
      <c r="G353" t="s">
        <v>45</v>
      </c>
      <c r="H353" t="s">
        <v>23</v>
      </c>
      <c r="I353" t="s">
        <v>62</v>
      </c>
      <c r="J353" t="s">
        <v>42</v>
      </c>
      <c r="K353" t="s">
        <v>55</v>
      </c>
      <c r="L353" t="s">
        <v>84</v>
      </c>
      <c r="M353">
        <v>84</v>
      </c>
      <c r="N353">
        <v>55</v>
      </c>
      <c r="O353">
        <v>4158</v>
      </c>
      <c r="P353">
        <v>3108</v>
      </c>
      <c r="Q353">
        <v>1050</v>
      </c>
      <c r="R353">
        <v>0.1</v>
      </c>
      <c r="S353" t="s">
        <v>38</v>
      </c>
      <c r="T353">
        <v>79.66</v>
      </c>
    </row>
    <row r="354" spans="1:20" x14ac:dyDescent="0.25">
      <c r="A354">
        <v>100353</v>
      </c>
      <c r="B354" s="6">
        <v>45288</v>
      </c>
      <c r="C354">
        <v>2023</v>
      </c>
      <c r="D354" t="s">
        <v>43</v>
      </c>
      <c r="E354">
        <v>12</v>
      </c>
      <c r="F354" t="s">
        <v>83</v>
      </c>
      <c r="G354" t="s">
        <v>45</v>
      </c>
      <c r="H354" t="s">
        <v>23</v>
      </c>
      <c r="I354" t="s">
        <v>88</v>
      </c>
      <c r="J354" t="s">
        <v>31</v>
      </c>
      <c r="K354" t="s">
        <v>26</v>
      </c>
      <c r="L354" t="s">
        <v>69</v>
      </c>
      <c r="M354">
        <v>54</v>
      </c>
      <c r="N354">
        <v>130</v>
      </c>
      <c r="O354">
        <v>6879.6</v>
      </c>
      <c r="P354">
        <v>4104</v>
      </c>
      <c r="Q354">
        <v>2775.6</v>
      </c>
      <c r="R354">
        <v>0.02</v>
      </c>
      <c r="S354" t="s">
        <v>70</v>
      </c>
      <c r="T354">
        <v>474.63</v>
      </c>
    </row>
    <row r="355" spans="1:20" x14ac:dyDescent="0.25">
      <c r="A355">
        <v>100354</v>
      </c>
      <c r="B355" s="6">
        <v>45933</v>
      </c>
      <c r="C355">
        <v>2025</v>
      </c>
      <c r="D355" t="s">
        <v>43</v>
      </c>
      <c r="E355">
        <v>10</v>
      </c>
      <c r="F355" t="s">
        <v>44</v>
      </c>
      <c r="G355" t="s">
        <v>22</v>
      </c>
      <c r="H355" t="s">
        <v>23</v>
      </c>
      <c r="I355" t="s">
        <v>65</v>
      </c>
      <c r="J355" t="s">
        <v>66</v>
      </c>
      <c r="K355" t="s">
        <v>59</v>
      </c>
      <c r="L355" t="s">
        <v>60</v>
      </c>
      <c r="M355">
        <v>58</v>
      </c>
      <c r="N355">
        <v>45</v>
      </c>
      <c r="O355">
        <v>2349</v>
      </c>
      <c r="P355">
        <v>1566</v>
      </c>
      <c r="Q355">
        <v>783</v>
      </c>
      <c r="R355">
        <v>0.1</v>
      </c>
      <c r="S355" t="s">
        <v>70</v>
      </c>
      <c r="T355">
        <v>78.819999999999993</v>
      </c>
    </row>
    <row r="356" spans="1:20" x14ac:dyDescent="0.25">
      <c r="A356">
        <v>100355</v>
      </c>
      <c r="B356" s="6">
        <v>45485</v>
      </c>
      <c r="C356">
        <v>2024</v>
      </c>
      <c r="D356" t="s">
        <v>39</v>
      </c>
      <c r="E356">
        <v>7</v>
      </c>
      <c r="F356" t="s">
        <v>75</v>
      </c>
      <c r="G356" t="s">
        <v>22</v>
      </c>
      <c r="H356" t="s">
        <v>23</v>
      </c>
      <c r="I356" t="s">
        <v>71</v>
      </c>
      <c r="J356" t="s">
        <v>25</v>
      </c>
      <c r="K356" t="s">
        <v>26</v>
      </c>
      <c r="L356" t="s">
        <v>78</v>
      </c>
      <c r="M356">
        <v>123</v>
      </c>
      <c r="N356">
        <v>95</v>
      </c>
      <c r="O356">
        <v>11685</v>
      </c>
      <c r="P356">
        <v>7134</v>
      </c>
      <c r="Q356">
        <v>4551</v>
      </c>
      <c r="R356">
        <v>0</v>
      </c>
      <c r="S356" t="s">
        <v>38</v>
      </c>
      <c r="T356">
        <v>580.75</v>
      </c>
    </row>
    <row r="357" spans="1:20" x14ac:dyDescent="0.25">
      <c r="A357">
        <v>100356</v>
      </c>
      <c r="B357" s="6">
        <v>45872</v>
      </c>
      <c r="C357">
        <v>2025</v>
      </c>
      <c r="D357" t="s">
        <v>39</v>
      </c>
      <c r="E357">
        <v>8</v>
      </c>
      <c r="F357" t="s">
        <v>58</v>
      </c>
      <c r="G357" t="s">
        <v>35</v>
      </c>
      <c r="H357" t="s">
        <v>23</v>
      </c>
      <c r="I357" t="s">
        <v>53</v>
      </c>
      <c r="J357" t="s">
        <v>66</v>
      </c>
      <c r="K357" t="s">
        <v>26</v>
      </c>
      <c r="L357" t="s">
        <v>82</v>
      </c>
      <c r="M357">
        <v>70</v>
      </c>
      <c r="N357">
        <v>105</v>
      </c>
      <c r="O357">
        <v>6615</v>
      </c>
      <c r="P357">
        <v>4270</v>
      </c>
      <c r="Q357">
        <v>2345</v>
      </c>
      <c r="R357">
        <v>0.1</v>
      </c>
      <c r="S357" t="s">
        <v>38</v>
      </c>
      <c r="T357">
        <v>449.34</v>
      </c>
    </row>
    <row r="358" spans="1:20" x14ac:dyDescent="0.25">
      <c r="A358">
        <v>100357</v>
      </c>
      <c r="B358" s="6">
        <v>45524</v>
      </c>
      <c r="C358">
        <v>2024</v>
      </c>
      <c r="D358" t="s">
        <v>39</v>
      </c>
      <c r="E358">
        <v>8</v>
      </c>
      <c r="F358" t="s">
        <v>58</v>
      </c>
      <c r="G358" t="s">
        <v>35</v>
      </c>
      <c r="H358" t="s">
        <v>23</v>
      </c>
      <c r="I358" t="s">
        <v>36</v>
      </c>
      <c r="J358" t="s">
        <v>66</v>
      </c>
      <c r="K358" t="s">
        <v>59</v>
      </c>
      <c r="L358" t="s">
        <v>86</v>
      </c>
      <c r="M358">
        <v>150</v>
      </c>
      <c r="N358">
        <v>160</v>
      </c>
      <c r="O358">
        <v>23280</v>
      </c>
      <c r="P358">
        <v>14250</v>
      </c>
      <c r="Q358">
        <v>9030</v>
      </c>
      <c r="R358">
        <v>0.03</v>
      </c>
      <c r="S358" t="s">
        <v>70</v>
      </c>
      <c r="T358">
        <v>1067.3399999999999</v>
      </c>
    </row>
    <row r="359" spans="1:20" x14ac:dyDescent="0.25">
      <c r="A359">
        <v>100358</v>
      </c>
      <c r="B359" s="6">
        <v>45419</v>
      </c>
      <c r="C359">
        <v>2024</v>
      </c>
      <c r="D359" t="s">
        <v>20</v>
      </c>
      <c r="E359">
        <v>5</v>
      </c>
      <c r="F359" t="s">
        <v>21</v>
      </c>
      <c r="G359" t="s">
        <v>22</v>
      </c>
      <c r="H359" t="s">
        <v>23</v>
      </c>
      <c r="I359" t="s">
        <v>65</v>
      </c>
      <c r="J359" t="s">
        <v>50</v>
      </c>
      <c r="K359" t="s">
        <v>26</v>
      </c>
      <c r="L359" t="s">
        <v>82</v>
      </c>
      <c r="M359">
        <v>84</v>
      </c>
      <c r="N359">
        <v>105</v>
      </c>
      <c r="O359">
        <v>8379</v>
      </c>
      <c r="P359">
        <v>5124</v>
      </c>
      <c r="Q359">
        <v>3255</v>
      </c>
      <c r="R359">
        <v>0.05</v>
      </c>
      <c r="S359" t="s">
        <v>57</v>
      </c>
      <c r="T359">
        <v>519.15</v>
      </c>
    </row>
    <row r="360" spans="1:20" x14ac:dyDescent="0.25">
      <c r="A360">
        <v>100359</v>
      </c>
      <c r="B360" s="6">
        <v>45198</v>
      </c>
      <c r="C360">
        <v>2023</v>
      </c>
      <c r="D360" t="s">
        <v>39</v>
      </c>
      <c r="E360">
        <v>9</v>
      </c>
      <c r="F360" t="s">
        <v>40</v>
      </c>
      <c r="G360" t="s">
        <v>29</v>
      </c>
      <c r="H360" t="s">
        <v>23</v>
      </c>
      <c r="I360" t="s">
        <v>30</v>
      </c>
      <c r="J360" t="s">
        <v>50</v>
      </c>
      <c r="K360" t="s">
        <v>59</v>
      </c>
      <c r="L360" t="s">
        <v>91</v>
      </c>
      <c r="M360">
        <v>73</v>
      </c>
      <c r="N360">
        <v>140</v>
      </c>
      <c r="O360">
        <v>9198</v>
      </c>
      <c r="P360">
        <v>5986</v>
      </c>
      <c r="Q360">
        <v>3212</v>
      </c>
      <c r="R360">
        <v>0.1</v>
      </c>
      <c r="S360" t="s">
        <v>38</v>
      </c>
      <c r="T360">
        <v>402.32</v>
      </c>
    </row>
    <row r="361" spans="1:20" x14ac:dyDescent="0.25">
      <c r="A361">
        <v>100360</v>
      </c>
      <c r="B361" s="6">
        <v>45200</v>
      </c>
      <c r="C361">
        <v>2023</v>
      </c>
      <c r="D361" t="s">
        <v>43</v>
      </c>
      <c r="E361">
        <v>10</v>
      </c>
      <c r="F361" t="s">
        <v>44</v>
      </c>
      <c r="G361" t="s">
        <v>22</v>
      </c>
      <c r="H361" t="s">
        <v>23</v>
      </c>
      <c r="I361" t="s">
        <v>24</v>
      </c>
      <c r="J361" t="s">
        <v>25</v>
      </c>
      <c r="K361" t="s">
        <v>32</v>
      </c>
      <c r="L361" t="s">
        <v>33</v>
      </c>
      <c r="M361">
        <v>143</v>
      </c>
      <c r="N361">
        <v>60</v>
      </c>
      <c r="O361">
        <v>8408.4</v>
      </c>
      <c r="P361">
        <v>5434</v>
      </c>
      <c r="Q361">
        <v>2974.4</v>
      </c>
      <c r="R361">
        <v>0.02</v>
      </c>
      <c r="S361" t="s">
        <v>38</v>
      </c>
      <c r="T361">
        <v>492.67</v>
      </c>
    </row>
    <row r="362" spans="1:20" x14ac:dyDescent="0.25">
      <c r="A362">
        <v>100361</v>
      </c>
      <c r="B362" s="6">
        <v>45545</v>
      </c>
      <c r="C362">
        <v>2024</v>
      </c>
      <c r="D362" t="s">
        <v>39</v>
      </c>
      <c r="E362">
        <v>9</v>
      </c>
      <c r="F362" t="s">
        <v>40</v>
      </c>
      <c r="G362" t="s">
        <v>22</v>
      </c>
      <c r="H362" t="s">
        <v>23</v>
      </c>
      <c r="I362" t="s">
        <v>71</v>
      </c>
      <c r="J362" t="s">
        <v>31</v>
      </c>
      <c r="K362" t="s">
        <v>55</v>
      </c>
      <c r="L362" t="s">
        <v>84</v>
      </c>
      <c r="M362">
        <v>17</v>
      </c>
      <c r="N362">
        <v>55</v>
      </c>
      <c r="O362">
        <v>935</v>
      </c>
      <c r="P362">
        <v>629</v>
      </c>
      <c r="Q362">
        <v>306</v>
      </c>
      <c r="R362">
        <v>0</v>
      </c>
      <c r="S362" t="s">
        <v>38</v>
      </c>
      <c r="T362">
        <v>38.549999999999997</v>
      </c>
    </row>
    <row r="363" spans="1:20" x14ac:dyDescent="0.25">
      <c r="A363">
        <v>100362</v>
      </c>
      <c r="B363" s="6">
        <v>45759</v>
      </c>
      <c r="C363">
        <v>2025</v>
      </c>
      <c r="D363" t="s">
        <v>20</v>
      </c>
      <c r="E363">
        <v>4</v>
      </c>
      <c r="F363" t="s">
        <v>34</v>
      </c>
      <c r="G363" t="s">
        <v>22</v>
      </c>
      <c r="H363" t="s">
        <v>23</v>
      </c>
      <c r="I363" t="s">
        <v>24</v>
      </c>
      <c r="J363" t="s">
        <v>50</v>
      </c>
      <c r="K363" t="s">
        <v>26</v>
      </c>
      <c r="L363" t="s">
        <v>82</v>
      </c>
      <c r="M363">
        <v>97</v>
      </c>
      <c r="N363">
        <v>105</v>
      </c>
      <c r="O363">
        <v>9675.75</v>
      </c>
      <c r="P363">
        <v>5917</v>
      </c>
      <c r="Q363">
        <v>3758.75</v>
      </c>
      <c r="R363">
        <v>0.05</v>
      </c>
      <c r="S363" t="s">
        <v>38</v>
      </c>
      <c r="T363">
        <v>600.25</v>
      </c>
    </row>
    <row r="364" spans="1:20" x14ac:dyDescent="0.25">
      <c r="A364">
        <v>100363</v>
      </c>
      <c r="B364" s="6">
        <v>45000</v>
      </c>
      <c r="C364">
        <v>2023</v>
      </c>
      <c r="D364" t="s">
        <v>63</v>
      </c>
      <c r="E364">
        <v>3</v>
      </c>
      <c r="F364" t="s">
        <v>64</v>
      </c>
      <c r="G364" t="s">
        <v>29</v>
      </c>
      <c r="H364" t="s">
        <v>23</v>
      </c>
      <c r="I364" t="s">
        <v>73</v>
      </c>
      <c r="J364" t="s">
        <v>25</v>
      </c>
      <c r="K364" t="s">
        <v>51</v>
      </c>
      <c r="L364" t="s">
        <v>72</v>
      </c>
      <c r="M364">
        <v>113</v>
      </c>
      <c r="N364">
        <v>90</v>
      </c>
      <c r="O364">
        <v>9356.4</v>
      </c>
      <c r="P364">
        <v>5876</v>
      </c>
      <c r="Q364">
        <v>3480.4</v>
      </c>
      <c r="R364">
        <v>0.08</v>
      </c>
      <c r="S364" t="s">
        <v>38</v>
      </c>
      <c r="T364">
        <v>515.41999999999996</v>
      </c>
    </row>
    <row r="365" spans="1:20" x14ac:dyDescent="0.25">
      <c r="A365">
        <v>100364</v>
      </c>
      <c r="B365" s="6">
        <v>45815</v>
      </c>
      <c r="C365">
        <v>2025</v>
      </c>
      <c r="D365" t="s">
        <v>20</v>
      </c>
      <c r="E365">
        <v>6</v>
      </c>
      <c r="F365" t="s">
        <v>48</v>
      </c>
      <c r="G365" t="s">
        <v>45</v>
      </c>
      <c r="H365" t="s">
        <v>23</v>
      </c>
      <c r="I365" t="s">
        <v>90</v>
      </c>
      <c r="J365" t="s">
        <v>54</v>
      </c>
      <c r="K365" t="s">
        <v>55</v>
      </c>
      <c r="L365" t="s">
        <v>93</v>
      </c>
      <c r="M365">
        <v>19</v>
      </c>
      <c r="N365">
        <v>60</v>
      </c>
      <c r="O365">
        <v>1048.8</v>
      </c>
      <c r="P365">
        <v>798</v>
      </c>
      <c r="Q365">
        <v>250.8</v>
      </c>
      <c r="R365">
        <v>0.08</v>
      </c>
      <c r="S365" t="s">
        <v>28</v>
      </c>
      <c r="T365">
        <v>24.6</v>
      </c>
    </row>
    <row r="366" spans="1:20" x14ac:dyDescent="0.25">
      <c r="A366">
        <v>100365</v>
      </c>
      <c r="B366" s="6">
        <v>45055</v>
      </c>
      <c r="C366">
        <v>2023</v>
      </c>
      <c r="D366" t="s">
        <v>20</v>
      </c>
      <c r="E366">
        <v>5</v>
      </c>
      <c r="F366" t="s">
        <v>21</v>
      </c>
      <c r="G366" t="s">
        <v>29</v>
      </c>
      <c r="H366" t="s">
        <v>23</v>
      </c>
      <c r="I366" t="s">
        <v>73</v>
      </c>
      <c r="J366" t="s">
        <v>25</v>
      </c>
      <c r="K366" t="s">
        <v>26</v>
      </c>
      <c r="L366" t="s">
        <v>27</v>
      </c>
      <c r="M366">
        <v>76</v>
      </c>
      <c r="N366">
        <v>110</v>
      </c>
      <c r="O366">
        <v>8109.2</v>
      </c>
      <c r="P366">
        <v>5168</v>
      </c>
      <c r="Q366">
        <v>2941.2</v>
      </c>
      <c r="R366">
        <v>0.03</v>
      </c>
      <c r="S366" t="s">
        <v>38</v>
      </c>
      <c r="T366">
        <v>458.04</v>
      </c>
    </row>
    <row r="367" spans="1:20" x14ac:dyDescent="0.25">
      <c r="A367">
        <v>100366</v>
      </c>
      <c r="B367" s="6">
        <v>45644</v>
      </c>
      <c r="C367">
        <v>2024</v>
      </c>
      <c r="D367" t="s">
        <v>43</v>
      </c>
      <c r="E367">
        <v>12</v>
      </c>
      <c r="F367" t="s">
        <v>83</v>
      </c>
      <c r="G367" t="s">
        <v>45</v>
      </c>
      <c r="H367" t="s">
        <v>23</v>
      </c>
      <c r="I367" t="s">
        <v>88</v>
      </c>
      <c r="J367" t="s">
        <v>42</v>
      </c>
      <c r="K367" t="s">
        <v>55</v>
      </c>
      <c r="L367" t="s">
        <v>93</v>
      </c>
      <c r="M367">
        <v>100</v>
      </c>
      <c r="N367">
        <v>60</v>
      </c>
      <c r="O367">
        <v>5820</v>
      </c>
      <c r="P367">
        <v>4200</v>
      </c>
      <c r="Q367">
        <v>1620</v>
      </c>
      <c r="R367">
        <v>0.03</v>
      </c>
      <c r="S367" t="s">
        <v>38</v>
      </c>
      <c r="T367">
        <v>358.51</v>
      </c>
    </row>
    <row r="368" spans="1:20" x14ac:dyDescent="0.25">
      <c r="A368">
        <v>100367</v>
      </c>
      <c r="B368" s="6">
        <v>45241</v>
      </c>
      <c r="C368">
        <v>2023</v>
      </c>
      <c r="D368" t="s">
        <v>43</v>
      </c>
      <c r="E368">
        <v>11</v>
      </c>
      <c r="F368" t="s">
        <v>87</v>
      </c>
      <c r="G368" t="s">
        <v>22</v>
      </c>
      <c r="H368" t="s">
        <v>23</v>
      </c>
      <c r="I368" t="s">
        <v>71</v>
      </c>
      <c r="J368" t="s">
        <v>61</v>
      </c>
      <c r="K368" t="s">
        <v>32</v>
      </c>
      <c r="L368" t="s">
        <v>33</v>
      </c>
      <c r="M368">
        <v>31</v>
      </c>
      <c r="N368">
        <v>60</v>
      </c>
      <c r="O368">
        <v>1711.2</v>
      </c>
      <c r="P368">
        <v>1178</v>
      </c>
      <c r="Q368">
        <v>533.20000000000005</v>
      </c>
      <c r="R368">
        <v>0.08</v>
      </c>
      <c r="S368" t="s">
        <v>70</v>
      </c>
      <c r="T368">
        <v>52.25</v>
      </c>
    </row>
    <row r="369" spans="1:20" x14ac:dyDescent="0.25">
      <c r="A369">
        <v>100368</v>
      </c>
      <c r="B369" s="6">
        <v>45577</v>
      </c>
      <c r="C369">
        <v>2024</v>
      </c>
      <c r="D369" t="s">
        <v>43</v>
      </c>
      <c r="E369">
        <v>10</v>
      </c>
      <c r="F369" t="s">
        <v>44</v>
      </c>
      <c r="G369" t="s">
        <v>29</v>
      </c>
      <c r="H369" t="s">
        <v>23</v>
      </c>
      <c r="I369" t="s">
        <v>30</v>
      </c>
      <c r="J369" t="s">
        <v>54</v>
      </c>
      <c r="K369" t="s">
        <v>51</v>
      </c>
      <c r="L369" t="s">
        <v>72</v>
      </c>
      <c r="M369">
        <v>35</v>
      </c>
      <c r="N369">
        <v>90</v>
      </c>
      <c r="O369">
        <v>2898</v>
      </c>
      <c r="P369">
        <v>1820</v>
      </c>
      <c r="Q369">
        <v>1078</v>
      </c>
      <c r="R369">
        <v>0.08</v>
      </c>
      <c r="S369" t="s">
        <v>28</v>
      </c>
      <c r="T369">
        <v>66.39</v>
      </c>
    </row>
    <row r="370" spans="1:20" x14ac:dyDescent="0.25">
      <c r="A370">
        <v>100369</v>
      </c>
      <c r="B370" s="6">
        <v>45253</v>
      </c>
      <c r="C370">
        <v>2023</v>
      </c>
      <c r="D370" t="s">
        <v>43</v>
      </c>
      <c r="E370">
        <v>11</v>
      </c>
      <c r="F370" t="s">
        <v>87</v>
      </c>
      <c r="G370" t="s">
        <v>35</v>
      </c>
      <c r="H370" t="s">
        <v>23</v>
      </c>
      <c r="I370" t="s">
        <v>80</v>
      </c>
      <c r="J370" t="s">
        <v>68</v>
      </c>
      <c r="K370" t="s">
        <v>51</v>
      </c>
      <c r="L370" t="s">
        <v>76</v>
      </c>
      <c r="M370">
        <v>141</v>
      </c>
      <c r="N370">
        <v>40</v>
      </c>
      <c r="O370">
        <v>5188.8</v>
      </c>
      <c r="P370">
        <v>3243</v>
      </c>
      <c r="Q370">
        <v>1945.8</v>
      </c>
      <c r="R370">
        <v>0.08</v>
      </c>
      <c r="S370" t="s">
        <v>38</v>
      </c>
      <c r="T370">
        <v>331.51</v>
      </c>
    </row>
    <row r="371" spans="1:20" x14ac:dyDescent="0.25">
      <c r="A371">
        <v>100370</v>
      </c>
      <c r="B371" s="6">
        <v>45147</v>
      </c>
      <c r="C371">
        <v>2023</v>
      </c>
      <c r="D371" t="s">
        <v>39</v>
      </c>
      <c r="E371">
        <v>8</v>
      </c>
      <c r="F371" t="s">
        <v>58</v>
      </c>
      <c r="G371" t="s">
        <v>29</v>
      </c>
      <c r="H371" t="s">
        <v>23</v>
      </c>
      <c r="I371" t="s">
        <v>73</v>
      </c>
      <c r="J371" t="s">
        <v>25</v>
      </c>
      <c r="K371" t="s">
        <v>51</v>
      </c>
      <c r="L371" t="s">
        <v>72</v>
      </c>
      <c r="M371">
        <v>112</v>
      </c>
      <c r="N371">
        <v>90</v>
      </c>
      <c r="O371">
        <v>10080</v>
      </c>
      <c r="P371">
        <v>5824</v>
      </c>
      <c r="Q371">
        <v>4256</v>
      </c>
      <c r="R371">
        <v>0</v>
      </c>
      <c r="S371" t="s">
        <v>38</v>
      </c>
      <c r="T371">
        <v>503.82</v>
      </c>
    </row>
    <row r="372" spans="1:20" x14ac:dyDescent="0.25">
      <c r="A372">
        <v>100371</v>
      </c>
      <c r="B372" s="6">
        <v>45197</v>
      </c>
      <c r="C372">
        <v>2023</v>
      </c>
      <c r="D372" t="s">
        <v>39</v>
      </c>
      <c r="E372">
        <v>9</v>
      </c>
      <c r="F372" t="s">
        <v>40</v>
      </c>
      <c r="G372" t="s">
        <v>22</v>
      </c>
      <c r="H372" t="s">
        <v>23</v>
      </c>
      <c r="I372" t="s">
        <v>71</v>
      </c>
      <c r="J372" t="s">
        <v>50</v>
      </c>
      <c r="K372" t="s">
        <v>59</v>
      </c>
      <c r="L372" t="s">
        <v>67</v>
      </c>
      <c r="M372">
        <v>33</v>
      </c>
      <c r="N372">
        <v>95</v>
      </c>
      <c r="O372">
        <v>2884.2</v>
      </c>
      <c r="P372">
        <v>1848</v>
      </c>
      <c r="Q372">
        <v>1036.2</v>
      </c>
      <c r="R372">
        <v>0.08</v>
      </c>
      <c r="S372" t="s">
        <v>57</v>
      </c>
      <c r="T372">
        <v>50.82</v>
      </c>
    </row>
    <row r="373" spans="1:20" x14ac:dyDescent="0.25">
      <c r="A373">
        <v>100372</v>
      </c>
      <c r="B373" s="6">
        <v>45462</v>
      </c>
      <c r="C373">
        <v>2024</v>
      </c>
      <c r="D373" t="s">
        <v>20</v>
      </c>
      <c r="E373">
        <v>6</v>
      </c>
      <c r="F373" t="s">
        <v>48</v>
      </c>
      <c r="G373" t="s">
        <v>35</v>
      </c>
      <c r="H373" t="s">
        <v>23</v>
      </c>
      <c r="I373" t="s">
        <v>80</v>
      </c>
      <c r="J373" t="s">
        <v>66</v>
      </c>
      <c r="K373" t="s">
        <v>32</v>
      </c>
      <c r="L373" t="s">
        <v>37</v>
      </c>
      <c r="M373">
        <v>125</v>
      </c>
      <c r="N373">
        <v>120</v>
      </c>
      <c r="O373">
        <v>14550</v>
      </c>
      <c r="P373">
        <v>9750</v>
      </c>
      <c r="Q373">
        <v>4800</v>
      </c>
      <c r="R373">
        <v>0.03</v>
      </c>
      <c r="S373" t="s">
        <v>70</v>
      </c>
      <c r="T373">
        <v>248.32</v>
      </c>
    </row>
    <row r="374" spans="1:20" x14ac:dyDescent="0.25">
      <c r="A374">
        <v>100373</v>
      </c>
      <c r="B374" s="6">
        <v>45607</v>
      </c>
      <c r="C374">
        <v>2024</v>
      </c>
      <c r="D374" t="s">
        <v>43</v>
      </c>
      <c r="E374">
        <v>11</v>
      </c>
      <c r="F374" t="s">
        <v>87</v>
      </c>
      <c r="G374" t="s">
        <v>45</v>
      </c>
      <c r="H374" t="s">
        <v>23</v>
      </c>
      <c r="I374" t="s">
        <v>46</v>
      </c>
      <c r="J374" t="s">
        <v>54</v>
      </c>
      <c r="K374" t="s">
        <v>51</v>
      </c>
      <c r="L374" t="s">
        <v>76</v>
      </c>
      <c r="M374">
        <v>79</v>
      </c>
      <c r="N374">
        <v>40</v>
      </c>
      <c r="O374">
        <v>3160</v>
      </c>
      <c r="P374">
        <v>1817</v>
      </c>
      <c r="Q374">
        <v>1343</v>
      </c>
      <c r="R374">
        <v>0</v>
      </c>
      <c r="S374" t="s">
        <v>38</v>
      </c>
      <c r="T374">
        <v>216.52</v>
      </c>
    </row>
    <row r="375" spans="1:20" x14ac:dyDescent="0.25">
      <c r="A375">
        <v>100374</v>
      </c>
      <c r="B375" s="6">
        <v>45138</v>
      </c>
      <c r="C375">
        <v>2023</v>
      </c>
      <c r="D375" t="s">
        <v>39</v>
      </c>
      <c r="E375">
        <v>7</v>
      </c>
      <c r="F375" t="s">
        <v>75</v>
      </c>
      <c r="G375" t="s">
        <v>22</v>
      </c>
      <c r="H375" t="s">
        <v>23</v>
      </c>
      <c r="I375" t="s">
        <v>65</v>
      </c>
      <c r="J375" t="s">
        <v>54</v>
      </c>
      <c r="K375" t="s">
        <v>32</v>
      </c>
      <c r="L375" t="s">
        <v>74</v>
      </c>
      <c r="M375">
        <v>85</v>
      </c>
      <c r="N375">
        <v>25</v>
      </c>
      <c r="O375">
        <v>2082.5</v>
      </c>
      <c r="P375">
        <v>1190</v>
      </c>
      <c r="Q375">
        <v>892.5</v>
      </c>
      <c r="R375">
        <v>0.02</v>
      </c>
      <c r="S375" t="s">
        <v>70</v>
      </c>
      <c r="T375">
        <v>107.18</v>
      </c>
    </row>
    <row r="376" spans="1:20" x14ac:dyDescent="0.25">
      <c r="A376">
        <v>100375</v>
      </c>
      <c r="B376" s="6">
        <v>45232</v>
      </c>
      <c r="C376">
        <v>2023</v>
      </c>
      <c r="D376" t="s">
        <v>43</v>
      </c>
      <c r="E376">
        <v>11</v>
      </c>
      <c r="F376" t="s">
        <v>87</v>
      </c>
      <c r="G376" t="s">
        <v>35</v>
      </c>
      <c r="H376" t="s">
        <v>23</v>
      </c>
      <c r="I376" t="s">
        <v>36</v>
      </c>
      <c r="J376" t="s">
        <v>50</v>
      </c>
      <c r="K376" t="s">
        <v>26</v>
      </c>
      <c r="L376" t="s">
        <v>82</v>
      </c>
      <c r="M376">
        <v>135</v>
      </c>
      <c r="N376">
        <v>105</v>
      </c>
      <c r="O376">
        <v>13891.5</v>
      </c>
      <c r="P376">
        <v>8235</v>
      </c>
      <c r="Q376">
        <v>5656.5</v>
      </c>
      <c r="R376">
        <v>0.02</v>
      </c>
      <c r="S376" t="s">
        <v>28</v>
      </c>
      <c r="T376">
        <v>972.06</v>
      </c>
    </row>
    <row r="377" spans="1:20" x14ac:dyDescent="0.25">
      <c r="A377">
        <v>100376</v>
      </c>
      <c r="B377" s="6">
        <v>45430</v>
      </c>
      <c r="C377">
        <v>2024</v>
      </c>
      <c r="D377" t="s">
        <v>20</v>
      </c>
      <c r="E377">
        <v>5</v>
      </c>
      <c r="F377" t="s">
        <v>21</v>
      </c>
      <c r="G377" t="s">
        <v>35</v>
      </c>
      <c r="H377" t="s">
        <v>23</v>
      </c>
      <c r="I377" t="s">
        <v>77</v>
      </c>
      <c r="J377" t="s">
        <v>68</v>
      </c>
      <c r="K377" t="s">
        <v>59</v>
      </c>
      <c r="L377" t="s">
        <v>91</v>
      </c>
      <c r="M377">
        <v>25</v>
      </c>
      <c r="N377">
        <v>140</v>
      </c>
      <c r="O377">
        <v>3500</v>
      </c>
      <c r="P377">
        <v>2050</v>
      </c>
      <c r="Q377">
        <v>1450</v>
      </c>
      <c r="R377">
        <v>0</v>
      </c>
      <c r="S377" t="s">
        <v>38</v>
      </c>
      <c r="T377">
        <v>157.32</v>
      </c>
    </row>
    <row r="378" spans="1:20" x14ac:dyDescent="0.25">
      <c r="A378">
        <v>100377</v>
      </c>
      <c r="B378" s="6">
        <v>45088</v>
      </c>
      <c r="C378">
        <v>2023</v>
      </c>
      <c r="D378" t="s">
        <v>20</v>
      </c>
      <c r="E378">
        <v>6</v>
      </c>
      <c r="F378" t="s">
        <v>48</v>
      </c>
      <c r="G378" t="s">
        <v>22</v>
      </c>
      <c r="H378" t="s">
        <v>23</v>
      </c>
      <c r="I378" t="s">
        <v>41</v>
      </c>
      <c r="J378" t="s">
        <v>31</v>
      </c>
      <c r="K378" t="s">
        <v>59</v>
      </c>
      <c r="L378" t="s">
        <v>67</v>
      </c>
      <c r="M378">
        <v>19</v>
      </c>
      <c r="N378">
        <v>95</v>
      </c>
      <c r="O378">
        <v>1750.85</v>
      </c>
      <c r="P378">
        <v>1064</v>
      </c>
      <c r="Q378">
        <v>686.85</v>
      </c>
      <c r="R378">
        <v>0.03</v>
      </c>
      <c r="S378" t="s">
        <v>38</v>
      </c>
      <c r="T378">
        <v>61.09</v>
      </c>
    </row>
    <row r="379" spans="1:20" x14ac:dyDescent="0.25">
      <c r="A379">
        <v>100378</v>
      </c>
      <c r="B379" s="6">
        <v>45079</v>
      </c>
      <c r="C379">
        <v>2023</v>
      </c>
      <c r="D379" t="s">
        <v>20</v>
      </c>
      <c r="E379">
        <v>6</v>
      </c>
      <c r="F379" t="s">
        <v>48</v>
      </c>
      <c r="G379" t="s">
        <v>22</v>
      </c>
      <c r="H379" t="s">
        <v>23</v>
      </c>
      <c r="I379" t="s">
        <v>71</v>
      </c>
      <c r="J379" t="s">
        <v>42</v>
      </c>
      <c r="K379" t="s">
        <v>59</v>
      </c>
      <c r="L379" t="s">
        <v>60</v>
      </c>
      <c r="M379">
        <v>74</v>
      </c>
      <c r="N379">
        <v>45</v>
      </c>
      <c r="O379">
        <v>3163.5</v>
      </c>
      <c r="P379">
        <v>1998</v>
      </c>
      <c r="Q379">
        <v>1165.5</v>
      </c>
      <c r="R379">
        <v>0.05</v>
      </c>
      <c r="S379" t="s">
        <v>28</v>
      </c>
      <c r="T379">
        <v>77.39</v>
      </c>
    </row>
    <row r="380" spans="1:20" x14ac:dyDescent="0.25">
      <c r="A380">
        <v>100379</v>
      </c>
      <c r="B380" s="6">
        <v>45030</v>
      </c>
      <c r="C380">
        <v>2023</v>
      </c>
      <c r="D380" t="s">
        <v>20</v>
      </c>
      <c r="E380">
        <v>4</v>
      </c>
      <c r="F380" t="s">
        <v>34</v>
      </c>
      <c r="G380" t="s">
        <v>22</v>
      </c>
      <c r="H380" t="s">
        <v>23</v>
      </c>
      <c r="I380" t="s">
        <v>65</v>
      </c>
      <c r="J380" t="s">
        <v>61</v>
      </c>
      <c r="K380" t="s">
        <v>32</v>
      </c>
      <c r="L380" t="s">
        <v>33</v>
      </c>
      <c r="M380">
        <v>10</v>
      </c>
      <c r="N380">
        <v>60</v>
      </c>
      <c r="O380">
        <v>600</v>
      </c>
      <c r="P380">
        <v>380</v>
      </c>
      <c r="Q380">
        <v>220</v>
      </c>
      <c r="R380">
        <v>0</v>
      </c>
      <c r="S380" t="s">
        <v>28</v>
      </c>
      <c r="T380">
        <v>13.13</v>
      </c>
    </row>
    <row r="381" spans="1:20" x14ac:dyDescent="0.25">
      <c r="A381">
        <v>100380</v>
      </c>
      <c r="B381" s="6">
        <v>45689</v>
      </c>
      <c r="C381">
        <v>2025</v>
      </c>
      <c r="D381" t="s">
        <v>63</v>
      </c>
      <c r="E381">
        <v>2</v>
      </c>
      <c r="F381" t="s">
        <v>81</v>
      </c>
      <c r="G381" t="s">
        <v>45</v>
      </c>
      <c r="H381" t="s">
        <v>23</v>
      </c>
      <c r="I381" t="s">
        <v>46</v>
      </c>
      <c r="J381" t="s">
        <v>42</v>
      </c>
      <c r="K381" t="s">
        <v>32</v>
      </c>
      <c r="L381" t="s">
        <v>33</v>
      </c>
      <c r="M381">
        <v>15</v>
      </c>
      <c r="N381">
        <v>60</v>
      </c>
      <c r="O381">
        <v>855</v>
      </c>
      <c r="P381">
        <v>570</v>
      </c>
      <c r="Q381">
        <v>285</v>
      </c>
      <c r="R381">
        <v>0.05</v>
      </c>
      <c r="S381" t="s">
        <v>57</v>
      </c>
      <c r="T381">
        <v>20.22</v>
      </c>
    </row>
    <row r="382" spans="1:20" x14ac:dyDescent="0.25">
      <c r="A382">
        <v>100381</v>
      </c>
      <c r="B382" s="6">
        <v>45101</v>
      </c>
      <c r="C382">
        <v>2023</v>
      </c>
      <c r="D382" t="s">
        <v>20</v>
      </c>
      <c r="E382">
        <v>6</v>
      </c>
      <c r="F382" t="s">
        <v>48</v>
      </c>
      <c r="G382" t="s">
        <v>45</v>
      </c>
      <c r="H382" t="s">
        <v>23</v>
      </c>
      <c r="I382" t="s">
        <v>90</v>
      </c>
      <c r="J382" t="s">
        <v>50</v>
      </c>
      <c r="K382" t="s">
        <v>59</v>
      </c>
      <c r="L382" t="s">
        <v>60</v>
      </c>
      <c r="M382">
        <v>24</v>
      </c>
      <c r="N382">
        <v>45</v>
      </c>
      <c r="O382">
        <v>1047.5999999999999</v>
      </c>
      <c r="P382">
        <v>648</v>
      </c>
      <c r="Q382">
        <v>399.6</v>
      </c>
      <c r="R382">
        <v>0.03</v>
      </c>
      <c r="S382" t="s">
        <v>38</v>
      </c>
      <c r="T382">
        <v>38.03</v>
      </c>
    </row>
    <row r="383" spans="1:20" x14ac:dyDescent="0.25">
      <c r="A383">
        <v>100382</v>
      </c>
      <c r="B383" s="6">
        <v>45777</v>
      </c>
      <c r="C383">
        <v>2025</v>
      </c>
      <c r="D383" t="s">
        <v>20</v>
      </c>
      <c r="E383">
        <v>4</v>
      </c>
      <c r="F383" t="s">
        <v>34</v>
      </c>
      <c r="G383" t="s">
        <v>22</v>
      </c>
      <c r="H383" t="s">
        <v>23</v>
      </c>
      <c r="I383" t="s">
        <v>65</v>
      </c>
      <c r="J383" t="s">
        <v>54</v>
      </c>
      <c r="K383" t="s">
        <v>32</v>
      </c>
      <c r="L383" t="s">
        <v>33</v>
      </c>
      <c r="M383">
        <v>67</v>
      </c>
      <c r="N383">
        <v>60</v>
      </c>
      <c r="O383">
        <v>3819</v>
      </c>
      <c r="P383">
        <v>2546</v>
      </c>
      <c r="Q383">
        <v>1273</v>
      </c>
      <c r="R383">
        <v>0.05</v>
      </c>
      <c r="S383" t="s">
        <v>38</v>
      </c>
      <c r="T383">
        <v>234.41</v>
      </c>
    </row>
    <row r="384" spans="1:20" x14ac:dyDescent="0.25">
      <c r="A384">
        <v>100383</v>
      </c>
      <c r="B384" s="6">
        <v>45851</v>
      </c>
      <c r="C384">
        <v>2025</v>
      </c>
      <c r="D384" t="s">
        <v>39</v>
      </c>
      <c r="E384">
        <v>7</v>
      </c>
      <c r="F384" t="s">
        <v>75</v>
      </c>
      <c r="G384" t="s">
        <v>22</v>
      </c>
      <c r="H384" t="s">
        <v>23</v>
      </c>
      <c r="I384" t="s">
        <v>41</v>
      </c>
      <c r="J384" t="s">
        <v>31</v>
      </c>
      <c r="K384" t="s">
        <v>59</v>
      </c>
      <c r="L384" t="s">
        <v>60</v>
      </c>
      <c r="M384">
        <v>92</v>
      </c>
      <c r="N384">
        <v>45</v>
      </c>
      <c r="O384">
        <v>4015.8</v>
      </c>
      <c r="P384">
        <v>2484</v>
      </c>
      <c r="Q384">
        <v>1531.8</v>
      </c>
      <c r="R384">
        <v>0.03</v>
      </c>
      <c r="S384" t="s">
        <v>28</v>
      </c>
      <c r="T384">
        <v>128.44999999999999</v>
      </c>
    </row>
    <row r="385" spans="1:20" x14ac:dyDescent="0.25">
      <c r="A385">
        <v>100384</v>
      </c>
      <c r="B385" s="6">
        <v>45451</v>
      </c>
      <c r="C385">
        <v>2024</v>
      </c>
      <c r="D385" t="s">
        <v>20</v>
      </c>
      <c r="E385">
        <v>6</v>
      </c>
      <c r="F385" t="s">
        <v>48</v>
      </c>
      <c r="G385" t="s">
        <v>29</v>
      </c>
      <c r="H385" t="s">
        <v>23</v>
      </c>
      <c r="I385" t="s">
        <v>49</v>
      </c>
      <c r="J385" t="s">
        <v>50</v>
      </c>
      <c r="K385" t="s">
        <v>26</v>
      </c>
      <c r="L385" t="s">
        <v>69</v>
      </c>
      <c r="M385">
        <v>89</v>
      </c>
      <c r="N385">
        <v>130</v>
      </c>
      <c r="O385">
        <v>11570</v>
      </c>
      <c r="P385">
        <v>6764</v>
      </c>
      <c r="Q385">
        <v>4806</v>
      </c>
      <c r="R385">
        <v>0</v>
      </c>
      <c r="S385" t="s">
        <v>57</v>
      </c>
      <c r="T385">
        <v>724.18</v>
      </c>
    </row>
    <row r="386" spans="1:20" x14ac:dyDescent="0.25">
      <c r="A386">
        <v>100385</v>
      </c>
      <c r="B386" s="6">
        <v>45354</v>
      </c>
      <c r="C386">
        <v>2024</v>
      </c>
      <c r="D386" t="s">
        <v>63</v>
      </c>
      <c r="E386">
        <v>3</v>
      </c>
      <c r="F386" t="s">
        <v>64</v>
      </c>
      <c r="G386" t="s">
        <v>22</v>
      </c>
      <c r="H386" t="s">
        <v>23</v>
      </c>
      <c r="I386" t="s">
        <v>41</v>
      </c>
      <c r="J386" t="s">
        <v>31</v>
      </c>
      <c r="K386" t="s">
        <v>55</v>
      </c>
      <c r="L386" t="s">
        <v>89</v>
      </c>
      <c r="M386">
        <v>66</v>
      </c>
      <c r="N386">
        <v>280</v>
      </c>
      <c r="O386">
        <v>17556</v>
      </c>
      <c r="P386">
        <v>13530</v>
      </c>
      <c r="Q386">
        <v>4026</v>
      </c>
      <c r="R386">
        <v>0.05</v>
      </c>
      <c r="S386" t="s">
        <v>28</v>
      </c>
      <c r="T386">
        <v>505.19</v>
      </c>
    </row>
    <row r="387" spans="1:20" x14ac:dyDescent="0.25">
      <c r="A387">
        <v>100386</v>
      </c>
      <c r="B387" s="6">
        <v>45941</v>
      </c>
      <c r="C387">
        <v>2025</v>
      </c>
      <c r="D387" t="s">
        <v>43</v>
      </c>
      <c r="E387">
        <v>10</v>
      </c>
      <c r="F387" t="s">
        <v>44</v>
      </c>
      <c r="G387" t="s">
        <v>22</v>
      </c>
      <c r="H387" t="s">
        <v>23</v>
      </c>
      <c r="I387" t="s">
        <v>24</v>
      </c>
      <c r="J387" t="s">
        <v>66</v>
      </c>
      <c r="K387" t="s">
        <v>32</v>
      </c>
      <c r="L387" t="s">
        <v>47</v>
      </c>
      <c r="M387">
        <v>81</v>
      </c>
      <c r="N387">
        <v>180</v>
      </c>
      <c r="O387">
        <v>14580</v>
      </c>
      <c r="P387">
        <v>9315</v>
      </c>
      <c r="Q387">
        <v>5265</v>
      </c>
      <c r="R387">
        <v>0</v>
      </c>
      <c r="S387" t="s">
        <v>38</v>
      </c>
      <c r="T387">
        <v>658.83</v>
      </c>
    </row>
    <row r="388" spans="1:20" x14ac:dyDescent="0.25">
      <c r="A388">
        <v>100387</v>
      </c>
      <c r="B388" s="6">
        <v>45066</v>
      </c>
      <c r="C388">
        <v>2023</v>
      </c>
      <c r="D388" t="s">
        <v>20</v>
      </c>
      <c r="E388">
        <v>5</v>
      </c>
      <c r="F388" t="s">
        <v>21</v>
      </c>
      <c r="G388" t="s">
        <v>45</v>
      </c>
      <c r="H388" t="s">
        <v>23</v>
      </c>
      <c r="I388" t="s">
        <v>88</v>
      </c>
      <c r="J388" t="s">
        <v>42</v>
      </c>
      <c r="K388" t="s">
        <v>51</v>
      </c>
      <c r="L388" t="s">
        <v>92</v>
      </c>
      <c r="M388">
        <v>87</v>
      </c>
      <c r="N388">
        <v>50</v>
      </c>
      <c r="O388">
        <v>4132.5</v>
      </c>
      <c r="P388">
        <v>2523</v>
      </c>
      <c r="Q388">
        <v>1609.5</v>
      </c>
      <c r="R388">
        <v>0.05</v>
      </c>
      <c r="S388" t="s">
        <v>38</v>
      </c>
      <c r="T388">
        <v>118.16</v>
      </c>
    </row>
    <row r="389" spans="1:20" x14ac:dyDescent="0.25">
      <c r="A389">
        <v>100388</v>
      </c>
      <c r="B389" s="6">
        <v>44945</v>
      </c>
      <c r="C389">
        <v>2023</v>
      </c>
      <c r="D389" t="s">
        <v>63</v>
      </c>
      <c r="E389">
        <v>1</v>
      </c>
      <c r="F389" t="s">
        <v>79</v>
      </c>
      <c r="G389" t="s">
        <v>35</v>
      </c>
      <c r="H389" t="s">
        <v>23</v>
      </c>
      <c r="I389" t="s">
        <v>77</v>
      </c>
      <c r="J389" t="s">
        <v>50</v>
      </c>
      <c r="K389" t="s">
        <v>32</v>
      </c>
      <c r="L389" t="s">
        <v>33</v>
      </c>
      <c r="M389">
        <v>56</v>
      </c>
      <c r="N389">
        <v>60</v>
      </c>
      <c r="O389">
        <v>3259.2</v>
      </c>
      <c r="P389">
        <v>2128</v>
      </c>
      <c r="Q389">
        <v>1131.2</v>
      </c>
      <c r="R389">
        <v>0.03</v>
      </c>
      <c r="S389" t="s">
        <v>57</v>
      </c>
      <c r="T389">
        <v>224.93</v>
      </c>
    </row>
    <row r="390" spans="1:20" x14ac:dyDescent="0.25">
      <c r="A390">
        <v>100389</v>
      </c>
      <c r="B390" s="6">
        <v>45141</v>
      </c>
      <c r="C390">
        <v>2023</v>
      </c>
      <c r="D390" t="s">
        <v>39</v>
      </c>
      <c r="E390">
        <v>8</v>
      </c>
      <c r="F390" t="s">
        <v>58</v>
      </c>
      <c r="G390" t="s">
        <v>35</v>
      </c>
      <c r="H390" t="s">
        <v>23</v>
      </c>
      <c r="I390" t="s">
        <v>53</v>
      </c>
      <c r="J390" t="s">
        <v>42</v>
      </c>
      <c r="K390" t="s">
        <v>51</v>
      </c>
      <c r="L390" t="s">
        <v>76</v>
      </c>
      <c r="M390">
        <v>38</v>
      </c>
      <c r="N390">
        <v>40</v>
      </c>
      <c r="O390">
        <v>1489.6</v>
      </c>
      <c r="P390">
        <v>874</v>
      </c>
      <c r="Q390">
        <v>615.6</v>
      </c>
      <c r="R390">
        <v>0.02</v>
      </c>
      <c r="S390" t="s">
        <v>28</v>
      </c>
      <c r="T390">
        <v>99.46</v>
      </c>
    </row>
    <row r="391" spans="1:20" x14ac:dyDescent="0.25">
      <c r="A391">
        <v>100390</v>
      </c>
      <c r="B391" s="6">
        <v>45144</v>
      </c>
      <c r="C391">
        <v>2023</v>
      </c>
      <c r="D391" t="s">
        <v>39</v>
      </c>
      <c r="E391">
        <v>8</v>
      </c>
      <c r="F391" t="s">
        <v>58</v>
      </c>
      <c r="G391" t="s">
        <v>35</v>
      </c>
      <c r="H391" t="s">
        <v>23</v>
      </c>
      <c r="I391" t="s">
        <v>77</v>
      </c>
      <c r="J391" t="s">
        <v>42</v>
      </c>
      <c r="K391" t="s">
        <v>55</v>
      </c>
      <c r="L391" t="s">
        <v>84</v>
      </c>
      <c r="M391">
        <v>15</v>
      </c>
      <c r="N391">
        <v>55</v>
      </c>
      <c r="O391">
        <v>800.25</v>
      </c>
      <c r="P391">
        <v>555</v>
      </c>
      <c r="Q391">
        <v>245.25</v>
      </c>
      <c r="R391">
        <v>0.03</v>
      </c>
      <c r="S391" t="s">
        <v>57</v>
      </c>
      <c r="T391">
        <v>55.09</v>
      </c>
    </row>
    <row r="392" spans="1:20" x14ac:dyDescent="0.25">
      <c r="A392">
        <v>100391</v>
      </c>
      <c r="B392" s="6">
        <v>45351</v>
      </c>
      <c r="C392">
        <v>2024</v>
      </c>
      <c r="D392" t="s">
        <v>63</v>
      </c>
      <c r="E392">
        <v>2</v>
      </c>
      <c r="F392" t="s">
        <v>81</v>
      </c>
      <c r="G392" t="s">
        <v>45</v>
      </c>
      <c r="H392" t="s">
        <v>23</v>
      </c>
      <c r="I392" t="s">
        <v>90</v>
      </c>
      <c r="J392" t="s">
        <v>31</v>
      </c>
      <c r="K392" t="s">
        <v>59</v>
      </c>
      <c r="L392" t="s">
        <v>67</v>
      </c>
      <c r="M392">
        <v>140</v>
      </c>
      <c r="N392">
        <v>95</v>
      </c>
      <c r="O392">
        <v>13034</v>
      </c>
      <c r="P392">
        <v>7840</v>
      </c>
      <c r="Q392">
        <v>5194</v>
      </c>
      <c r="R392">
        <v>0.02</v>
      </c>
      <c r="S392" t="s">
        <v>70</v>
      </c>
      <c r="T392">
        <v>541.79</v>
      </c>
    </row>
    <row r="393" spans="1:20" x14ac:dyDescent="0.25">
      <c r="A393">
        <v>100392</v>
      </c>
      <c r="B393" s="6">
        <v>45512</v>
      </c>
      <c r="C393">
        <v>2024</v>
      </c>
      <c r="D393" t="s">
        <v>39</v>
      </c>
      <c r="E393">
        <v>8</v>
      </c>
      <c r="F393" t="s">
        <v>58</v>
      </c>
      <c r="G393" t="s">
        <v>35</v>
      </c>
      <c r="H393" t="s">
        <v>23</v>
      </c>
      <c r="I393" t="s">
        <v>36</v>
      </c>
      <c r="J393" t="s">
        <v>50</v>
      </c>
      <c r="K393" t="s">
        <v>32</v>
      </c>
      <c r="L393" t="s">
        <v>74</v>
      </c>
      <c r="M393">
        <v>48</v>
      </c>
      <c r="N393">
        <v>25</v>
      </c>
      <c r="O393">
        <v>1200</v>
      </c>
      <c r="P393">
        <v>672</v>
      </c>
      <c r="Q393">
        <v>528</v>
      </c>
      <c r="R393">
        <v>0</v>
      </c>
      <c r="S393" t="s">
        <v>38</v>
      </c>
      <c r="T393">
        <v>79.08</v>
      </c>
    </row>
    <row r="394" spans="1:20" x14ac:dyDescent="0.25">
      <c r="A394">
        <v>100393</v>
      </c>
      <c r="B394" s="6">
        <v>45876</v>
      </c>
      <c r="C394">
        <v>2025</v>
      </c>
      <c r="D394" t="s">
        <v>39</v>
      </c>
      <c r="E394">
        <v>8</v>
      </c>
      <c r="F394" t="s">
        <v>58</v>
      </c>
      <c r="G394" t="s">
        <v>29</v>
      </c>
      <c r="H394" t="s">
        <v>23</v>
      </c>
      <c r="I394" t="s">
        <v>49</v>
      </c>
      <c r="J394" t="s">
        <v>66</v>
      </c>
      <c r="K394" t="s">
        <v>51</v>
      </c>
      <c r="L394" t="s">
        <v>52</v>
      </c>
      <c r="M394">
        <v>120</v>
      </c>
      <c r="N394">
        <v>75</v>
      </c>
      <c r="O394">
        <v>8730</v>
      </c>
      <c r="P394">
        <v>5280</v>
      </c>
      <c r="Q394">
        <v>3450</v>
      </c>
      <c r="R394">
        <v>0.03</v>
      </c>
      <c r="S394" t="s">
        <v>28</v>
      </c>
      <c r="T394">
        <v>439.03</v>
      </c>
    </row>
    <row r="395" spans="1:20" x14ac:dyDescent="0.25">
      <c r="A395">
        <v>100394</v>
      </c>
      <c r="B395" s="6">
        <v>44999</v>
      </c>
      <c r="C395">
        <v>2023</v>
      </c>
      <c r="D395" t="s">
        <v>63</v>
      </c>
      <c r="E395">
        <v>3</v>
      </c>
      <c r="F395" t="s">
        <v>64</v>
      </c>
      <c r="G395" t="s">
        <v>45</v>
      </c>
      <c r="H395" t="s">
        <v>23</v>
      </c>
      <c r="I395" t="s">
        <v>62</v>
      </c>
      <c r="J395" t="s">
        <v>50</v>
      </c>
      <c r="K395" t="s">
        <v>59</v>
      </c>
      <c r="L395" t="s">
        <v>60</v>
      </c>
      <c r="M395">
        <v>109</v>
      </c>
      <c r="N395">
        <v>45</v>
      </c>
      <c r="O395">
        <v>4806.8999999999996</v>
      </c>
      <c r="P395">
        <v>2943</v>
      </c>
      <c r="Q395">
        <v>1863.9</v>
      </c>
      <c r="R395">
        <v>0.02</v>
      </c>
      <c r="S395" t="s">
        <v>28</v>
      </c>
      <c r="T395">
        <v>72.64</v>
      </c>
    </row>
    <row r="396" spans="1:20" x14ac:dyDescent="0.25">
      <c r="A396">
        <v>100395</v>
      </c>
      <c r="B396" s="6">
        <v>45192</v>
      </c>
      <c r="C396">
        <v>2023</v>
      </c>
      <c r="D396" t="s">
        <v>39</v>
      </c>
      <c r="E396">
        <v>9</v>
      </c>
      <c r="F396" t="s">
        <v>40</v>
      </c>
      <c r="G396" t="s">
        <v>45</v>
      </c>
      <c r="H396" t="s">
        <v>23</v>
      </c>
      <c r="I396" t="s">
        <v>90</v>
      </c>
      <c r="J396" t="s">
        <v>50</v>
      </c>
      <c r="K396" t="s">
        <v>32</v>
      </c>
      <c r="L396" t="s">
        <v>74</v>
      </c>
      <c r="M396">
        <v>57</v>
      </c>
      <c r="N396">
        <v>25</v>
      </c>
      <c r="O396">
        <v>1425</v>
      </c>
      <c r="P396">
        <v>798</v>
      </c>
      <c r="Q396">
        <v>627</v>
      </c>
      <c r="R396">
        <v>0</v>
      </c>
      <c r="S396" t="s">
        <v>57</v>
      </c>
      <c r="T396">
        <v>81.900000000000006</v>
      </c>
    </row>
    <row r="397" spans="1:20" x14ac:dyDescent="0.25">
      <c r="A397">
        <v>100396</v>
      </c>
      <c r="B397" s="6">
        <v>44951</v>
      </c>
      <c r="C397">
        <v>2023</v>
      </c>
      <c r="D397" t="s">
        <v>63</v>
      </c>
      <c r="E397">
        <v>1</v>
      </c>
      <c r="F397" t="s">
        <v>79</v>
      </c>
      <c r="G397" t="s">
        <v>45</v>
      </c>
      <c r="H397" t="s">
        <v>23</v>
      </c>
      <c r="I397" t="s">
        <v>62</v>
      </c>
      <c r="J397" t="s">
        <v>25</v>
      </c>
      <c r="K397" t="s">
        <v>59</v>
      </c>
      <c r="L397" t="s">
        <v>60</v>
      </c>
      <c r="M397">
        <v>77</v>
      </c>
      <c r="N397">
        <v>45</v>
      </c>
      <c r="O397">
        <v>3118.5</v>
      </c>
      <c r="P397">
        <v>2079</v>
      </c>
      <c r="Q397">
        <v>1039.5</v>
      </c>
      <c r="R397">
        <v>0.1</v>
      </c>
      <c r="S397" t="s">
        <v>28</v>
      </c>
      <c r="T397">
        <v>139.74</v>
      </c>
    </row>
    <row r="398" spans="1:20" x14ac:dyDescent="0.25">
      <c r="A398">
        <v>100397</v>
      </c>
      <c r="B398" s="6">
        <v>44972</v>
      </c>
      <c r="C398">
        <v>2023</v>
      </c>
      <c r="D398" t="s">
        <v>63</v>
      </c>
      <c r="E398">
        <v>2</v>
      </c>
      <c r="F398" t="s">
        <v>81</v>
      </c>
      <c r="G398" t="s">
        <v>35</v>
      </c>
      <c r="H398" t="s">
        <v>23</v>
      </c>
      <c r="I398" t="s">
        <v>80</v>
      </c>
      <c r="J398" t="s">
        <v>25</v>
      </c>
      <c r="K398" t="s">
        <v>26</v>
      </c>
      <c r="L398" t="s">
        <v>82</v>
      </c>
      <c r="M398">
        <v>83</v>
      </c>
      <c r="N398">
        <v>105</v>
      </c>
      <c r="O398">
        <v>8715</v>
      </c>
      <c r="P398">
        <v>5063</v>
      </c>
      <c r="Q398">
        <v>3652</v>
      </c>
      <c r="R398">
        <v>0</v>
      </c>
      <c r="S398" t="s">
        <v>28</v>
      </c>
      <c r="T398">
        <v>338.55</v>
      </c>
    </row>
    <row r="399" spans="1:20" x14ac:dyDescent="0.25">
      <c r="A399">
        <v>100398</v>
      </c>
      <c r="B399" s="6">
        <v>45293</v>
      </c>
      <c r="C399">
        <v>2024</v>
      </c>
      <c r="D399" t="s">
        <v>63</v>
      </c>
      <c r="E399">
        <v>1</v>
      </c>
      <c r="F399" t="s">
        <v>79</v>
      </c>
      <c r="G399" t="s">
        <v>22</v>
      </c>
      <c r="H399" t="s">
        <v>23</v>
      </c>
      <c r="I399" t="s">
        <v>65</v>
      </c>
      <c r="J399" t="s">
        <v>68</v>
      </c>
      <c r="K399" t="s">
        <v>51</v>
      </c>
      <c r="L399" t="s">
        <v>92</v>
      </c>
      <c r="M399">
        <v>101</v>
      </c>
      <c r="N399">
        <v>50</v>
      </c>
      <c r="O399">
        <v>4797.5</v>
      </c>
      <c r="P399">
        <v>2929</v>
      </c>
      <c r="Q399">
        <v>1868.5</v>
      </c>
      <c r="R399">
        <v>0.05</v>
      </c>
      <c r="S399" t="s">
        <v>57</v>
      </c>
      <c r="T399">
        <v>240.22</v>
      </c>
    </row>
    <row r="400" spans="1:20" x14ac:dyDescent="0.25">
      <c r="A400">
        <v>100399</v>
      </c>
      <c r="B400" s="6">
        <v>44965</v>
      </c>
      <c r="C400">
        <v>2023</v>
      </c>
      <c r="D400" t="s">
        <v>63</v>
      </c>
      <c r="E400">
        <v>2</v>
      </c>
      <c r="F400" t="s">
        <v>81</v>
      </c>
      <c r="G400" t="s">
        <v>45</v>
      </c>
      <c r="H400" t="s">
        <v>23</v>
      </c>
      <c r="I400" t="s">
        <v>46</v>
      </c>
      <c r="J400" t="s">
        <v>66</v>
      </c>
      <c r="K400" t="s">
        <v>55</v>
      </c>
      <c r="L400" t="s">
        <v>56</v>
      </c>
      <c r="M400">
        <v>56</v>
      </c>
      <c r="N400">
        <v>320</v>
      </c>
      <c r="O400">
        <v>17920</v>
      </c>
      <c r="P400">
        <v>13160</v>
      </c>
      <c r="Q400">
        <v>4760</v>
      </c>
      <c r="R400">
        <v>0</v>
      </c>
      <c r="S400" t="s">
        <v>38</v>
      </c>
      <c r="T400">
        <v>619.65</v>
      </c>
    </row>
    <row r="401" spans="1:20" x14ac:dyDescent="0.25">
      <c r="A401">
        <v>100400</v>
      </c>
      <c r="B401" s="6">
        <v>45870</v>
      </c>
      <c r="C401">
        <v>2025</v>
      </c>
      <c r="D401" t="s">
        <v>39</v>
      </c>
      <c r="E401">
        <v>8</v>
      </c>
      <c r="F401" t="s">
        <v>58</v>
      </c>
      <c r="G401" t="s">
        <v>35</v>
      </c>
      <c r="H401" t="s">
        <v>23</v>
      </c>
      <c r="I401" t="s">
        <v>80</v>
      </c>
      <c r="J401" t="s">
        <v>68</v>
      </c>
      <c r="K401" t="s">
        <v>51</v>
      </c>
      <c r="L401" t="s">
        <v>76</v>
      </c>
      <c r="M401">
        <v>71</v>
      </c>
      <c r="N401">
        <v>40</v>
      </c>
      <c r="O401">
        <v>2698</v>
      </c>
      <c r="P401">
        <v>1633</v>
      </c>
      <c r="Q401">
        <v>1065</v>
      </c>
      <c r="R401">
        <v>0.05</v>
      </c>
      <c r="S401" t="s">
        <v>38</v>
      </c>
      <c r="T401">
        <v>140.32</v>
      </c>
    </row>
    <row r="402" spans="1:20" x14ac:dyDescent="0.25">
      <c r="A402">
        <v>100401</v>
      </c>
      <c r="B402" s="6">
        <v>45565</v>
      </c>
      <c r="C402">
        <v>2024</v>
      </c>
      <c r="D402" t="s">
        <v>39</v>
      </c>
      <c r="E402">
        <v>9</v>
      </c>
      <c r="F402" t="s">
        <v>40</v>
      </c>
      <c r="G402" t="s">
        <v>22</v>
      </c>
      <c r="H402" t="s">
        <v>23</v>
      </c>
      <c r="I402" t="s">
        <v>65</v>
      </c>
      <c r="J402" t="s">
        <v>31</v>
      </c>
      <c r="K402" t="s">
        <v>55</v>
      </c>
      <c r="L402" t="s">
        <v>93</v>
      </c>
      <c r="M402">
        <v>140</v>
      </c>
      <c r="N402">
        <v>60</v>
      </c>
      <c r="O402">
        <v>7980</v>
      </c>
      <c r="P402">
        <v>5880</v>
      </c>
      <c r="Q402">
        <v>2100</v>
      </c>
      <c r="R402">
        <v>0.05</v>
      </c>
      <c r="S402" t="s">
        <v>28</v>
      </c>
      <c r="T402">
        <v>445.75</v>
      </c>
    </row>
    <row r="403" spans="1:20" x14ac:dyDescent="0.25">
      <c r="A403">
        <v>100402</v>
      </c>
      <c r="B403" s="6">
        <v>45617</v>
      </c>
      <c r="C403">
        <v>2024</v>
      </c>
      <c r="D403" t="s">
        <v>43</v>
      </c>
      <c r="E403">
        <v>11</v>
      </c>
      <c r="F403" t="s">
        <v>87</v>
      </c>
      <c r="G403" t="s">
        <v>35</v>
      </c>
      <c r="H403" t="s">
        <v>23</v>
      </c>
      <c r="I403" t="s">
        <v>36</v>
      </c>
      <c r="J403" t="s">
        <v>50</v>
      </c>
      <c r="K403" t="s">
        <v>51</v>
      </c>
      <c r="L403" t="s">
        <v>92</v>
      </c>
      <c r="M403">
        <v>143</v>
      </c>
      <c r="N403">
        <v>50</v>
      </c>
      <c r="O403">
        <v>6792.5</v>
      </c>
      <c r="P403">
        <v>4147</v>
      </c>
      <c r="Q403">
        <v>2645.5</v>
      </c>
      <c r="R403">
        <v>0.05</v>
      </c>
      <c r="S403" t="s">
        <v>38</v>
      </c>
      <c r="T403">
        <v>226.52</v>
      </c>
    </row>
    <row r="404" spans="1:20" x14ac:dyDescent="0.25">
      <c r="A404">
        <v>100403</v>
      </c>
      <c r="B404" s="6">
        <v>45475</v>
      </c>
      <c r="C404">
        <v>2024</v>
      </c>
      <c r="D404" t="s">
        <v>39</v>
      </c>
      <c r="E404">
        <v>7</v>
      </c>
      <c r="F404" t="s">
        <v>75</v>
      </c>
      <c r="G404" t="s">
        <v>45</v>
      </c>
      <c r="H404" t="s">
        <v>23</v>
      </c>
      <c r="I404" t="s">
        <v>88</v>
      </c>
      <c r="J404" t="s">
        <v>50</v>
      </c>
      <c r="K404" t="s">
        <v>26</v>
      </c>
      <c r="L404" t="s">
        <v>27</v>
      </c>
      <c r="M404">
        <v>11</v>
      </c>
      <c r="N404">
        <v>110</v>
      </c>
      <c r="O404">
        <v>1149.5</v>
      </c>
      <c r="P404">
        <v>748</v>
      </c>
      <c r="Q404">
        <v>401.5</v>
      </c>
      <c r="R404">
        <v>0.05</v>
      </c>
      <c r="S404" t="s">
        <v>57</v>
      </c>
      <c r="T404">
        <v>32.950000000000003</v>
      </c>
    </row>
    <row r="405" spans="1:20" x14ac:dyDescent="0.25">
      <c r="A405">
        <v>100404</v>
      </c>
      <c r="B405" s="6">
        <v>45606</v>
      </c>
      <c r="C405">
        <v>2024</v>
      </c>
      <c r="D405" t="s">
        <v>43</v>
      </c>
      <c r="E405">
        <v>11</v>
      </c>
      <c r="F405" t="s">
        <v>87</v>
      </c>
      <c r="G405" t="s">
        <v>29</v>
      </c>
      <c r="H405" t="s">
        <v>23</v>
      </c>
      <c r="I405" t="s">
        <v>85</v>
      </c>
      <c r="J405" t="s">
        <v>66</v>
      </c>
      <c r="K405" t="s">
        <v>59</v>
      </c>
      <c r="L405" t="s">
        <v>60</v>
      </c>
      <c r="M405">
        <v>88</v>
      </c>
      <c r="N405">
        <v>45</v>
      </c>
      <c r="O405">
        <v>3960</v>
      </c>
      <c r="P405">
        <v>2376</v>
      </c>
      <c r="Q405">
        <v>1584</v>
      </c>
      <c r="R405">
        <v>0</v>
      </c>
      <c r="S405" t="s">
        <v>57</v>
      </c>
      <c r="T405">
        <v>239.03</v>
      </c>
    </row>
    <row r="406" spans="1:20" x14ac:dyDescent="0.25">
      <c r="A406">
        <v>100405</v>
      </c>
      <c r="B406" s="6">
        <v>45698</v>
      </c>
      <c r="C406">
        <v>2025</v>
      </c>
      <c r="D406" t="s">
        <v>63</v>
      </c>
      <c r="E406">
        <v>2</v>
      </c>
      <c r="F406" t="s">
        <v>81</v>
      </c>
      <c r="G406" t="s">
        <v>35</v>
      </c>
      <c r="H406" t="s">
        <v>23</v>
      </c>
      <c r="I406" t="s">
        <v>80</v>
      </c>
      <c r="J406" t="s">
        <v>42</v>
      </c>
      <c r="K406" t="s">
        <v>51</v>
      </c>
      <c r="L406" t="s">
        <v>52</v>
      </c>
      <c r="M406">
        <v>63</v>
      </c>
      <c r="N406">
        <v>75</v>
      </c>
      <c r="O406">
        <v>4725</v>
      </c>
      <c r="P406">
        <v>2772</v>
      </c>
      <c r="Q406">
        <v>1953</v>
      </c>
      <c r="R406">
        <v>0</v>
      </c>
      <c r="S406" t="s">
        <v>57</v>
      </c>
      <c r="T406">
        <v>125.46</v>
      </c>
    </row>
    <row r="407" spans="1:20" x14ac:dyDescent="0.25">
      <c r="A407">
        <v>100406</v>
      </c>
      <c r="B407" s="6">
        <v>45900</v>
      </c>
      <c r="C407">
        <v>2025</v>
      </c>
      <c r="D407" t="s">
        <v>39</v>
      </c>
      <c r="E407">
        <v>8</v>
      </c>
      <c r="F407" t="s">
        <v>58</v>
      </c>
      <c r="G407" t="s">
        <v>35</v>
      </c>
      <c r="H407" t="s">
        <v>23</v>
      </c>
      <c r="I407" t="s">
        <v>36</v>
      </c>
      <c r="J407" t="s">
        <v>42</v>
      </c>
      <c r="K407" t="s">
        <v>51</v>
      </c>
      <c r="L407" t="s">
        <v>76</v>
      </c>
      <c r="M407">
        <v>47</v>
      </c>
      <c r="N407">
        <v>40</v>
      </c>
      <c r="O407">
        <v>1880</v>
      </c>
      <c r="P407">
        <v>1081</v>
      </c>
      <c r="Q407">
        <v>799</v>
      </c>
      <c r="R407">
        <v>0</v>
      </c>
      <c r="S407" t="s">
        <v>38</v>
      </c>
      <c r="T407">
        <v>81.599999999999994</v>
      </c>
    </row>
    <row r="408" spans="1:20" x14ac:dyDescent="0.25">
      <c r="A408">
        <v>100407</v>
      </c>
      <c r="B408" s="6">
        <v>44947</v>
      </c>
      <c r="C408">
        <v>2023</v>
      </c>
      <c r="D408" t="s">
        <v>63</v>
      </c>
      <c r="E408">
        <v>1</v>
      </c>
      <c r="F408" t="s">
        <v>79</v>
      </c>
      <c r="G408" t="s">
        <v>35</v>
      </c>
      <c r="H408" t="s">
        <v>23</v>
      </c>
      <c r="I408" t="s">
        <v>53</v>
      </c>
      <c r="J408" t="s">
        <v>42</v>
      </c>
      <c r="K408" t="s">
        <v>26</v>
      </c>
      <c r="L408" t="s">
        <v>69</v>
      </c>
      <c r="M408">
        <v>93</v>
      </c>
      <c r="N408">
        <v>130</v>
      </c>
      <c r="O408">
        <v>11727.3</v>
      </c>
      <c r="P408">
        <v>7068</v>
      </c>
      <c r="Q408">
        <v>4659.3</v>
      </c>
      <c r="R408">
        <v>0.03</v>
      </c>
      <c r="S408" t="s">
        <v>38</v>
      </c>
      <c r="T408">
        <v>695.68</v>
      </c>
    </row>
    <row r="409" spans="1:20" x14ac:dyDescent="0.25">
      <c r="A409">
        <v>100408</v>
      </c>
      <c r="B409" s="6">
        <v>45209</v>
      </c>
      <c r="C409">
        <v>2023</v>
      </c>
      <c r="D409" t="s">
        <v>43</v>
      </c>
      <c r="E409">
        <v>10</v>
      </c>
      <c r="F409" t="s">
        <v>44</v>
      </c>
      <c r="G409" t="s">
        <v>29</v>
      </c>
      <c r="H409" t="s">
        <v>23</v>
      </c>
      <c r="I409" t="s">
        <v>85</v>
      </c>
      <c r="J409" t="s">
        <v>42</v>
      </c>
      <c r="K409" t="s">
        <v>59</v>
      </c>
      <c r="L409" t="s">
        <v>60</v>
      </c>
      <c r="M409">
        <v>70</v>
      </c>
      <c r="N409">
        <v>45</v>
      </c>
      <c r="O409">
        <v>3087</v>
      </c>
      <c r="P409">
        <v>1890</v>
      </c>
      <c r="Q409">
        <v>1197</v>
      </c>
      <c r="R409">
        <v>0.02</v>
      </c>
      <c r="S409" t="s">
        <v>57</v>
      </c>
      <c r="T409">
        <v>186.98</v>
      </c>
    </row>
    <row r="410" spans="1:20" x14ac:dyDescent="0.25">
      <c r="A410">
        <v>100409</v>
      </c>
      <c r="B410" s="6">
        <v>45470</v>
      </c>
      <c r="C410">
        <v>2024</v>
      </c>
      <c r="D410" t="s">
        <v>20</v>
      </c>
      <c r="E410">
        <v>6</v>
      </c>
      <c r="F410" t="s">
        <v>48</v>
      </c>
      <c r="G410" t="s">
        <v>22</v>
      </c>
      <c r="H410" t="s">
        <v>23</v>
      </c>
      <c r="I410" t="s">
        <v>65</v>
      </c>
      <c r="J410" t="s">
        <v>42</v>
      </c>
      <c r="K410" t="s">
        <v>26</v>
      </c>
      <c r="L410" t="s">
        <v>78</v>
      </c>
      <c r="M410">
        <v>115</v>
      </c>
      <c r="N410">
        <v>95</v>
      </c>
      <c r="O410">
        <v>10706.5</v>
      </c>
      <c r="P410">
        <v>6670</v>
      </c>
      <c r="Q410">
        <v>4036.5</v>
      </c>
      <c r="R410">
        <v>0.02</v>
      </c>
      <c r="S410" t="s">
        <v>38</v>
      </c>
      <c r="T410">
        <v>297.08999999999997</v>
      </c>
    </row>
    <row r="411" spans="1:20" x14ac:dyDescent="0.25">
      <c r="A411">
        <v>100410</v>
      </c>
      <c r="B411" s="6">
        <v>45063</v>
      </c>
      <c r="C411">
        <v>2023</v>
      </c>
      <c r="D411" t="s">
        <v>20</v>
      </c>
      <c r="E411">
        <v>5</v>
      </c>
      <c r="F411" t="s">
        <v>21</v>
      </c>
      <c r="G411" t="s">
        <v>35</v>
      </c>
      <c r="H411" t="s">
        <v>23</v>
      </c>
      <c r="I411" t="s">
        <v>53</v>
      </c>
      <c r="J411" t="s">
        <v>50</v>
      </c>
      <c r="K411" t="s">
        <v>26</v>
      </c>
      <c r="L411" t="s">
        <v>69</v>
      </c>
      <c r="M411">
        <v>127</v>
      </c>
      <c r="N411">
        <v>130</v>
      </c>
      <c r="O411">
        <v>15684.5</v>
      </c>
      <c r="P411">
        <v>9652</v>
      </c>
      <c r="Q411">
        <v>6032.5</v>
      </c>
      <c r="R411">
        <v>0.05</v>
      </c>
      <c r="S411" t="s">
        <v>28</v>
      </c>
      <c r="T411">
        <v>998.17</v>
      </c>
    </row>
    <row r="412" spans="1:20" x14ac:dyDescent="0.25">
      <c r="A412">
        <v>100411</v>
      </c>
      <c r="B412" s="6">
        <v>45340</v>
      </c>
      <c r="C412">
        <v>2024</v>
      </c>
      <c r="D412" t="s">
        <v>63</v>
      </c>
      <c r="E412">
        <v>2</v>
      </c>
      <c r="F412" t="s">
        <v>81</v>
      </c>
      <c r="G412" t="s">
        <v>45</v>
      </c>
      <c r="H412" t="s">
        <v>23</v>
      </c>
      <c r="I412" t="s">
        <v>90</v>
      </c>
      <c r="J412" t="s">
        <v>54</v>
      </c>
      <c r="K412" t="s">
        <v>59</v>
      </c>
      <c r="L412" t="s">
        <v>60</v>
      </c>
      <c r="M412">
        <v>96</v>
      </c>
      <c r="N412">
        <v>45</v>
      </c>
      <c r="O412">
        <v>4320</v>
      </c>
      <c r="P412">
        <v>2592</v>
      </c>
      <c r="Q412">
        <v>1728</v>
      </c>
      <c r="R412">
        <v>0</v>
      </c>
      <c r="S412" t="s">
        <v>70</v>
      </c>
      <c r="T412">
        <v>229.68</v>
      </c>
    </row>
    <row r="413" spans="1:20" x14ac:dyDescent="0.25">
      <c r="A413">
        <v>100412</v>
      </c>
      <c r="B413" s="6">
        <v>45995</v>
      </c>
      <c r="C413">
        <v>2025</v>
      </c>
      <c r="D413" t="s">
        <v>43</v>
      </c>
      <c r="E413">
        <v>12</v>
      </c>
      <c r="F413" t="s">
        <v>83</v>
      </c>
      <c r="G413" t="s">
        <v>45</v>
      </c>
      <c r="H413" t="s">
        <v>23</v>
      </c>
      <c r="I413" t="s">
        <v>90</v>
      </c>
      <c r="J413" t="s">
        <v>66</v>
      </c>
      <c r="K413" t="s">
        <v>32</v>
      </c>
      <c r="L413" t="s">
        <v>33</v>
      </c>
      <c r="M413">
        <v>143</v>
      </c>
      <c r="N413">
        <v>60</v>
      </c>
      <c r="O413">
        <v>8151</v>
      </c>
      <c r="P413">
        <v>5434</v>
      </c>
      <c r="Q413">
        <v>2717</v>
      </c>
      <c r="R413">
        <v>0.05</v>
      </c>
      <c r="S413" t="s">
        <v>38</v>
      </c>
      <c r="T413">
        <v>255.32</v>
      </c>
    </row>
    <row r="414" spans="1:20" x14ac:dyDescent="0.25">
      <c r="A414">
        <v>100413</v>
      </c>
      <c r="B414" s="6">
        <v>45647</v>
      </c>
      <c r="C414">
        <v>2024</v>
      </c>
      <c r="D414" t="s">
        <v>43</v>
      </c>
      <c r="E414">
        <v>12</v>
      </c>
      <c r="F414" t="s">
        <v>83</v>
      </c>
      <c r="G414" t="s">
        <v>35</v>
      </c>
      <c r="H414" t="s">
        <v>23</v>
      </c>
      <c r="I414" t="s">
        <v>53</v>
      </c>
      <c r="J414" t="s">
        <v>50</v>
      </c>
      <c r="K414" t="s">
        <v>26</v>
      </c>
      <c r="L414" t="s">
        <v>69</v>
      </c>
      <c r="M414">
        <v>131</v>
      </c>
      <c r="N414">
        <v>130</v>
      </c>
      <c r="O414">
        <v>16689.400000000001</v>
      </c>
      <c r="P414">
        <v>9956</v>
      </c>
      <c r="Q414">
        <v>6733.4</v>
      </c>
      <c r="R414">
        <v>0.02</v>
      </c>
      <c r="S414" t="s">
        <v>38</v>
      </c>
      <c r="T414">
        <v>347.04</v>
      </c>
    </row>
    <row r="415" spans="1:20" x14ac:dyDescent="0.25">
      <c r="A415">
        <v>100414</v>
      </c>
      <c r="B415" s="6">
        <v>45961</v>
      </c>
      <c r="C415">
        <v>2025</v>
      </c>
      <c r="D415" t="s">
        <v>43</v>
      </c>
      <c r="E415">
        <v>10</v>
      </c>
      <c r="F415" t="s">
        <v>44</v>
      </c>
      <c r="G415" t="s">
        <v>35</v>
      </c>
      <c r="H415" t="s">
        <v>23</v>
      </c>
      <c r="I415" t="s">
        <v>53</v>
      </c>
      <c r="J415" t="s">
        <v>50</v>
      </c>
      <c r="K415" t="s">
        <v>32</v>
      </c>
      <c r="L415" t="s">
        <v>33</v>
      </c>
      <c r="M415">
        <v>136</v>
      </c>
      <c r="N415">
        <v>60</v>
      </c>
      <c r="O415">
        <v>7996.8</v>
      </c>
      <c r="P415">
        <v>5168</v>
      </c>
      <c r="Q415">
        <v>2828.8</v>
      </c>
      <c r="R415">
        <v>0.02</v>
      </c>
      <c r="S415" t="s">
        <v>70</v>
      </c>
      <c r="T415">
        <v>216.52</v>
      </c>
    </row>
    <row r="416" spans="1:20" x14ac:dyDescent="0.25">
      <c r="A416">
        <v>100415</v>
      </c>
      <c r="B416" s="6">
        <v>45289</v>
      </c>
      <c r="C416">
        <v>2023</v>
      </c>
      <c r="D416" t="s">
        <v>43</v>
      </c>
      <c r="E416">
        <v>12</v>
      </c>
      <c r="F416" t="s">
        <v>83</v>
      </c>
      <c r="G416" t="s">
        <v>45</v>
      </c>
      <c r="H416" t="s">
        <v>23</v>
      </c>
      <c r="I416" t="s">
        <v>46</v>
      </c>
      <c r="J416" t="s">
        <v>68</v>
      </c>
      <c r="K416" t="s">
        <v>51</v>
      </c>
      <c r="L416" t="s">
        <v>76</v>
      </c>
      <c r="M416">
        <v>28</v>
      </c>
      <c r="N416">
        <v>40</v>
      </c>
      <c r="O416">
        <v>1064</v>
      </c>
      <c r="P416">
        <v>644</v>
      </c>
      <c r="Q416">
        <v>420</v>
      </c>
      <c r="R416">
        <v>0.05</v>
      </c>
      <c r="S416" t="s">
        <v>38</v>
      </c>
      <c r="T416">
        <v>40.06</v>
      </c>
    </row>
    <row r="417" spans="1:20" x14ac:dyDescent="0.25">
      <c r="A417">
        <v>100416</v>
      </c>
      <c r="B417" s="6">
        <v>45872</v>
      </c>
      <c r="C417">
        <v>2025</v>
      </c>
      <c r="D417" t="s">
        <v>39</v>
      </c>
      <c r="E417">
        <v>8</v>
      </c>
      <c r="F417" t="s">
        <v>58</v>
      </c>
      <c r="G417" t="s">
        <v>35</v>
      </c>
      <c r="H417" t="s">
        <v>23</v>
      </c>
      <c r="I417" t="s">
        <v>53</v>
      </c>
      <c r="J417" t="s">
        <v>42</v>
      </c>
      <c r="K417" t="s">
        <v>59</v>
      </c>
      <c r="L417" t="s">
        <v>60</v>
      </c>
      <c r="M417">
        <v>102</v>
      </c>
      <c r="N417">
        <v>45</v>
      </c>
      <c r="O417">
        <v>4452.3</v>
      </c>
      <c r="P417">
        <v>2754</v>
      </c>
      <c r="Q417">
        <v>1698.3</v>
      </c>
      <c r="R417">
        <v>0.03</v>
      </c>
      <c r="S417" t="s">
        <v>70</v>
      </c>
      <c r="T417">
        <v>95.04</v>
      </c>
    </row>
    <row r="418" spans="1:20" x14ac:dyDescent="0.25">
      <c r="A418">
        <v>100417</v>
      </c>
      <c r="B418" s="6">
        <v>45851</v>
      </c>
      <c r="C418">
        <v>2025</v>
      </c>
      <c r="D418" t="s">
        <v>39</v>
      </c>
      <c r="E418">
        <v>7</v>
      </c>
      <c r="F418" t="s">
        <v>75</v>
      </c>
      <c r="G418" t="s">
        <v>22</v>
      </c>
      <c r="H418" t="s">
        <v>23</v>
      </c>
      <c r="I418" t="s">
        <v>65</v>
      </c>
      <c r="J418" t="s">
        <v>25</v>
      </c>
      <c r="K418" t="s">
        <v>55</v>
      </c>
      <c r="L418" t="s">
        <v>93</v>
      </c>
      <c r="M418">
        <v>80</v>
      </c>
      <c r="N418">
        <v>60</v>
      </c>
      <c r="O418">
        <v>4800</v>
      </c>
      <c r="P418">
        <v>3360</v>
      </c>
      <c r="Q418">
        <v>1440</v>
      </c>
      <c r="R418">
        <v>0</v>
      </c>
      <c r="S418" t="s">
        <v>38</v>
      </c>
      <c r="T418">
        <v>273.91000000000003</v>
      </c>
    </row>
    <row r="419" spans="1:20" x14ac:dyDescent="0.25">
      <c r="A419">
        <v>100418</v>
      </c>
      <c r="B419" s="6">
        <v>45743</v>
      </c>
      <c r="C419">
        <v>2025</v>
      </c>
      <c r="D419" t="s">
        <v>63</v>
      </c>
      <c r="E419">
        <v>3</v>
      </c>
      <c r="F419" t="s">
        <v>64</v>
      </c>
      <c r="G419" t="s">
        <v>22</v>
      </c>
      <c r="H419" t="s">
        <v>23</v>
      </c>
      <c r="I419" t="s">
        <v>71</v>
      </c>
      <c r="J419" t="s">
        <v>25</v>
      </c>
      <c r="K419" t="s">
        <v>26</v>
      </c>
      <c r="L419" t="s">
        <v>78</v>
      </c>
      <c r="M419">
        <v>26</v>
      </c>
      <c r="N419">
        <v>95</v>
      </c>
      <c r="O419">
        <v>2272.4</v>
      </c>
      <c r="P419">
        <v>1508</v>
      </c>
      <c r="Q419">
        <v>764.4</v>
      </c>
      <c r="R419">
        <v>0.08</v>
      </c>
      <c r="S419" t="s">
        <v>70</v>
      </c>
      <c r="T419">
        <v>118.23</v>
      </c>
    </row>
    <row r="420" spans="1:20" x14ac:dyDescent="0.25">
      <c r="A420">
        <v>100419</v>
      </c>
      <c r="B420" s="6">
        <v>45342</v>
      </c>
      <c r="C420">
        <v>2024</v>
      </c>
      <c r="D420" t="s">
        <v>63</v>
      </c>
      <c r="E420">
        <v>2</v>
      </c>
      <c r="F420" t="s">
        <v>81</v>
      </c>
      <c r="G420" t="s">
        <v>35</v>
      </c>
      <c r="H420" t="s">
        <v>23</v>
      </c>
      <c r="I420" t="s">
        <v>80</v>
      </c>
      <c r="J420" t="s">
        <v>42</v>
      </c>
      <c r="K420" t="s">
        <v>55</v>
      </c>
      <c r="L420" t="s">
        <v>84</v>
      </c>
      <c r="M420">
        <v>82</v>
      </c>
      <c r="N420">
        <v>55</v>
      </c>
      <c r="O420">
        <v>4374.7</v>
      </c>
      <c r="P420">
        <v>3034</v>
      </c>
      <c r="Q420">
        <v>1340.7</v>
      </c>
      <c r="R420">
        <v>0.03</v>
      </c>
      <c r="S420" t="s">
        <v>28</v>
      </c>
      <c r="T420">
        <v>266.8</v>
      </c>
    </row>
    <row r="421" spans="1:20" x14ac:dyDescent="0.25">
      <c r="A421">
        <v>100420</v>
      </c>
      <c r="B421" s="6">
        <v>45351</v>
      </c>
      <c r="C421">
        <v>2024</v>
      </c>
      <c r="D421" t="s">
        <v>63</v>
      </c>
      <c r="E421">
        <v>2</v>
      </c>
      <c r="F421" t="s">
        <v>81</v>
      </c>
      <c r="G421" t="s">
        <v>22</v>
      </c>
      <c r="H421" t="s">
        <v>23</v>
      </c>
      <c r="I421" t="s">
        <v>65</v>
      </c>
      <c r="J421" t="s">
        <v>54</v>
      </c>
      <c r="K421" t="s">
        <v>51</v>
      </c>
      <c r="L421" t="s">
        <v>92</v>
      </c>
      <c r="M421">
        <v>92</v>
      </c>
      <c r="N421">
        <v>50</v>
      </c>
      <c r="O421">
        <v>4232</v>
      </c>
      <c r="P421">
        <v>2668</v>
      </c>
      <c r="Q421">
        <v>1564</v>
      </c>
      <c r="R421">
        <v>0.08</v>
      </c>
      <c r="S421" t="s">
        <v>70</v>
      </c>
      <c r="T421">
        <v>157.65</v>
      </c>
    </row>
    <row r="422" spans="1:20" x14ac:dyDescent="0.25">
      <c r="A422">
        <v>100421</v>
      </c>
      <c r="B422" s="6">
        <v>45868</v>
      </c>
      <c r="C422">
        <v>2025</v>
      </c>
      <c r="D422" t="s">
        <v>39</v>
      </c>
      <c r="E422">
        <v>7</v>
      </c>
      <c r="F422" t="s">
        <v>75</v>
      </c>
      <c r="G422" t="s">
        <v>35</v>
      </c>
      <c r="H422" t="s">
        <v>23</v>
      </c>
      <c r="I422" t="s">
        <v>77</v>
      </c>
      <c r="J422" t="s">
        <v>66</v>
      </c>
      <c r="K422" t="s">
        <v>26</v>
      </c>
      <c r="L422" t="s">
        <v>69</v>
      </c>
      <c r="M422">
        <v>137</v>
      </c>
      <c r="N422">
        <v>130</v>
      </c>
      <c r="O422">
        <v>17453.8</v>
      </c>
      <c r="P422">
        <v>10412</v>
      </c>
      <c r="Q422">
        <v>7041.8</v>
      </c>
      <c r="R422">
        <v>0.02</v>
      </c>
      <c r="S422" t="s">
        <v>70</v>
      </c>
      <c r="T422">
        <v>326.10000000000002</v>
      </c>
    </row>
    <row r="423" spans="1:20" x14ac:dyDescent="0.25">
      <c r="A423">
        <v>100422</v>
      </c>
      <c r="B423" s="6">
        <v>45677</v>
      </c>
      <c r="C423">
        <v>2025</v>
      </c>
      <c r="D423" t="s">
        <v>63</v>
      </c>
      <c r="E423">
        <v>1</v>
      </c>
      <c r="F423" t="s">
        <v>79</v>
      </c>
      <c r="G423" t="s">
        <v>45</v>
      </c>
      <c r="H423" t="s">
        <v>23</v>
      </c>
      <c r="I423" t="s">
        <v>62</v>
      </c>
      <c r="J423" t="s">
        <v>68</v>
      </c>
      <c r="K423" t="s">
        <v>55</v>
      </c>
      <c r="L423" t="s">
        <v>56</v>
      </c>
      <c r="M423">
        <v>125</v>
      </c>
      <c r="N423">
        <v>320</v>
      </c>
      <c r="O423">
        <v>38000</v>
      </c>
      <c r="P423">
        <v>29375</v>
      </c>
      <c r="Q423">
        <v>8625</v>
      </c>
      <c r="R423">
        <v>0.05</v>
      </c>
      <c r="S423" t="s">
        <v>70</v>
      </c>
      <c r="T423">
        <v>724.88</v>
      </c>
    </row>
    <row r="424" spans="1:20" x14ac:dyDescent="0.25">
      <c r="A424">
        <v>100423</v>
      </c>
      <c r="B424" s="6">
        <v>45261</v>
      </c>
      <c r="C424">
        <v>2023</v>
      </c>
      <c r="D424" t="s">
        <v>43</v>
      </c>
      <c r="E424">
        <v>12</v>
      </c>
      <c r="F424" t="s">
        <v>83</v>
      </c>
      <c r="G424" t="s">
        <v>29</v>
      </c>
      <c r="H424" t="s">
        <v>23</v>
      </c>
      <c r="I424" t="s">
        <v>49</v>
      </c>
      <c r="J424" t="s">
        <v>31</v>
      </c>
      <c r="K424" t="s">
        <v>55</v>
      </c>
      <c r="L424" t="s">
        <v>84</v>
      </c>
      <c r="M424">
        <v>76</v>
      </c>
      <c r="N424">
        <v>55</v>
      </c>
      <c r="O424">
        <v>4096.3999999999996</v>
      </c>
      <c r="P424">
        <v>2812</v>
      </c>
      <c r="Q424">
        <v>1284.4000000000001</v>
      </c>
      <c r="R424">
        <v>0.02</v>
      </c>
      <c r="S424" t="s">
        <v>70</v>
      </c>
      <c r="T424">
        <v>140.41999999999999</v>
      </c>
    </row>
    <row r="425" spans="1:20" x14ac:dyDescent="0.25">
      <c r="A425">
        <v>100424</v>
      </c>
      <c r="B425" s="6">
        <v>45877</v>
      </c>
      <c r="C425">
        <v>2025</v>
      </c>
      <c r="D425" t="s">
        <v>39</v>
      </c>
      <c r="E425">
        <v>8</v>
      </c>
      <c r="F425" t="s">
        <v>58</v>
      </c>
      <c r="G425" t="s">
        <v>35</v>
      </c>
      <c r="H425" t="s">
        <v>23</v>
      </c>
      <c r="I425" t="s">
        <v>80</v>
      </c>
      <c r="J425" t="s">
        <v>25</v>
      </c>
      <c r="K425" t="s">
        <v>59</v>
      </c>
      <c r="L425" t="s">
        <v>91</v>
      </c>
      <c r="M425">
        <v>84</v>
      </c>
      <c r="N425">
        <v>140</v>
      </c>
      <c r="O425">
        <v>11172</v>
      </c>
      <c r="P425">
        <v>6888</v>
      </c>
      <c r="Q425">
        <v>4284</v>
      </c>
      <c r="R425">
        <v>0.05</v>
      </c>
      <c r="S425" t="s">
        <v>38</v>
      </c>
      <c r="T425">
        <v>603.09</v>
      </c>
    </row>
    <row r="426" spans="1:20" x14ac:dyDescent="0.25">
      <c r="A426">
        <v>100425</v>
      </c>
      <c r="B426" s="6">
        <v>45824</v>
      </c>
      <c r="C426">
        <v>2025</v>
      </c>
      <c r="D426" t="s">
        <v>20</v>
      </c>
      <c r="E426">
        <v>6</v>
      </c>
      <c r="F426" t="s">
        <v>48</v>
      </c>
      <c r="G426" t="s">
        <v>35</v>
      </c>
      <c r="H426" t="s">
        <v>23</v>
      </c>
      <c r="I426" t="s">
        <v>80</v>
      </c>
      <c r="J426" t="s">
        <v>31</v>
      </c>
      <c r="K426" t="s">
        <v>59</v>
      </c>
      <c r="L426" t="s">
        <v>91</v>
      </c>
      <c r="M426">
        <v>133</v>
      </c>
      <c r="N426">
        <v>140</v>
      </c>
      <c r="O426">
        <v>18620</v>
      </c>
      <c r="P426">
        <v>10906</v>
      </c>
      <c r="Q426">
        <v>7714</v>
      </c>
      <c r="R426">
        <v>0</v>
      </c>
      <c r="S426" t="s">
        <v>38</v>
      </c>
      <c r="T426">
        <v>385.48</v>
      </c>
    </row>
    <row r="427" spans="1:20" x14ac:dyDescent="0.25">
      <c r="A427">
        <v>100426</v>
      </c>
      <c r="B427" s="6">
        <v>45176</v>
      </c>
      <c r="C427">
        <v>2023</v>
      </c>
      <c r="D427" t="s">
        <v>39</v>
      </c>
      <c r="E427">
        <v>9</v>
      </c>
      <c r="F427" t="s">
        <v>40</v>
      </c>
      <c r="G427" t="s">
        <v>35</v>
      </c>
      <c r="H427" t="s">
        <v>23</v>
      </c>
      <c r="I427" t="s">
        <v>77</v>
      </c>
      <c r="J427" t="s">
        <v>25</v>
      </c>
      <c r="K427" t="s">
        <v>59</v>
      </c>
      <c r="L427" t="s">
        <v>86</v>
      </c>
      <c r="M427">
        <v>48</v>
      </c>
      <c r="N427">
        <v>160</v>
      </c>
      <c r="O427">
        <v>7296</v>
      </c>
      <c r="P427">
        <v>4560</v>
      </c>
      <c r="Q427">
        <v>2736</v>
      </c>
      <c r="R427">
        <v>0.05</v>
      </c>
      <c r="S427" t="s">
        <v>57</v>
      </c>
      <c r="T427">
        <v>413.81</v>
      </c>
    </row>
    <row r="428" spans="1:20" x14ac:dyDescent="0.25">
      <c r="A428">
        <v>100427</v>
      </c>
      <c r="B428" s="6">
        <v>44970</v>
      </c>
      <c r="C428">
        <v>2023</v>
      </c>
      <c r="D428" t="s">
        <v>63</v>
      </c>
      <c r="E428">
        <v>2</v>
      </c>
      <c r="F428" t="s">
        <v>81</v>
      </c>
      <c r="G428" t="s">
        <v>45</v>
      </c>
      <c r="H428" t="s">
        <v>23</v>
      </c>
      <c r="I428" t="s">
        <v>90</v>
      </c>
      <c r="J428" t="s">
        <v>42</v>
      </c>
      <c r="K428" t="s">
        <v>32</v>
      </c>
      <c r="L428" t="s">
        <v>37</v>
      </c>
      <c r="M428">
        <v>136</v>
      </c>
      <c r="N428">
        <v>120</v>
      </c>
      <c r="O428">
        <v>15014.4</v>
      </c>
      <c r="P428">
        <v>10608</v>
      </c>
      <c r="Q428">
        <v>4406.3999999999996</v>
      </c>
      <c r="R428">
        <v>0.08</v>
      </c>
      <c r="S428" t="s">
        <v>38</v>
      </c>
      <c r="T428">
        <v>844.54</v>
      </c>
    </row>
    <row r="429" spans="1:20" x14ac:dyDescent="0.25">
      <c r="A429">
        <v>100428</v>
      </c>
      <c r="B429" s="6">
        <v>45917</v>
      </c>
      <c r="C429">
        <v>2025</v>
      </c>
      <c r="D429" t="s">
        <v>39</v>
      </c>
      <c r="E429">
        <v>9</v>
      </c>
      <c r="F429" t="s">
        <v>40</v>
      </c>
      <c r="G429" t="s">
        <v>22</v>
      </c>
      <c r="H429" t="s">
        <v>23</v>
      </c>
      <c r="I429" t="s">
        <v>71</v>
      </c>
      <c r="J429" t="s">
        <v>61</v>
      </c>
      <c r="K429" t="s">
        <v>59</v>
      </c>
      <c r="L429" t="s">
        <v>91</v>
      </c>
      <c r="M429">
        <v>71</v>
      </c>
      <c r="N429">
        <v>140</v>
      </c>
      <c r="O429">
        <v>9940</v>
      </c>
      <c r="P429">
        <v>5822</v>
      </c>
      <c r="Q429">
        <v>4118</v>
      </c>
      <c r="R429">
        <v>0</v>
      </c>
      <c r="S429" t="s">
        <v>57</v>
      </c>
      <c r="T429">
        <v>408.19</v>
      </c>
    </row>
    <row r="430" spans="1:20" x14ac:dyDescent="0.25">
      <c r="A430">
        <v>100429</v>
      </c>
      <c r="B430" s="6">
        <v>45454</v>
      </c>
      <c r="C430">
        <v>2024</v>
      </c>
      <c r="D430" t="s">
        <v>20</v>
      </c>
      <c r="E430">
        <v>6</v>
      </c>
      <c r="F430" t="s">
        <v>48</v>
      </c>
      <c r="G430" t="s">
        <v>29</v>
      </c>
      <c r="H430" t="s">
        <v>23</v>
      </c>
      <c r="I430" t="s">
        <v>49</v>
      </c>
      <c r="J430" t="s">
        <v>50</v>
      </c>
      <c r="K430" t="s">
        <v>51</v>
      </c>
      <c r="L430" t="s">
        <v>72</v>
      </c>
      <c r="M430">
        <v>139</v>
      </c>
      <c r="N430">
        <v>90</v>
      </c>
      <c r="O430">
        <v>12134.7</v>
      </c>
      <c r="P430">
        <v>7228</v>
      </c>
      <c r="Q430">
        <v>4906.7</v>
      </c>
      <c r="R430">
        <v>0.03</v>
      </c>
      <c r="S430" t="s">
        <v>57</v>
      </c>
      <c r="T430">
        <v>787.92</v>
      </c>
    </row>
    <row r="431" spans="1:20" x14ac:dyDescent="0.25">
      <c r="A431">
        <v>100430</v>
      </c>
      <c r="B431" s="6">
        <v>45519</v>
      </c>
      <c r="C431">
        <v>2024</v>
      </c>
      <c r="D431" t="s">
        <v>39</v>
      </c>
      <c r="E431">
        <v>8</v>
      </c>
      <c r="F431" t="s">
        <v>58</v>
      </c>
      <c r="G431" t="s">
        <v>35</v>
      </c>
      <c r="H431" t="s">
        <v>23</v>
      </c>
      <c r="I431" t="s">
        <v>36</v>
      </c>
      <c r="J431" t="s">
        <v>42</v>
      </c>
      <c r="K431" t="s">
        <v>32</v>
      </c>
      <c r="L431" t="s">
        <v>74</v>
      </c>
      <c r="M431">
        <v>99</v>
      </c>
      <c r="N431">
        <v>25</v>
      </c>
      <c r="O431">
        <v>2400.75</v>
      </c>
      <c r="P431">
        <v>1386</v>
      </c>
      <c r="Q431">
        <v>1014.75</v>
      </c>
      <c r="R431">
        <v>0.03</v>
      </c>
      <c r="S431" t="s">
        <v>38</v>
      </c>
      <c r="T431">
        <v>162.57</v>
      </c>
    </row>
    <row r="432" spans="1:20" x14ac:dyDescent="0.25">
      <c r="A432">
        <v>100431</v>
      </c>
      <c r="B432" s="6">
        <v>45431</v>
      </c>
      <c r="C432">
        <v>2024</v>
      </c>
      <c r="D432" t="s">
        <v>20</v>
      </c>
      <c r="E432">
        <v>5</v>
      </c>
      <c r="F432" t="s">
        <v>21</v>
      </c>
      <c r="G432" t="s">
        <v>22</v>
      </c>
      <c r="H432" t="s">
        <v>23</v>
      </c>
      <c r="I432" t="s">
        <v>24</v>
      </c>
      <c r="J432" t="s">
        <v>50</v>
      </c>
      <c r="K432" t="s">
        <v>55</v>
      </c>
      <c r="L432" t="s">
        <v>84</v>
      </c>
      <c r="M432">
        <v>70</v>
      </c>
      <c r="N432">
        <v>55</v>
      </c>
      <c r="O432">
        <v>3773</v>
      </c>
      <c r="P432">
        <v>2590</v>
      </c>
      <c r="Q432">
        <v>1183</v>
      </c>
      <c r="R432">
        <v>0.02</v>
      </c>
      <c r="S432" t="s">
        <v>70</v>
      </c>
      <c r="T432">
        <v>112.52</v>
      </c>
    </row>
    <row r="433" spans="1:20" x14ac:dyDescent="0.25">
      <c r="A433">
        <v>100432</v>
      </c>
      <c r="B433" s="6">
        <v>45849</v>
      </c>
      <c r="C433">
        <v>2025</v>
      </c>
      <c r="D433" t="s">
        <v>39</v>
      </c>
      <c r="E433">
        <v>7</v>
      </c>
      <c r="F433" t="s">
        <v>75</v>
      </c>
      <c r="G433" t="s">
        <v>29</v>
      </c>
      <c r="H433" t="s">
        <v>23</v>
      </c>
      <c r="I433" t="s">
        <v>30</v>
      </c>
      <c r="J433" t="s">
        <v>31</v>
      </c>
      <c r="K433" t="s">
        <v>51</v>
      </c>
      <c r="L433" t="s">
        <v>52</v>
      </c>
      <c r="M433">
        <v>141</v>
      </c>
      <c r="N433">
        <v>75</v>
      </c>
      <c r="O433">
        <v>10257.75</v>
      </c>
      <c r="P433">
        <v>6204</v>
      </c>
      <c r="Q433">
        <v>4053.75</v>
      </c>
      <c r="R433">
        <v>0.03</v>
      </c>
      <c r="S433" t="s">
        <v>38</v>
      </c>
      <c r="T433">
        <v>708.62</v>
      </c>
    </row>
    <row r="434" spans="1:20" x14ac:dyDescent="0.25">
      <c r="A434">
        <v>100433</v>
      </c>
      <c r="B434" s="6">
        <v>45266</v>
      </c>
      <c r="C434">
        <v>2023</v>
      </c>
      <c r="D434" t="s">
        <v>43</v>
      </c>
      <c r="E434">
        <v>12</v>
      </c>
      <c r="F434" t="s">
        <v>83</v>
      </c>
      <c r="G434" t="s">
        <v>29</v>
      </c>
      <c r="H434" t="s">
        <v>23</v>
      </c>
      <c r="I434" t="s">
        <v>73</v>
      </c>
      <c r="J434" t="s">
        <v>31</v>
      </c>
      <c r="K434" t="s">
        <v>51</v>
      </c>
      <c r="L434" t="s">
        <v>92</v>
      </c>
      <c r="M434">
        <v>72</v>
      </c>
      <c r="N434">
        <v>50</v>
      </c>
      <c r="O434">
        <v>3528</v>
      </c>
      <c r="P434">
        <v>2088</v>
      </c>
      <c r="Q434">
        <v>1440</v>
      </c>
      <c r="R434">
        <v>0.02</v>
      </c>
      <c r="S434" t="s">
        <v>38</v>
      </c>
      <c r="T434">
        <v>133.49</v>
      </c>
    </row>
    <row r="435" spans="1:20" x14ac:dyDescent="0.25">
      <c r="A435">
        <v>100434</v>
      </c>
      <c r="B435" s="6">
        <v>45754</v>
      </c>
      <c r="C435">
        <v>2025</v>
      </c>
      <c r="D435" t="s">
        <v>20</v>
      </c>
      <c r="E435">
        <v>4</v>
      </c>
      <c r="F435" t="s">
        <v>34</v>
      </c>
      <c r="G435" t="s">
        <v>29</v>
      </c>
      <c r="H435" t="s">
        <v>23</v>
      </c>
      <c r="I435" t="s">
        <v>85</v>
      </c>
      <c r="J435" t="s">
        <v>54</v>
      </c>
      <c r="K435" t="s">
        <v>26</v>
      </c>
      <c r="L435" t="s">
        <v>78</v>
      </c>
      <c r="M435">
        <v>65</v>
      </c>
      <c r="N435">
        <v>95</v>
      </c>
      <c r="O435">
        <v>6051.5</v>
      </c>
      <c r="P435">
        <v>3770</v>
      </c>
      <c r="Q435">
        <v>2281.5</v>
      </c>
      <c r="R435">
        <v>0.02</v>
      </c>
      <c r="S435" t="s">
        <v>28</v>
      </c>
      <c r="T435">
        <v>261.92</v>
      </c>
    </row>
    <row r="436" spans="1:20" x14ac:dyDescent="0.25">
      <c r="A436">
        <v>100435</v>
      </c>
      <c r="B436" s="6">
        <v>45030</v>
      </c>
      <c r="C436">
        <v>2023</v>
      </c>
      <c r="D436" t="s">
        <v>20</v>
      </c>
      <c r="E436">
        <v>4</v>
      </c>
      <c r="F436" t="s">
        <v>34</v>
      </c>
      <c r="G436" t="s">
        <v>45</v>
      </c>
      <c r="H436" t="s">
        <v>23</v>
      </c>
      <c r="I436" t="s">
        <v>88</v>
      </c>
      <c r="J436" t="s">
        <v>66</v>
      </c>
      <c r="K436" t="s">
        <v>32</v>
      </c>
      <c r="L436" t="s">
        <v>47</v>
      </c>
      <c r="M436">
        <v>84</v>
      </c>
      <c r="N436">
        <v>180</v>
      </c>
      <c r="O436">
        <v>13910.4</v>
      </c>
      <c r="P436">
        <v>9660</v>
      </c>
      <c r="Q436">
        <v>4250.3999999999996</v>
      </c>
      <c r="R436">
        <v>0.08</v>
      </c>
      <c r="S436" t="s">
        <v>38</v>
      </c>
      <c r="T436">
        <v>749.44</v>
      </c>
    </row>
    <row r="437" spans="1:20" x14ac:dyDescent="0.25">
      <c r="A437">
        <v>100436</v>
      </c>
      <c r="B437" s="6">
        <v>45225</v>
      </c>
      <c r="C437">
        <v>2023</v>
      </c>
      <c r="D437" t="s">
        <v>43</v>
      </c>
      <c r="E437">
        <v>10</v>
      </c>
      <c r="F437" t="s">
        <v>44</v>
      </c>
      <c r="G437" t="s">
        <v>45</v>
      </c>
      <c r="H437" t="s">
        <v>23</v>
      </c>
      <c r="I437" t="s">
        <v>90</v>
      </c>
      <c r="J437" t="s">
        <v>31</v>
      </c>
      <c r="K437" t="s">
        <v>26</v>
      </c>
      <c r="L437" t="s">
        <v>27</v>
      </c>
      <c r="M437">
        <v>118</v>
      </c>
      <c r="N437">
        <v>110</v>
      </c>
      <c r="O437">
        <v>12590.6</v>
      </c>
      <c r="P437">
        <v>8024</v>
      </c>
      <c r="Q437">
        <v>4566.6000000000004</v>
      </c>
      <c r="R437">
        <v>0.03</v>
      </c>
      <c r="S437" t="s">
        <v>70</v>
      </c>
      <c r="T437">
        <v>584.38</v>
      </c>
    </row>
    <row r="438" spans="1:20" x14ac:dyDescent="0.25">
      <c r="A438">
        <v>100437</v>
      </c>
      <c r="B438" s="6">
        <v>45729</v>
      </c>
      <c r="C438">
        <v>2025</v>
      </c>
      <c r="D438" t="s">
        <v>63</v>
      </c>
      <c r="E438">
        <v>3</v>
      </c>
      <c r="F438" t="s">
        <v>64</v>
      </c>
      <c r="G438" t="s">
        <v>29</v>
      </c>
      <c r="H438" t="s">
        <v>23</v>
      </c>
      <c r="I438" t="s">
        <v>30</v>
      </c>
      <c r="J438" t="s">
        <v>54</v>
      </c>
      <c r="K438" t="s">
        <v>51</v>
      </c>
      <c r="L438" t="s">
        <v>52</v>
      </c>
      <c r="M438">
        <v>57</v>
      </c>
      <c r="N438">
        <v>75</v>
      </c>
      <c r="O438">
        <v>4189.5</v>
      </c>
      <c r="P438">
        <v>2508</v>
      </c>
      <c r="Q438">
        <v>1681.5</v>
      </c>
      <c r="R438">
        <v>0.02</v>
      </c>
      <c r="S438" t="s">
        <v>57</v>
      </c>
      <c r="T438">
        <v>66.47</v>
      </c>
    </row>
    <row r="439" spans="1:20" x14ac:dyDescent="0.25">
      <c r="A439">
        <v>100438</v>
      </c>
      <c r="B439" s="6">
        <v>45040</v>
      </c>
      <c r="C439">
        <v>2023</v>
      </c>
      <c r="D439" t="s">
        <v>20</v>
      </c>
      <c r="E439">
        <v>4</v>
      </c>
      <c r="F439" t="s">
        <v>34</v>
      </c>
      <c r="G439" t="s">
        <v>45</v>
      </c>
      <c r="H439" t="s">
        <v>23</v>
      </c>
      <c r="I439" t="s">
        <v>62</v>
      </c>
      <c r="J439" t="s">
        <v>61</v>
      </c>
      <c r="K439" t="s">
        <v>51</v>
      </c>
      <c r="L439" t="s">
        <v>52</v>
      </c>
      <c r="M439">
        <v>108</v>
      </c>
      <c r="N439">
        <v>75</v>
      </c>
      <c r="O439">
        <v>7290</v>
      </c>
      <c r="P439">
        <v>4752</v>
      </c>
      <c r="Q439">
        <v>2538</v>
      </c>
      <c r="R439">
        <v>0.1</v>
      </c>
      <c r="S439" t="s">
        <v>70</v>
      </c>
      <c r="T439">
        <v>275.67</v>
      </c>
    </row>
    <row r="440" spans="1:20" x14ac:dyDescent="0.25">
      <c r="A440">
        <v>100439</v>
      </c>
      <c r="B440" s="6">
        <v>45463</v>
      </c>
      <c r="C440">
        <v>2024</v>
      </c>
      <c r="D440" t="s">
        <v>20</v>
      </c>
      <c r="E440">
        <v>6</v>
      </c>
      <c r="F440" t="s">
        <v>48</v>
      </c>
      <c r="G440" t="s">
        <v>29</v>
      </c>
      <c r="H440" t="s">
        <v>23</v>
      </c>
      <c r="I440" t="s">
        <v>73</v>
      </c>
      <c r="J440" t="s">
        <v>31</v>
      </c>
      <c r="K440" t="s">
        <v>59</v>
      </c>
      <c r="L440" t="s">
        <v>67</v>
      </c>
      <c r="M440">
        <v>83</v>
      </c>
      <c r="N440">
        <v>95</v>
      </c>
      <c r="O440">
        <v>7885</v>
      </c>
      <c r="P440">
        <v>4648</v>
      </c>
      <c r="Q440">
        <v>3237</v>
      </c>
      <c r="R440">
        <v>0</v>
      </c>
      <c r="S440" t="s">
        <v>70</v>
      </c>
      <c r="T440">
        <v>369.3</v>
      </c>
    </row>
    <row r="441" spans="1:20" x14ac:dyDescent="0.25">
      <c r="A441">
        <v>100440</v>
      </c>
      <c r="B441" s="6">
        <v>45577</v>
      </c>
      <c r="C441">
        <v>2024</v>
      </c>
      <c r="D441" t="s">
        <v>43</v>
      </c>
      <c r="E441">
        <v>10</v>
      </c>
      <c r="F441" t="s">
        <v>44</v>
      </c>
      <c r="G441" t="s">
        <v>35</v>
      </c>
      <c r="H441" t="s">
        <v>23</v>
      </c>
      <c r="I441" t="s">
        <v>36</v>
      </c>
      <c r="J441" t="s">
        <v>68</v>
      </c>
      <c r="K441" t="s">
        <v>51</v>
      </c>
      <c r="L441" t="s">
        <v>92</v>
      </c>
      <c r="M441">
        <v>68</v>
      </c>
      <c r="N441">
        <v>50</v>
      </c>
      <c r="O441">
        <v>3298</v>
      </c>
      <c r="P441">
        <v>1972</v>
      </c>
      <c r="Q441">
        <v>1326</v>
      </c>
      <c r="R441">
        <v>0.03</v>
      </c>
      <c r="S441" t="s">
        <v>70</v>
      </c>
      <c r="T441">
        <v>129.84</v>
      </c>
    </row>
    <row r="442" spans="1:20" x14ac:dyDescent="0.25">
      <c r="A442">
        <v>100441</v>
      </c>
      <c r="B442" s="6">
        <v>45096</v>
      </c>
      <c r="C442">
        <v>2023</v>
      </c>
      <c r="D442" t="s">
        <v>20</v>
      </c>
      <c r="E442">
        <v>6</v>
      </c>
      <c r="F442" t="s">
        <v>48</v>
      </c>
      <c r="G442" t="s">
        <v>29</v>
      </c>
      <c r="H442" t="s">
        <v>23</v>
      </c>
      <c r="I442" t="s">
        <v>85</v>
      </c>
      <c r="J442" t="s">
        <v>54</v>
      </c>
      <c r="K442" t="s">
        <v>59</v>
      </c>
      <c r="L442" t="s">
        <v>67</v>
      </c>
      <c r="M442">
        <v>41</v>
      </c>
      <c r="N442">
        <v>95</v>
      </c>
      <c r="O442">
        <v>3778.15</v>
      </c>
      <c r="P442">
        <v>2296</v>
      </c>
      <c r="Q442">
        <v>1482.15</v>
      </c>
      <c r="R442">
        <v>0.03</v>
      </c>
      <c r="S442" t="s">
        <v>28</v>
      </c>
      <c r="T442">
        <v>196.89</v>
      </c>
    </row>
    <row r="443" spans="1:20" x14ac:dyDescent="0.25">
      <c r="A443">
        <v>100442</v>
      </c>
      <c r="B443" s="6">
        <v>45814</v>
      </c>
      <c r="C443">
        <v>2025</v>
      </c>
      <c r="D443" t="s">
        <v>20</v>
      </c>
      <c r="E443">
        <v>6</v>
      </c>
      <c r="F443" t="s">
        <v>48</v>
      </c>
      <c r="G443" t="s">
        <v>22</v>
      </c>
      <c r="H443" t="s">
        <v>23</v>
      </c>
      <c r="I443" t="s">
        <v>24</v>
      </c>
      <c r="J443" t="s">
        <v>42</v>
      </c>
      <c r="K443" t="s">
        <v>32</v>
      </c>
      <c r="L443" t="s">
        <v>37</v>
      </c>
      <c r="M443">
        <v>96</v>
      </c>
      <c r="N443">
        <v>120</v>
      </c>
      <c r="O443">
        <v>10944</v>
      </c>
      <c r="P443">
        <v>7488</v>
      </c>
      <c r="Q443">
        <v>3456</v>
      </c>
      <c r="R443">
        <v>0.05</v>
      </c>
      <c r="S443" t="s">
        <v>38</v>
      </c>
      <c r="T443">
        <v>583.78</v>
      </c>
    </row>
    <row r="444" spans="1:20" x14ac:dyDescent="0.25">
      <c r="A444">
        <v>100443</v>
      </c>
      <c r="B444" s="6">
        <v>45844</v>
      </c>
      <c r="C444">
        <v>2025</v>
      </c>
      <c r="D444" t="s">
        <v>39</v>
      </c>
      <c r="E444">
        <v>7</v>
      </c>
      <c r="F444" t="s">
        <v>75</v>
      </c>
      <c r="G444" t="s">
        <v>22</v>
      </c>
      <c r="H444" t="s">
        <v>23</v>
      </c>
      <c r="I444" t="s">
        <v>71</v>
      </c>
      <c r="J444" t="s">
        <v>54</v>
      </c>
      <c r="K444" t="s">
        <v>59</v>
      </c>
      <c r="L444" t="s">
        <v>91</v>
      </c>
      <c r="M444">
        <v>113</v>
      </c>
      <c r="N444">
        <v>140</v>
      </c>
      <c r="O444">
        <v>15029</v>
      </c>
      <c r="P444">
        <v>9266</v>
      </c>
      <c r="Q444">
        <v>5763</v>
      </c>
      <c r="R444">
        <v>0.05</v>
      </c>
      <c r="S444" t="s">
        <v>70</v>
      </c>
      <c r="T444">
        <v>601.67999999999995</v>
      </c>
    </row>
    <row r="445" spans="1:20" x14ac:dyDescent="0.25">
      <c r="A445">
        <v>100444</v>
      </c>
      <c r="B445" s="6">
        <v>45356</v>
      </c>
      <c r="C445">
        <v>2024</v>
      </c>
      <c r="D445" t="s">
        <v>63</v>
      </c>
      <c r="E445">
        <v>3</v>
      </c>
      <c r="F445" t="s">
        <v>64</v>
      </c>
      <c r="G445" t="s">
        <v>35</v>
      </c>
      <c r="H445" t="s">
        <v>23</v>
      </c>
      <c r="I445" t="s">
        <v>36</v>
      </c>
      <c r="J445" t="s">
        <v>31</v>
      </c>
      <c r="K445" t="s">
        <v>32</v>
      </c>
      <c r="L445" t="s">
        <v>47</v>
      </c>
      <c r="M445">
        <v>128</v>
      </c>
      <c r="N445">
        <v>180</v>
      </c>
      <c r="O445">
        <v>23040</v>
      </c>
      <c r="P445">
        <v>14720</v>
      </c>
      <c r="Q445">
        <v>8320</v>
      </c>
      <c r="R445">
        <v>0</v>
      </c>
      <c r="S445" t="s">
        <v>57</v>
      </c>
      <c r="T445">
        <v>920.38</v>
      </c>
    </row>
    <row r="446" spans="1:20" x14ac:dyDescent="0.25">
      <c r="A446">
        <v>100445</v>
      </c>
      <c r="B446" s="6">
        <v>45092</v>
      </c>
      <c r="C446">
        <v>2023</v>
      </c>
      <c r="D446" t="s">
        <v>20</v>
      </c>
      <c r="E446">
        <v>6</v>
      </c>
      <c r="F446" t="s">
        <v>48</v>
      </c>
      <c r="G446" t="s">
        <v>22</v>
      </c>
      <c r="H446" t="s">
        <v>23</v>
      </c>
      <c r="I446" t="s">
        <v>65</v>
      </c>
      <c r="J446" t="s">
        <v>66</v>
      </c>
      <c r="K446" t="s">
        <v>59</v>
      </c>
      <c r="L446" t="s">
        <v>86</v>
      </c>
      <c r="M446">
        <v>22</v>
      </c>
      <c r="N446">
        <v>160</v>
      </c>
      <c r="O446">
        <v>3520</v>
      </c>
      <c r="P446">
        <v>2090</v>
      </c>
      <c r="Q446">
        <v>1430</v>
      </c>
      <c r="R446">
        <v>0</v>
      </c>
      <c r="S446" t="s">
        <v>70</v>
      </c>
      <c r="T446">
        <v>163.66</v>
      </c>
    </row>
    <row r="447" spans="1:20" x14ac:dyDescent="0.25">
      <c r="A447">
        <v>100446</v>
      </c>
      <c r="B447" s="6">
        <v>45802</v>
      </c>
      <c r="C447">
        <v>2025</v>
      </c>
      <c r="D447" t="s">
        <v>20</v>
      </c>
      <c r="E447">
        <v>5</v>
      </c>
      <c r="F447" t="s">
        <v>21</v>
      </c>
      <c r="G447" t="s">
        <v>29</v>
      </c>
      <c r="H447" t="s">
        <v>23</v>
      </c>
      <c r="I447" t="s">
        <v>30</v>
      </c>
      <c r="J447" t="s">
        <v>31</v>
      </c>
      <c r="K447" t="s">
        <v>32</v>
      </c>
      <c r="L447" t="s">
        <v>47</v>
      </c>
      <c r="M447">
        <v>38</v>
      </c>
      <c r="N447">
        <v>180</v>
      </c>
      <c r="O447">
        <v>6634.8</v>
      </c>
      <c r="P447">
        <v>4370</v>
      </c>
      <c r="Q447">
        <v>2264.8000000000002</v>
      </c>
      <c r="R447">
        <v>0.03</v>
      </c>
      <c r="S447" t="s">
        <v>70</v>
      </c>
      <c r="T447">
        <v>130.38</v>
      </c>
    </row>
    <row r="448" spans="1:20" x14ac:dyDescent="0.25">
      <c r="A448">
        <v>100447</v>
      </c>
      <c r="B448" s="6">
        <v>45365</v>
      </c>
      <c r="C448">
        <v>2024</v>
      </c>
      <c r="D448" t="s">
        <v>63</v>
      </c>
      <c r="E448">
        <v>3</v>
      </c>
      <c r="F448" t="s">
        <v>64</v>
      </c>
      <c r="G448" t="s">
        <v>29</v>
      </c>
      <c r="H448" t="s">
        <v>23</v>
      </c>
      <c r="I448" t="s">
        <v>85</v>
      </c>
      <c r="J448" t="s">
        <v>25</v>
      </c>
      <c r="K448" t="s">
        <v>59</v>
      </c>
      <c r="L448" t="s">
        <v>67</v>
      </c>
      <c r="M448">
        <v>54</v>
      </c>
      <c r="N448">
        <v>95</v>
      </c>
      <c r="O448">
        <v>4617</v>
      </c>
      <c r="P448">
        <v>3024</v>
      </c>
      <c r="Q448">
        <v>1593</v>
      </c>
      <c r="R448">
        <v>0.1</v>
      </c>
      <c r="S448" t="s">
        <v>57</v>
      </c>
      <c r="T448">
        <v>242.81</v>
      </c>
    </row>
    <row r="449" spans="1:20" x14ac:dyDescent="0.25">
      <c r="A449">
        <v>100448</v>
      </c>
      <c r="B449" s="6">
        <v>45014</v>
      </c>
      <c r="C449">
        <v>2023</v>
      </c>
      <c r="D449" t="s">
        <v>63</v>
      </c>
      <c r="E449">
        <v>3</v>
      </c>
      <c r="F449" t="s">
        <v>64</v>
      </c>
      <c r="G449" t="s">
        <v>29</v>
      </c>
      <c r="H449" t="s">
        <v>23</v>
      </c>
      <c r="I449" t="s">
        <v>30</v>
      </c>
      <c r="J449" t="s">
        <v>54</v>
      </c>
      <c r="K449" t="s">
        <v>32</v>
      </c>
      <c r="L449" t="s">
        <v>74</v>
      </c>
      <c r="M449">
        <v>46</v>
      </c>
      <c r="N449">
        <v>25</v>
      </c>
      <c r="O449">
        <v>1058</v>
      </c>
      <c r="P449">
        <v>644</v>
      </c>
      <c r="Q449">
        <v>414</v>
      </c>
      <c r="R449">
        <v>0.08</v>
      </c>
      <c r="S449" t="s">
        <v>70</v>
      </c>
      <c r="T449">
        <v>52.1</v>
      </c>
    </row>
    <row r="450" spans="1:20" x14ac:dyDescent="0.25">
      <c r="A450">
        <v>100449</v>
      </c>
      <c r="B450" s="6">
        <v>45533</v>
      </c>
      <c r="C450">
        <v>2024</v>
      </c>
      <c r="D450" t="s">
        <v>39</v>
      </c>
      <c r="E450">
        <v>8</v>
      </c>
      <c r="F450" t="s">
        <v>58</v>
      </c>
      <c r="G450" t="s">
        <v>45</v>
      </c>
      <c r="H450" t="s">
        <v>23</v>
      </c>
      <c r="I450" t="s">
        <v>88</v>
      </c>
      <c r="J450" t="s">
        <v>31</v>
      </c>
      <c r="K450" t="s">
        <v>32</v>
      </c>
      <c r="L450" t="s">
        <v>47</v>
      </c>
      <c r="M450">
        <v>62</v>
      </c>
      <c r="N450">
        <v>180</v>
      </c>
      <c r="O450">
        <v>10044</v>
      </c>
      <c r="P450">
        <v>7130</v>
      </c>
      <c r="Q450">
        <v>2914</v>
      </c>
      <c r="R450">
        <v>0.1</v>
      </c>
      <c r="S450" t="s">
        <v>28</v>
      </c>
      <c r="T450">
        <v>601.97</v>
      </c>
    </row>
    <row r="451" spans="1:20" x14ac:dyDescent="0.25">
      <c r="A451">
        <v>100450</v>
      </c>
      <c r="B451" s="6">
        <v>45851</v>
      </c>
      <c r="C451">
        <v>2025</v>
      </c>
      <c r="D451" t="s">
        <v>39</v>
      </c>
      <c r="E451">
        <v>7</v>
      </c>
      <c r="F451" t="s">
        <v>75</v>
      </c>
      <c r="G451" t="s">
        <v>22</v>
      </c>
      <c r="H451" t="s">
        <v>23</v>
      </c>
      <c r="I451" t="s">
        <v>41</v>
      </c>
      <c r="J451" t="s">
        <v>50</v>
      </c>
      <c r="K451" t="s">
        <v>51</v>
      </c>
      <c r="L451" t="s">
        <v>76</v>
      </c>
      <c r="M451">
        <v>80</v>
      </c>
      <c r="N451">
        <v>40</v>
      </c>
      <c r="O451">
        <v>3136</v>
      </c>
      <c r="P451">
        <v>1840</v>
      </c>
      <c r="Q451">
        <v>1296</v>
      </c>
      <c r="R451">
        <v>0.02</v>
      </c>
      <c r="S451" t="s">
        <v>38</v>
      </c>
      <c r="T451">
        <v>86.6</v>
      </c>
    </row>
    <row r="452" spans="1:20" x14ac:dyDescent="0.25">
      <c r="A452">
        <v>100451</v>
      </c>
      <c r="B452" s="6">
        <v>45654</v>
      </c>
      <c r="C452">
        <v>2024</v>
      </c>
      <c r="D452" t="s">
        <v>43</v>
      </c>
      <c r="E452">
        <v>12</v>
      </c>
      <c r="F452" t="s">
        <v>83</v>
      </c>
      <c r="G452" t="s">
        <v>35</v>
      </c>
      <c r="H452" t="s">
        <v>23</v>
      </c>
      <c r="I452" t="s">
        <v>80</v>
      </c>
      <c r="J452" t="s">
        <v>31</v>
      </c>
      <c r="K452" t="s">
        <v>32</v>
      </c>
      <c r="L452" t="s">
        <v>37</v>
      </c>
      <c r="M452">
        <v>93</v>
      </c>
      <c r="N452">
        <v>120</v>
      </c>
      <c r="O452">
        <v>10044</v>
      </c>
      <c r="P452">
        <v>7254</v>
      </c>
      <c r="Q452">
        <v>2790</v>
      </c>
      <c r="R452">
        <v>0.1</v>
      </c>
      <c r="S452" t="s">
        <v>38</v>
      </c>
      <c r="T452">
        <v>570.11</v>
      </c>
    </row>
    <row r="453" spans="1:20" x14ac:dyDescent="0.25">
      <c r="A453">
        <v>100452</v>
      </c>
      <c r="B453" s="6">
        <v>45162</v>
      </c>
      <c r="C453">
        <v>2023</v>
      </c>
      <c r="D453" t="s">
        <v>39</v>
      </c>
      <c r="E453">
        <v>8</v>
      </c>
      <c r="F453" t="s">
        <v>58</v>
      </c>
      <c r="G453" t="s">
        <v>29</v>
      </c>
      <c r="H453" t="s">
        <v>23</v>
      </c>
      <c r="I453" t="s">
        <v>30</v>
      </c>
      <c r="J453" t="s">
        <v>68</v>
      </c>
      <c r="K453" t="s">
        <v>26</v>
      </c>
      <c r="L453" t="s">
        <v>78</v>
      </c>
      <c r="M453">
        <v>145</v>
      </c>
      <c r="N453">
        <v>95</v>
      </c>
      <c r="O453">
        <v>13499.5</v>
      </c>
      <c r="P453">
        <v>8410</v>
      </c>
      <c r="Q453">
        <v>5089.5</v>
      </c>
      <c r="R453">
        <v>0.02</v>
      </c>
      <c r="S453" t="s">
        <v>38</v>
      </c>
      <c r="T453">
        <v>217.73</v>
      </c>
    </row>
    <row r="454" spans="1:20" x14ac:dyDescent="0.25">
      <c r="A454">
        <v>100453</v>
      </c>
      <c r="B454" s="6">
        <v>45999</v>
      </c>
      <c r="C454">
        <v>2025</v>
      </c>
      <c r="D454" t="s">
        <v>43</v>
      </c>
      <c r="E454">
        <v>12</v>
      </c>
      <c r="F454" t="s">
        <v>83</v>
      </c>
      <c r="G454" t="s">
        <v>29</v>
      </c>
      <c r="H454" t="s">
        <v>23</v>
      </c>
      <c r="I454" t="s">
        <v>73</v>
      </c>
      <c r="J454" t="s">
        <v>68</v>
      </c>
      <c r="K454" t="s">
        <v>51</v>
      </c>
      <c r="L454" t="s">
        <v>72</v>
      </c>
      <c r="M454">
        <v>110</v>
      </c>
      <c r="N454">
        <v>90</v>
      </c>
      <c r="O454">
        <v>9900</v>
      </c>
      <c r="P454">
        <v>5720</v>
      </c>
      <c r="Q454">
        <v>4180</v>
      </c>
      <c r="R454">
        <v>0</v>
      </c>
      <c r="S454" t="s">
        <v>38</v>
      </c>
      <c r="T454">
        <v>637.59</v>
      </c>
    </row>
    <row r="455" spans="1:20" x14ac:dyDescent="0.25">
      <c r="A455">
        <v>100454</v>
      </c>
      <c r="B455" s="6">
        <v>45309</v>
      </c>
      <c r="C455">
        <v>2024</v>
      </c>
      <c r="D455" t="s">
        <v>63</v>
      </c>
      <c r="E455">
        <v>1</v>
      </c>
      <c r="F455" t="s">
        <v>79</v>
      </c>
      <c r="G455" t="s">
        <v>29</v>
      </c>
      <c r="H455" t="s">
        <v>23</v>
      </c>
      <c r="I455" t="s">
        <v>30</v>
      </c>
      <c r="J455" t="s">
        <v>66</v>
      </c>
      <c r="K455" t="s">
        <v>51</v>
      </c>
      <c r="L455" t="s">
        <v>76</v>
      </c>
      <c r="M455">
        <v>139</v>
      </c>
      <c r="N455">
        <v>40</v>
      </c>
      <c r="O455">
        <v>5115.2</v>
      </c>
      <c r="P455">
        <v>3197</v>
      </c>
      <c r="Q455">
        <v>1918.2</v>
      </c>
      <c r="R455">
        <v>0.08</v>
      </c>
      <c r="S455" t="s">
        <v>57</v>
      </c>
      <c r="T455">
        <v>275.54000000000002</v>
      </c>
    </row>
    <row r="456" spans="1:20" x14ac:dyDescent="0.25">
      <c r="A456">
        <v>100455</v>
      </c>
      <c r="B456" s="6">
        <v>45379</v>
      </c>
      <c r="C456">
        <v>2024</v>
      </c>
      <c r="D456" t="s">
        <v>63</v>
      </c>
      <c r="E456">
        <v>3</v>
      </c>
      <c r="F456" t="s">
        <v>64</v>
      </c>
      <c r="G456" t="s">
        <v>29</v>
      </c>
      <c r="H456" t="s">
        <v>23</v>
      </c>
      <c r="I456" t="s">
        <v>85</v>
      </c>
      <c r="J456" t="s">
        <v>54</v>
      </c>
      <c r="K456" t="s">
        <v>26</v>
      </c>
      <c r="L456" t="s">
        <v>82</v>
      </c>
      <c r="M456">
        <v>108</v>
      </c>
      <c r="N456">
        <v>105</v>
      </c>
      <c r="O456">
        <v>11340</v>
      </c>
      <c r="P456">
        <v>6588</v>
      </c>
      <c r="Q456">
        <v>4752</v>
      </c>
      <c r="R456">
        <v>0</v>
      </c>
      <c r="S456" t="s">
        <v>38</v>
      </c>
      <c r="T456">
        <v>278.77999999999997</v>
      </c>
    </row>
    <row r="457" spans="1:20" x14ac:dyDescent="0.25">
      <c r="A457">
        <v>100456</v>
      </c>
      <c r="B457" s="6">
        <v>45661</v>
      </c>
      <c r="C457">
        <v>2025</v>
      </c>
      <c r="D457" t="s">
        <v>63</v>
      </c>
      <c r="E457">
        <v>1</v>
      </c>
      <c r="F457" t="s">
        <v>79</v>
      </c>
      <c r="G457" t="s">
        <v>22</v>
      </c>
      <c r="H457" t="s">
        <v>23</v>
      </c>
      <c r="I457" t="s">
        <v>41</v>
      </c>
      <c r="J457" t="s">
        <v>68</v>
      </c>
      <c r="K457" t="s">
        <v>26</v>
      </c>
      <c r="L457" t="s">
        <v>78</v>
      </c>
      <c r="M457">
        <v>18</v>
      </c>
      <c r="N457">
        <v>95</v>
      </c>
      <c r="O457">
        <v>1675.8</v>
      </c>
      <c r="P457">
        <v>1044</v>
      </c>
      <c r="Q457">
        <v>631.79999999999995</v>
      </c>
      <c r="R457">
        <v>0.02</v>
      </c>
      <c r="S457" t="s">
        <v>57</v>
      </c>
      <c r="T457">
        <v>57.13</v>
      </c>
    </row>
    <row r="458" spans="1:20" x14ac:dyDescent="0.25">
      <c r="A458">
        <v>100457</v>
      </c>
      <c r="B458" s="6">
        <v>45862</v>
      </c>
      <c r="C458">
        <v>2025</v>
      </c>
      <c r="D458" t="s">
        <v>39</v>
      </c>
      <c r="E458">
        <v>7</v>
      </c>
      <c r="F458" t="s">
        <v>75</v>
      </c>
      <c r="G458" t="s">
        <v>45</v>
      </c>
      <c r="H458" t="s">
        <v>23</v>
      </c>
      <c r="I458" t="s">
        <v>90</v>
      </c>
      <c r="J458" t="s">
        <v>31</v>
      </c>
      <c r="K458" t="s">
        <v>32</v>
      </c>
      <c r="L458" t="s">
        <v>74</v>
      </c>
      <c r="M458">
        <v>72</v>
      </c>
      <c r="N458">
        <v>25</v>
      </c>
      <c r="O458">
        <v>1800</v>
      </c>
      <c r="P458">
        <v>1008</v>
      </c>
      <c r="Q458">
        <v>792</v>
      </c>
      <c r="R458">
        <v>0</v>
      </c>
      <c r="S458" t="s">
        <v>28</v>
      </c>
      <c r="T458">
        <v>82.69</v>
      </c>
    </row>
    <row r="459" spans="1:20" x14ac:dyDescent="0.25">
      <c r="A459">
        <v>100458</v>
      </c>
      <c r="B459" s="6">
        <v>45586</v>
      </c>
      <c r="C459">
        <v>2024</v>
      </c>
      <c r="D459" t="s">
        <v>43</v>
      </c>
      <c r="E459">
        <v>10</v>
      </c>
      <c r="F459" t="s">
        <v>44</v>
      </c>
      <c r="G459" t="s">
        <v>35</v>
      </c>
      <c r="H459" t="s">
        <v>23</v>
      </c>
      <c r="I459" t="s">
        <v>53</v>
      </c>
      <c r="J459" t="s">
        <v>54</v>
      </c>
      <c r="K459" t="s">
        <v>59</v>
      </c>
      <c r="L459" t="s">
        <v>60</v>
      </c>
      <c r="M459">
        <v>85</v>
      </c>
      <c r="N459">
        <v>45</v>
      </c>
      <c r="O459">
        <v>3710.25</v>
      </c>
      <c r="P459">
        <v>2295</v>
      </c>
      <c r="Q459">
        <v>1415.25</v>
      </c>
      <c r="R459">
        <v>0.03</v>
      </c>
      <c r="S459" t="s">
        <v>38</v>
      </c>
      <c r="T459">
        <v>226.71</v>
      </c>
    </row>
    <row r="460" spans="1:20" x14ac:dyDescent="0.25">
      <c r="A460">
        <v>100459</v>
      </c>
      <c r="B460" s="6">
        <v>44974</v>
      </c>
      <c r="C460">
        <v>2023</v>
      </c>
      <c r="D460" t="s">
        <v>63</v>
      </c>
      <c r="E460">
        <v>2</v>
      </c>
      <c r="F460" t="s">
        <v>81</v>
      </c>
      <c r="G460" t="s">
        <v>35</v>
      </c>
      <c r="H460" t="s">
        <v>23</v>
      </c>
      <c r="I460" t="s">
        <v>80</v>
      </c>
      <c r="J460" t="s">
        <v>61</v>
      </c>
      <c r="K460" t="s">
        <v>51</v>
      </c>
      <c r="L460" t="s">
        <v>72</v>
      </c>
      <c r="M460">
        <v>98</v>
      </c>
      <c r="N460">
        <v>90</v>
      </c>
      <c r="O460">
        <v>8555.4</v>
      </c>
      <c r="P460">
        <v>5096</v>
      </c>
      <c r="Q460">
        <v>3459.4</v>
      </c>
      <c r="R460">
        <v>0.03</v>
      </c>
      <c r="S460" t="s">
        <v>28</v>
      </c>
      <c r="T460">
        <v>553.38</v>
      </c>
    </row>
    <row r="461" spans="1:20" x14ac:dyDescent="0.25">
      <c r="A461">
        <v>100460</v>
      </c>
      <c r="B461" s="6">
        <v>45905</v>
      </c>
      <c r="C461">
        <v>2025</v>
      </c>
      <c r="D461" t="s">
        <v>39</v>
      </c>
      <c r="E461">
        <v>9</v>
      </c>
      <c r="F461" t="s">
        <v>40</v>
      </c>
      <c r="G461" t="s">
        <v>45</v>
      </c>
      <c r="H461" t="s">
        <v>23</v>
      </c>
      <c r="I461" t="s">
        <v>46</v>
      </c>
      <c r="J461" t="s">
        <v>31</v>
      </c>
      <c r="K461" t="s">
        <v>59</v>
      </c>
      <c r="L461" t="s">
        <v>86</v>
      </c>
      <c r="M461">
        <v>104</v>
      </c>
      <c r="N461">
        <v>160</v>
      </c>
      <c r="O461">
        <v>16140.8</v>
      </c>
      <c r="P461">
        <v>9880</v>
      </c>
      <c r="Q461">
        <v>6260.8</v>
      </c>
      <c r="R461">
        <v>0.03</v>
      </c>
      <c r="S461" t="s">
        <v>38</v>
      </c>
      <c r="T461">
        <v>1103.43</v>
      </c>
    </row>
    <row r="462" spans="1:20" x14ac:dyDescent="0.25">
      <c r="A462">
        <v>100461</v>
      </c>
      <c r="B462" s="6">
        <v>45412</v>
      </c>
      <c r="C462">
        <v>2024</v>
      </c>
      <c r="D462" t="s">
        <v>20</v>
      </c>
      <c r="E462">
        <v>4</v>
      </c>
      <c r="F462" t="s">
        <v>34</v>
      </c>
      <c r="G462" t="s">
        <v>22</v>
      </c>
      <c r="H462" t="s">
        <v>23</v>
      </c>
      <c r="I462" t="s">
        <v>41</v>
      </c>
      <c r="J462" t="s">
        <v>66</v>
      </c>
      <c r="K462" t="s">
        <v>55</v>
      </c>
      <c r="L462" t="s">
        <v>93</v>
      </c>
      <c r="M462">
        <v>140</v>
      </c>
      <c r="N462">
        <v>60</v>
      </c>
      <c r="O462">
        <v>8232</v>
      </c>
      <c r="P462">
        <v>5880</v>
      </c>
      <c r="Q462">
        <v>2352</v>
      </c>
      <c r="R462">
        <v>0.02</v>
      </c>
      <c r="S462" t="s">
        <v>70</v>
      </c>
      <c r="T462">
        <v>497.33</v>
      </c>
    </row>
    <row r="463" spans="1:20" x14ac:dyDescent="0.25">
      <c r="A463">
        <v>100462</v>
      </c>
      <c r="B463" s="6">
        <v>45348</v>
      </c>
      <c r="C463">
        <v>2024</v>
      </c>
      <c r="D463" t="s">
        <v>63</v>
      </c>
      <c r="E463">
        <v>2</v>
      </c>
      <c r="F463" t="s">
        <v>81</v>
      </c>
      <c r="G463" t="s">
        <v>29</v>
      </c>
      <c r="H463" t="s">
        <v>23</v>
      </c>
      <c r="I463" t="s">
        <v>30</v>
      </c>
      <c r="J463" t="s">
        <v>25</v>
      </c>
      <c r="K463" t="s">
        <v>59</v>
      </c>
      <c r="L463" t="s">
        <v>60</v>
      </c>
      <c r="M463">
        <v>15</v>
      </c>
      <c r="N463">
        <v>45</v>
      </c>
      <c r="O463">
        <v>654.75</v>
      </c>
      <c r="P463">
        <v>405</v>
      </c>
      <c r="Q463">
        <v>249.75</v>
      </c>
      <c r="R463">
        <v>0.03</v>
      </c>
      <c r="S463" t="s">
        <v>28</v>
      </c>
      <c r="T463">
        <v>38.549999999999997</v>
      </c>
    </row>
    <row r="464" spans="1:20" x14ac:dyDescent="0.25">
      <c r="A464">
        <v>100463</v>
      </c>
      <c r="B464" s="6">
        <v>45753</v>
      </c>
      <c r="C464">
        <v>2025</v>
      </c>
      <c r="D464" t="s">
        <v>20</v>
      </c>
      <c r="E464">
        <v>4</v>
      </c>
      <c r="F464" t="s">
        <v>34</v>
      </c>
      <c r="G464" t="s">
        <v>22</v>
      </c>
      <c r="H464" t="s">
        <v>23</v>
      </c>
      <c r="I464" t="s">
        <v>71</v>
      </c>
      <c r="J464" t="s">
        <v>66</v>
      </c>
      <c r="K464" t="s">
        <v>26</v>
      </c>
      <c r="L464" t="s">
        <v>78</v>
      </c>
      <c r="M464">
        <v>61</v>
      </c>
      <c r="N464">
        <v>95</v>
      </c>
      <c r="O464">
        <v>5505.25</v>
      </c>
      <c r="P464">
        <v>3538</v>
      </c>
      <c r="Q464">
        <v>1967.25</v>
      </c>
      <c r="R464">
        <v>0.05</v>
      </c>
      <c r="S464" t="s">
        <v>70</v>
      </c>
      <c r="T464">
        <v>149.34</v>
      </c>
    </row>
    <row r="465" spans="1:20" x14ac:dyDescent="0.25">
      <c r="A465">
        <v>100464</v>
      </c>
      <c r="B465" s="6">
        <v>45309</v>
      </c>
      <c r="C465">
        <v>2024</v>
      </c>
      <c r="D465" t="s">
        <v>63</v>
      </c>
      <c r="E465">
        <v>1</v>
      </c>
      <c r="F465" t="s">
        <v>79</v>
      </c>
      <c r="G465" t="s">
        <v>35</v>
      </c>
      <c r="H465" t="s">
        <v>23</v>
      </c>
      <c r="I465" t="s">
        <v>80</v>
      </c>
      <c r="J465" t="s">
        <v>42</v>
      </c>
      <c r="K465" t="s">
        <v>32</v>
      </c>
      <c r="L465" t="s">
        <v>74</v>
      </c>
      <c r="M465">
        <v>123</v>
      </c>
      <c r="N465">
        <v>25</v>
      </c>
      <c r="O465">
        <v>3075</v>
      </c>
      <c r="P465">
        <v>1722</v>
      </c>
      <c r="Q465">
        <v>1353</v>
      </c>
      <c r="R465">
        <v>0</v>
      </c>
      <c r="S465" t="s">
        <v>38</v>
      </c>
      <c r="T465">
        <v>109.81</v>
      </c>
    </row>
    <row r="466" spans="1:20" x14ac:dyDescent="0.25">
      <c r="A466">
        <v>100465</v>
      </c>
      <c r="B466" s="6">
        <v>45407</v>
      </c>
      <c r="C466">
        <v>2024</v>
      </c>
      <c r="D466" t="s">
        <v>20</v>
      </c>
      <c r="E466">
        <v>4</v>
      </c>
      <c r="F466" t="s">
        <v>34</v>
      </c>
      <c r="G466" t="s">
        <v>45</v>
      </c>
      <c r="H466" t="s">
        <v>23</v>
      </c>
      <c r="I466" t="s">
        <v>90</v>
      </c>
      <c r="J466" t="s">
        <v>54</v>
      </c>
      <c r="K466" t="s">
        <v>32</v>
      </c>
      <c r="L466" t="s">
        <v>47</v>
      </c>
      <c r="M466">
        <v>67</v>
      </c>
      <c r="N466">
        <v>180</v>
      </c>
      <c r="O466">
        <v>11818.8</v>
      </c>
      <c r="P466">
        <v>7705</v>
      </c>
      <c r="Q466">
        <v>4113.8</v>
      </c>
      <c r="R466">
        <v>0.02</v>
      </c>
      <c r="S466" t="s">
        <v>38</v>
      </c>
      <c r="T466">
        <v>793.84</v>
      </c>
    </row>
    <row r="467" spans="1:20" x14ac:dyDescent="0.25">
      <c r="A467">
        <v>100466</v>
      </c>
      <c r="B467" s="6">
        <v>45241</v>
      </c>
      <c r="C467">
        <v>2023</v>
      </c>
      <c r="D467" t="s">
        <v>43</v>
      </c>
      <c r="E467">
        <v>11</v>
      </c>
      <c r="F467" t="s">
        <v>87</v>
      </c>
      <c r="G467" t="s">
        <v>35</v>
      </c>
      <c r="H467" t="s">
        <v>23</v>
      </c>
      <c r="I467" t="s">
        <v>53</v>
      </c>
      <c r="J467" t="s">
        <v>54</v>
      </c>
      <c r="K467" t="s">
        <v>55</v>
      </c>
      <c r="L467" t="s">
        <v>89</v>
      </c>
      <c r="M467">
        <v>25</v>
      </c>
      <c r="N467">
        <v>280</v>
      </c>
      <c r="O467">
        <v>6650</v>
      </c>
      <c r="P467">
        <v>5125</v>
      </c>
      <c r="Q467">
        <v>1525</v>
      </c>
      <c r="R467">
        <v>0.05</v>
      </c>
      <c r="S467" t="s">
        <v>70</v>
      </c>
      <c r="T467">
        <v>377.88</v>
      </c>
    </row>
    <row r="468" spans="1:20" x14ac:dyDescent="0.25">
      <c r="A468">
        <v>100467</v>
      </c>
      <c r="B468" s="6">
        <v>45797</v>
      </c>
      <c r="C468">
        <v>2025</v>
      </c>
      <c r="D468" t="s">
        <v>20</v>
      </c>
      <c r="E468">
        <v>5</v>
      </c>
      <c r="F468" t="s">
        <v>21</v>
      </c>
      <c r="G468" t="s">
        <v>45</v>
      </c>
      <c r="H468" t="s">
        <v>23</v>
      </c>
      <c r="I468" t="s">
        <v>62</v>
      </c>
      <c r="J468" t="s">
        <v>66</v>
      </c>
      <c r="K468" t="s">
        <v>51</v>
      </c>
      <c r="L468" t="s">
        <v>76</v>
      </c>
      <c r="M468">
        <v>103</v>
      </c>
      <c r="N468">
        <v>40</v>
      </c>
      <c r="O468">
        <v>3996.4</v>
      </c>
      <c r="P468">
        <v>2369</v>
      </c>
      <c r="Q468">
        <v>1627.4</v>
      </c>
      <c r="R468">
        <v>0.03</v>
      </c>
      <c r="S468" t="s">
        <v>38</v>
      </c>
      <c r="T468">
        <v>208.18</v>
      </c>
    </row>
    <row r="469" spans="1:20" x14ac:dyDescent="0.25">
      <c r="A469">
        <v>100468</v>
      </c>
      <c r="B469" s="6">
        <v>45775</v>
      </c>
      <c r="C469">
        <v>2025</v>
      </c>
      <c r="D469" t="s">
        <v>20</v>
      </c>
      <c r="E469">
        <v>4</v>
      </c>
      <c r="F469" t="s">
        <v>34</v>
      </c>
      <c r="G469" t="s">
        <v>29</v>
      </c>
      <c r="H469" t="s">
        <v>23</v>
      </c>
      <c r="I469" t="s">
        <v>30</v>
      </c>
      <c r="J469" t="s">
        <v>50</v>
      </c>
      <c r="K469" t="s">
        <v>59</v>
      </c>
      <c r="L469" t="s">
        <v>60</v>
      </c>
      <c r="M469">
        <v>117</v>
      </c>
      <c r="N469">
        <v>45</v>
      </c>
      <c r="O469">
        <v>5107.05</v>
      </c>
      <c r="P469">
        <v>3159</v>
      </c>
      <c r="Q469">
        <v>1948.05</v>
      </c>
      <c r="R469">
        <v>0.03</v>
      </c>
      <c r="S469" t="s">
        <v>38</v>
      </c>
      <c r="T469">
        <v>90.72</v>
      </c>
    </row>
    <row r="470" spans="1:20" x14ac:dyDescent="0.25">
      <c r="A470">
        <v>100469</v>
      </c>
      <c r="B470" s="6">
        <v>45234</v>
      </c>
      <c r="C470">
        <v>2023</v>
      </c>
      <c r="D470" t="s">
        <v>43</v>
      </c>
      <c r="E470">
        <v>11</v>
      </c>
      <c r="F470" t="s">
        <v>87</v>
      </c>
      <c r="G470" t="s">
        <v>45</v>
      </c>
      <c r="H470" t="s">
        <v>23</v>
      </c>
      <c r="I470" t="s">
        <v>88</v>
      </c>
      <c r="J470" t="s">
        <v>54</v>
      </c>
      <c r="K470" t="s">
        <v>55</v>
      </c>
      <c r="L470" t="s">
        <v>56</v>
      </c>
      <c r="M470">
        <v>84</v>
      </c>
      <c r="N470">
        <v>320</v>
      </c>
      <c r="O470">
        <v>26073.599999999999</v>
      </c>
      <c r="P470">
        <v>19740</v>
      </c>
      <c r="Q470">
        <v>6333.6</v>
      </c>
      <c r="R470">
        <v>0.03</v>
      </c>
      <c r="S470" t="s">
        <v>70</v>
      </c>
      <c r="T470">
        <v>731.66</v>
      </c>
    </row>
    <row r="471" spans="1:20" x14ac:dyDescent="0.25">
      <c r="A471">
        <v>100470</v>
      </c>
      <c r="B471" s="6">
        <v>45900</v>
      </c>
      <c r="C471">
        <v>2025</v>
      </c>
      <c r="D471" t="s">
        <v>39</v>
      </c>
      <c r="E471">
        <v>8</v>
      </c>
      <c r="F471" t="s">
        <v>58</v>
      </c>
      <c r="G471" t="s">
        <v>45</v>
      </c>
      <c r="H471" t="s">
        <v>23</v>
      </c>
      <c r="I471" t="s">
        <v>46</v>
      </c>
      <c r="J471" t="s">
        <v>66</v>
      </c>
      <c r="K471" t="s">
        <v>32</v>
      </c>
      <c r="L471" t="s">
        <v>74</v>
      </c>
      <c r="M471">
        <v>21</v>
      </c>
      <c r="N471">
        <v>25</v>
      </c>
      <c r="O471">
        <v>509.25</v>
      </c>
      <c r="P471">
        <v>294</v>
      </c>
      <c r="Q471">
        <v>215.25</v>
      </c>
      <c r="R471">
        <v>0.03</v>
      </c>
      <c r="S471" t="s">
        <v>38</v>
      </c>
      <c r="T471">
        <v>30.09</v>
      </c>
    </row>
    <row r="472" spans="1:20" x14ac:dyDescent="0.25">
      <c r="A472">
        <v>100471</v>
      </c>
      <c r="B472" s="6">
        <v>45541</v>
      </c>
      <c r="C472">
        <v>2024</v>
      </c>
      <c r="D472" t="s">
        <v>39</v>
      </c>
      <c r="E472">
        <v>9</v>
      </c>
      <c r="F472" t="s">
        <v>40</v>
      </c>
      <c r="G472" t="s">
        <v>22</v>
      </c>
      <c r="H472" t="s">
        <v>23</v>
      </c>
      <c r="I472" t="s">
        <v>24</v>
      </c>
      <c r="J472" t="s">
        <v>66</v>
      </c>
      <c r="K472" t="s">
        <v>26</v>
      </c>
      <c r="L472" t="s">
        <v>82</v>
      </c>
      <c r="M472">
        <v>94</v>
      </c>
      <c r="N472">
        <v>105</v>
      </c>
      <c r="O472">
        <v>9080.4</v>
      </c>
      <c r="P472">
        <v>5734</v>
      </c>
      <c r="Q472">
        <v>3346.4</v>
      </c>
      <c r="R472">
        <v>0.08</v>
      </c>
      <c r="S472" t="s">
        <v>38</v>
      </c>
      <c r="T472">
        <v>599.35</v>
      </c>
    </row>
    <row r="473" spans="1:20" x14ac:dyDescent="0.25">
      <c r="A473">
        <v>100472</v>
      </c>
      <c r="B473" s="6">
        <v>45419</v>
      </c>
      <c r="C473">
        <v>2024</v>
      </c>
      <c r="D473" t="s">
        <v>20</v>
      </c>
      <c r="E473">
        <v>5</v>
      </c>
      <c r="F473" t="s">
        <v>21</v>
      </c>
      <c r="G473" t="s">
        <v>29</v>
      </c>
      <c r="H473" t="s">
        <v>23</v>
      </c>
      <c r="I473" t="s">
        <v>30</v>
      </c>
      <c r="J473" t="s">
        <v>25</v>
      </c>
      <c r="K473" t="s">
        <v>59</v>
      </c>
      <c r="L473" t="s">
        <v>60</v>
      </c>
      <c r="M473">
        <v>124</v>
      </c>
      <c r="N473">
        <v>45</v>
      </c>
      <c r="O473">
        <v>5468.4</v>
      </c>
      <c r="P473">
        <v>3348</v>
      </c>
      <c r="Q473">
        <v>2120.4</v>
      </c>
      <c r="R473">
        <v>0.02</v>
      </c>
      <c r="S473" t="s">
        <v>38</v>
      </c>
      <c r="T473">
        <v>91.08</v>
      </c>
    </row>
    <row r="474" spans="1:20" x14ac:dyDescent="0.25">
      <c r="A474">
        <v>100473</v>
      </c>
      <c r="B474" s="6">
        <v>45030</v>
      </c>
      <c r="C474">
        <v>2023</v>
      </c>
      <c r="D474" t="s">
        <v>20</v>
      </c>
      <c r="E474">
        <v>4</v>
      </c>
      <c r="F474" t="s">
        <v>34</v>
      </c>
      <c r="G474" t="s">
        <v>22</v>
      </c>
      <c r="H474" t="s">
        <v>23</v>
      </c>
      <c r="I474" t="s">
        <v>24</v>
      </c>
      <c r="J474" t="s">
        <v>68</v>
      </c>
      <c r="K474" t="s">
        <v>51</v>
      </c>
      <c r="L474" t="s">
        <v>92</v>
      </c>
      <c r="M474">
        <v>15</v>
      </c>
      <c r="N474">
        <v>50</v>
      </c>
      <c r="O474">
        <v>712.5</v>
      </c>
      <c r="P474">
        <v>435</v>
      </c>
      <c r="Q474">
        <v>277.5</v>
      </c>
      <c r="R474">
        <v>0.05</v>
      </c>
      <c r="S474" t="s">
        <v>70</v>
      </c>
      <c r="T474">
        <v>23.13</v>
      </c>
    </row>
    <row r="475" spans="1:20" x14ac:dyDescent="0.25">
      <c r="A475">
        <v>100474</v>
      </c>
      <c r="B475" s="6">
        <v>45219</v>
      </c>
      <c r="C475">
        <v>2023</v>
      </c>
      <c r="D475" t="s">
        <v>43</v>
      </c>
      <c r="E475">
        <v>10</v>
      </c>
      <c r="F475" t="s">
        <v>44</v>
      </c>
      <c r="G475" t="s">
        <v>22</v>
      </c>
      <c r="H475" t="s">
        <v>23</v>
      </c>
      <c r="I475" t="s">
        <v>65</v>
      </c>
      <c r="J475" t="s">
        <v>68</v>
      </c>
      <c r="K475" t="s">
        <v>26</v>
      </c>
      <c r="L475" t="s">
        <v>78</v>
      </c>
      <c r="M475">
        <v>52</v>
      </c>
      <c r="N475">
        <v>95</v>
      </c>
      <c r="O475">
        <v>4841.2</v>
      </c>
      <c r="P475">
        <v>3016</v>
      </c>
      <c r="Q475">
        <v>1825.2</v>
      </c>
      <c r="R475">
        <v>0.02</v>
      </c>
      <c r="S475" t="s">
        <v>57</v>
      </c>
      <c r="T475">
        <v>193.93</v>
      </c>
    </row>
    <row r="476" spans="1:20" x14ac:dyDescent="0.25">
      <c r="A476">
        <v>100475</v>
      </c>
      <c r="B476" s="6">
        <v>45626</v>
      </c>
      <c r="C476">
        <v>2024</v>
      </c>
      <c r="D476" t="s">
        <v>43</v>
      </c>
      <c r="E476">
        <v>11</v>
      </c>
      <c r="F476" t="s">
        <v>87</v>
      </c>
      <c r="G476" t="s">
        <v>35</v>
      </c>
      <c r="H476" t="s">
        <v>23</v>
      </c>
      <c r="I476" t="s">
        <v>53</v>
      </c>
      <c r="J476" t="s">
        <v>68</v>
      </c>
      <c r="K476" t="s">
        <v>51</v>
      </c>
      <c r="L476" t="s">
        <v>52</v>
      </c>
      <c r="M476">
        <v>113</v>
      </c>
      <c r="N476">
        <v>75</v>
      </c>
      <c r="O476">
        <v>8305.5</v>
      </c>
      <c r="P476">
        <v>4972</v>
      </c>
      <c r="Q476">
        <v>3333.5</v>
      </c>
      <c r="R476">
        <v>0.02</v>
      </c>
      <c r="S476" t="s">
        <v>38</v>
      </c>
      <c r="T476">
        <v>512.65</v>
      </c>
    </row>
    <row r="477" spans="1:20" x14ac:dyDescent="0.25">
      <c r="A477">
        <v>100476</v>
      </c>
      <c r="B477" s="6">
        <v>45535</v>
      </c>
      <c r="C477">
        <v>2024</v>
      </c>
      <c r="D477" t="s">
        <v>39</v>
      </c>
      <c r="E477">
        <v>8</v>
      </c>
      <c r="F477" t="s">
        <v>58</v>
      </c>
      <c r="G477" t="s">
        <v>22</v>
      </c>
      <c r="H477" t="s">
        <v>23</v>
      </c>
      <c r="I477" t="s">
        <v>65</v>
      </c>
      <c r="J477" t="s">
        <v>42</v>
      </c>
      <c r="K477" t="s">
        <v>32</v>
      </c>
      <c r="L477" t="s">
        <v>47</v>
      </c>
      <c r="M477">
        <v>123</v>
      </c>
      <c r="N477">
        <v>180</v>
      </c>
      <c r="O477">
        <v>19926</v>
      </c>
      <c r="P477">
        <v>14145</v>
      </c>
      <c r="Q477">
        <v>5781</v>
      </c>
      <c r="R477">
        <v>0.1</v>
      </c>
      <c r="S477" t="s">
        <v>38</v>
      </c>
      <c r="T477">
        <v>366.63</v>
      </c>
    </row>
    <row r="478" spans="1:20" x14ac:dyDescent="0.25">
      <c r="A478">
        <v>100477</v>
      </c>
      <c r="B478" s="6">
        <v>45110</v>
      </c>
      <c r="C478">
        <v>2023</v>
      </c>
      <c r="D478" t="s">
        <v>39</v>
      </c>
      <c r="E478">
        <v>7</v>
      </c>
      <c r="F478" t="s">
        <v>75</v>
      </c>
      <c r="G478" t="s">
        <v>29</v>
      </c>
      <c r="H478" t="s">
        <v>23</v>
      </c>
      <c r="I478" t="s">
        <v>30</v>
      </c>
      <c r="J478" t="s">
        <v>31</v>
      </c>
      <c r="K478" t="s">
        <v>32</v>
      </c>
      <c r="L478" t="s">
        <v>33</v>
      </c>
      <c r="M478">
        <v>34</v>
      </c>
      <c r="N478">
        <v>60</v>
      </c>
      <c r="O478">
        <v>1876.8</v>
      </c>
      <c r="P478">
        <v>1292</v>
      </c>
      <c r="Q478">
        <v>584.79999999999995</v>
      </c>
      <c r="R478">
        <v>0.08</v>
      </c>
      <c r="S478" t="s">
        <v>70</v>
      </c>
      <c r="T478">
        <v>47.7</v>
      </c>
    </row>
    <row r="479" spans="1:20" x14ac:dyDescent="0.25">
      <c r="A479">
        <v>100478</v>
      </c>
      <c r="B479" s="6">
        <v>45928</v>
      </c>
      <c r="C479">
        <v>2025</v>
      </c>
      <c r="D479" t="s">
        <v>39</v>
      </c>
      <c r="E479">
        <v>9</v>
      </c>
      <c r="F479" t="s">
        <v>40</v>
      </c>
      <c r="G479" t="s">
        <v>45</v>
      </c>
      <c r="H479" t="s">
        <v>23</v>
      </c>
      <c r="I479" t="s">
        <v>88</v>
      </c>
      <c r="J479" t="s">
        <v>25</v>
      </c>
      <c r="K479" t="s">
        <v>59</v>
      </c>
      <c r="L479" t="s">
        <v>91</v>
      </c>
      <c r="M479">
        <v>19</v>
      </c>
      <c r="N479">
        <v>140</v>
      </c>
      <c r="O479">
        <v>2660</v>
      </c>
      <c r="P479">
        <v>1558</v>
      </c>
      <c r="Q479">
        <v>1102</v>
      </c>
      <c r="R479">
        <v>0</v>
      </c>
      <c r="S479" t="s">
        <v>57</v>
      </c>
      <c r="T479">
        <v>82.95</v>
      </c>
    </row>
    <row r="480" spans="1:20" x14ac:dyDescent="0.25">
      <c r="A480">
        <v>100479</v>
      </c>
      <c r="B480" s="6">
        <v>45390</v>
      </c>
      <c r="C480">
        <v>2024</v>
      </c>
      <c r="D480" t="s">
        <v>20</v>
      </c>
      <c r="E480">
        <v>4</v>
      </c>
      <c r="F480" t="s">
        <v>34</v>
      </c>
      <c r="G480" t="s">
        <v>45</v>
      </c>
      <c r="H480" t="s">
        <v>23</v>
      </c>
      <c r="I480" t="s">
        <v>90</v>
      </c>
      <c r="J480" t="s">
        <v>54</v>
      </c>
      <c r="K480" t="s">
        <v>59</v>
      </c>
      <c r="L480" t="s">
        <v>60</v>
      </c>
      <c r="M480">
        <v>53</v>
      </c>
      <c r="N480">
        <v>45</v>
      </c>
      <c r="O480">
        <v>2313.4499999999998</v>
      </c>
      <c r="P480">
        <v>1431</v>
      </c>
      <c r="Q480">
        <v>882.45</v>
      </c>
      <c r="R480">
        <v>0.03</v>
      </c>
      <c r="S480" t="s">
        <v>38</v>
      </c>
      <c r="T480">
        <v>85.9</v>
      </c>
    </row>
    <row r="481" spans="1:20" x14ac:dyDescent="0.25">
      <c r="A481">
        <v>100480</v>
      </c>
      <c r="B481" s="6">
        <v>45066</v>
      </c>
      <c r="C481">
        <v>2023</v>
      </c>
      <c r="D481" t="s">
        <v>20</v>
      </c>
      <c r="E481">
        <v>5</v>
      </c>
      <c r="F481" t="s">
        <v>21</v>
      </c>
      <c r="G481" t="s">
        <v>22</v>
      </c>
      <c r="H481" t="s">
        <v>23</v>
      </c>
      <c r="I481" t="s">
        <v>65</v>
      </c>
      <c r="J481" t="s">
        <v>66</v>
      </c>
      <c r="K481" t="s">
        <v>51</v>
      </c>
      <c r="L481" t="s">
        <v>52</v>
      </c>
      <c r="M481">
        <v>121</v>
      </c>
      <c r="N481">
        <v>75</v>
      </c>
      <c r="O481">
        <v>8893.5</v>
      </c>
      <c r="P481">
        <v>5324</v>
      </c>
      <c r="Q481">
        <v>3569.5</v>
      </c>
      <c r="R481">
        <v>0.02</v>
      </c>
      <c r="S481" t="s">
        <v>28</v>
      </c>
      <c r="T481">
        <v>226.64</v>
      </c>
    </row>
    <row r="482" spans="1:20" x14ac:dyDescent="0.25">
      <c r="A482">
        <v>100481</v>
      </c>
      <c r="B482" s="6">
        <v>45075</v>
      </c>
      <c r="C482">
        <v>2023</v>
      </c>
      <c r="D482" t="s">
        <v>20</v>
      </c>
      <c r="E482">
        <v>5</v>
      </c>
      <c r="F482" t="s">
        <v>21</v>
      </c>
      <c r="G482" t="s">
        <v>45</v>
      </c>
      <c r="H482" t="s">
        <v>23</v>
      </c>
      <c r="I482" t="s">
        <v>62</v>
      </c>
      <c r="J482" t="s">
        <v>68</v>
      </c>
      <c r="K482" t="s">
        <v>26</v>
      </c>
      <c r="L482" t="s">
        <v>78</v>
      </c>
      <c r="M482">
        <v>125</v>
      </c>
      <c r="N482">
        <v>95</v>
      </c>
      <c r="O482">
        <v>11637.5</v>
      </c>
      <c r="P482">
        <v>7250</v>
      </c>
      <c r="Q482">
        <v>4387.5</v>
      </c>
      <c r="R482">
        <v>0.02</v>
      </c>
      <c r="S482" t="s">
        <v>38</v>
      </c>
      <c r="T482">
        <v>490</v>
      </c>
    </row>
    <row r="483" spans="1:20" x14ac:dyDescent="0.25">
      <c r="A483">
        <v>100482</v>
      </c>
      <c r="B483" s="6">
        <v>45901</v>
      </c>
      <c r="C483">
        <v>2025</v>
      </c>
      <c r="D483" t="s">
        <v>39</v>
      </c>
      <c r="E483">
        <v>9</v>
      </c>
      <c r="F483" t="s">
        <v>40</v>
      </c>
      <c r="G483" t="s">
        <v>35</v>
      </c>
      <c r="H483" t="s">
        <v>23</v>
      </c>
      <c r="I483" t="s">
        <v>77</v>
      </c>
      <c r="J483" t="s">
        <v>31</v>
      </c>
      <c r="K483" t="s">
        <v>32</v>
      </c>
      <c r="L483" t="s">
        <v>37</v>
      </c>
      <c r="M483">
        <v>131</v>
      </c>
      <c r="N483">
        <v>120</v>
      </c>
      <c r="O483">
        <v>15248.4</v>
      </c>
      <c r="P483">
        <v>10218</v>
      </c>
      <c r="Q483">
        <v>5030.3999999999996</v>
      </c>
      <c r="R483">
        <v>0.03</v>
      </c>
      <c r="S483" t="s">
        <v>38</v>
      </c>
      <c r="T483">
        <v>985.55</v>
      </c>
    </row>
    <row r="484" spans="1:20" x14ac:dyDescent="0.25">
      <c r="A484">
        <v>100483</v>
      </c>
      <c r="B484" s="6">
        <v>45397</v>
      </c>
      <c r="C484">
        <v>2024</v>
      </c>
      <c r="D484" t="s">
        <v>20</v>
      </c>
      <c r="E484">
        <v>4</v>
      </c>
      <c r="F484" t="s">
        <v>34</v>
      </c>
      <c r="G484" t="s">
        <v>29</v>
      </c>
      <c r="H484" t="s">
        <v>23</v>
      </c>
      <c r="I484" t="s">
        <v>30</v>
      </c>
      <c r="J484" t="s">
        <v>68</v>
      </c>
      <c r="K484" t="s">
        <v>55</v>
      </c>
      <c r="L484" t="s">
        <v>56</v>
      </c>
      <c r="M484">
        <v>113</v>
      </c>
      <c r="N484">
        <v>320</v>
      </c>
      <c r="O484">
        <v>34352</v>
      </c>
      <c r="P484">
        <v>26555</v>
      </c>
      <c r="Q484">
        <v>7797</v>
      </c>
      <c r="R484">
        <v>0.05</v>
      </c>
      <c r="S484" t="s">
        <v>70</v>
      </c>
      <c r="T484">
        <v>2212.66</v>
      </c>
    </row>
    <row r="485" spans="1:20" x14ac:dyDescent="0.25">
      <c r="A485">
        <v>100484</v>
      </c>
      <c r="B485" s="6">
        <v>45935</v>
      </c>
      <c r="C485">
        <v>2025</v>
      </c>
      <c r="D485" t="s">
        <v>43</v>
      </c>
      <c r="E485">
        <v>10</v>
      </c>
      <c r="F485" t="s">
        <v>44</v>
      </c>
      <c r="G485" t="s">
        <v>29</v>
      </c>
      <c r="H485" t="s">
        <v>23</v>
      </c>
      <c r="I485" t="s">
        <v>30</v>
      </c>
      <c r="J485" t="s">
        <v>61</v>
      </c>
      <c r="K485" t="s">
        <v>51</v>
      </c>
      <c r="L485" t="s">
        <v>72</v>
      </c>
      <c r="M485">
        <v>14</v>
      </c>
      <c r="N485">
        <v>90</v>
      </c>
      <c r="O485">
        <v>1260</v>
      </c>
      <c r="P485">
        <v>728</v>
      </c>
      <c r="Q485">
        <v>532</v>
      </c>
      <c r="R485">
        <v>0</v>
      </c>
      <c r="S485" t="s">
        <v>38</v>
      </c>
      <c r="T485">
        <v>24.14</v>
      </c>
    </row>
    <row r="486" spans="1:20" x14ac:dyDescent="0.25">
      <c r="A486">
        <v>100485</v>
      </c>
      <c r="B486" s="6">
        <v>45796</v>
      </c>
      <c r="C486">
        <v>2025</v>
      </c>
      <c r="D486" t="s">
        <v>20</v>
      </c>
      <c r="E486">
        <v>5</v>
      </c>
      <c r="F486" t="s">
        <v>21</v>
      </c>
      <c r="G486" t="s">
        <v>45</v>
      </c>
      <c r="H486" t="s">
        <v>23</v>
      </c>
      <c r="I486" t="s">
        <v>46</v>
      </c>
      <c r="J486" t="s">
        <v>66</v>
      </c>
      <c r="K486" t="s">
        <v>32</v>
      </c>
      <c r="L486" t="s">
        <v>47</v>
      </c>
      <c r="M486">
        <v>11</v>
      </c>
      <c r="N486">
        <v>180</v>
      </c>
      <c r="O486">
        <v>1881</v>
      </c>
      <c r="P486">
        <v>1265</v>
      </c>
      <c r="Q486">
        <v>616</v>
      </c>
      <c r="R486">
        <v>0.05</v>
      </c>
      <c r="S486" t="s">
        <v>28</v>
      </c>
      <c r="T486">
        <v>31.57</v>
      </c>
    </row>
    <row r="487" spans="1:20" x14ac:dyDescent="0.25">
      <c r="A487">
        <v>100486</v>
      </c>
      <c r="B487" s="6">
        <v>45034</v>
      </c>
      <c r="C487">
        <v>2023</v>
      </c>
      <c r="D487" t="s">
        <v>20</v>
      </c>
      <c r="E487">
        <v>4</v>
      </c>
      <c r="F487" t="s">
        <v>34</v>
      </c>
      <c r="G487" t="s">
        <v>29</v>
      </c>
      <c r="H487" t="s">
        <v>23</v>
      </c>
      <c r="I487" t="s">
        <v>30</v>
      </c>
      <c r="J487" t="s">
        <v>42</v>
      </c>
      <c r="K487" t="s">
        <v>32</v>
      </c>
      <c r="L487" t="s">
        <v>74</v>
      </c>
      <c r="M487">
        <v>134</v>
      </c>
      <c r="N487">
        <v>25</v>
      </c>
      <c r="O487">
        <v>3082</v>
      </c>
      <c r="P487">
        <v>1876</v>
      </c>
      <c r="Q487">
        <v>1206</v>
      </c>
      <c r="R487">
        <v>0.08</v>
      </c>
      <c r="S487" t="s">
        <v>38</v>
      </c>
      <c r="T487">
        <v>212.95</v>
      </c>
    </row>
    <row r="488" spans="1:20" x14ac:dyDescent="0.25">
      <c r="A488">
        <v>100487</v>
      </c>
      <c r="B488" s="6">
        <v>45624</v>
      </c>
      <c r="C488">
        <v>2024</v>
      </c>
      <c r="D488" t="s">
        <v>43</v>
      </c>
      <c r="E488">
        <v>11</v>
      </c>
      <c r="F488" t="s">
        <v>87</v>
      </c>
      <c r="G488" t="s">
        <v>45</v>
      </c>
      <c r="H488" t="s">
        <v>23</v>
      </c>
      <c r="I488" t="s">
        <v>62</v>
      </c>
      <c r="J488" t="s">
        <v>54</v>
      </c>
      <c r="K488" t="s">
        <v>51</v>
      </c>
      <c r="L488" t="s">
        <v>52</v>
      </c>
      <c r="M488">
        <v>40</v>
      </c>
      <c r="N488">
        <v>75</v>
      </c>
      <c r="O488">
        <v>3000</v>
      </c>
      <c r="P488">
        <v>1760</v>
      </c>
      <c r="Q488">
        <v>1240</v>
      </c>
      <c r="R488">
        <v>0</v>
      </c>
      <c r="S488" t="s">
        <v>38</v>
      </c>
      <c r="T488">
        <v>159.18</v>
      </c>
    </row>
    <row r="489" spans="1:20" x14ac:dyDescent="0.25">
      <c r="A489">
        <v>100488</v>
      </c>
      <c r="B489" s="6">
        <v>45037</v>
      </c>
      <c r="C489">
        <v>2023</v>
      </c>
      <c r="D489" t="s">
        <v>20</v>
      </c>
      <c r="E489">
        <v>4</v>
      </c>
      <c r="F489" t="s">
        <v>34</v>
      </c>
      <c r="G489" t="s">
        <v>45</v>
      </c>
      <c r="H489" t="s">
        <v>23</v>
      </c>
      <c r="I489" t="s">
        <v>46</v>
      </c>
      <c r="J489" t="s">
        <v>61</v>
      </c>
      <c r="K489" t="s">
        <v>32</v>
      </c>
      <c r="L489" t="s">
        <v>33</v>
      </c>
      <c r="M489">
        <v>88</v>
      </c>
      <c r="N489">
        <v>60</v>
      </c>
      <c r="O489">
        <v>4857.6000000000004</v>
      </c>
      <c r="P489">
        <v>3344</v>
      </c>
      <c r="Q489">
        <v>1513.6</v>
      </c>
      <c r="R489">
        <v>0.08</v>
      </c>
      <c r="S489" t="s">
        <v>57</v>
      </c>
      <c r="T489">
        <v>200.4</v>
      </c>
    </row>
    <row r="490" spans="1:20" x14ac:dyDescent="0.25">
      <c r="A490">
        <v>100489</v>
      </c>
      <c r="B490" s="6">
        <v>45628</v>
      </c>
      <c r="C490">
        <v>2024</v>
      </c>
      <c r="D490" t="s">
        <v>43</v>
      </c>
      <c r="E490">
        <v>12</v>
      </c>
      <c r="F490" t="s">
        <v>83</v>
      </c>
      <c r="G490" t="s">
        <v>22</v>
      </c>
      <c r="H490" t="s">
        <v>23</v>
      </c>
      <c r="I490" t="s">
        <v>71</v>
      </c>
      <c r="J490" t="s">
        <v>66</v>
      </c>
      <c r="K490" t="s">
        <v>51</v>
      </c>
      <c r="L490" t="s">
        <v>76</v>
      </c>
      <c r="M490">
        <v>150</v>
      </c>
      <c r="N490">
        <v>40</v>
      </c>
      <c r="O490">
        <v>6000</v>
      </c>
      <c r="P490">
        <v>3450</v>
      </c>
      <c r="Q490">
        <v>2550</v>
      </c>
      <c r="R490">
        <v>0</v>
      </c>
      <c r="S490" t="s">
        <v>28</v>
      </c>
      <c r="T490">
        <v>244.01</v>
      </c>
    </row>
    <row r="491" spans="1:20" x14ac:dyDescent="0.25">
      <c r="A491">
        <v>100490</v>
      </c>
      <c r="B491" s="6">
        <v>45089</v>
      </c>
      <c r="C491">
        <v>2023</v>
      </c>
      <c r="D491" t="s">
        <v>20</v>
      </c>
      <c r="E491">
        <v>6</v>
      </c>
      <c r="F491" t="s">
        <v>48</v>
      </c>
      <c r="G491" t="s">
        <v>35</v>
      </c>
      <c r="H491" t="s">
        <v>23</v>
      </c>
      <c r="I491" t="s">
        <v>36</v>
      </c>
      <c r="J491" t="s">
        <v>54</v>
      </c>
      <c r="K491" t="s">
        <v>51</v>
      </c>
      <c r="L491" t="s">
        <v>92</v>
      </c>
      <c r="M491">
        <v>63</v>
      </c>
      <c r="N491">
        <v>50</v>
      </c>
      <c r="O491">
        <v>2992.5</v>
      </c>
      <c r="P491">
        <v>1827</v>
      </c>
      <c r="Q491">
        <v>1165.5</v>
      </c>
      <c r="R491">
        <v>0.05</v>
      </c>
      <c r="S491" t="s">
        <v>38</v>
      </c>
      <c r="T491">
        <v>173.51</v>
      </c>
    </row>
    <row r="492" spans="1:20" x14ac:dyDescent="0.25">
      <c r="A492">
        <v>100491</v>
      </c>
      <c r="B492" s="6">
        <v>45601</v>
      </c>
      <c r="C492">
        <v>2024</v>
      </c>
      <c r="D492" t="s">
        <v>43</v>
      </c>
      <c r="E492">
        <v>11</v>
      </c>
      <c r="F492" t="s">
        <v>87</v>
      </c>
      <c r="G492" t="s">
        <v>29</v>
      </c>
      <c r="H492" t="s">
        <v>23</v>
      </c>
      <c r="I492" t="s">
        <v>85</v>
      </c>
      <c r="J492" t="s">
        <v>54</v>
      </c>
      <c r="K492" t="s">
        <v>26</v>
      </c>
      <c r="L492" t="s">
        <v>78</v>
      </c>
      <c r="M492">
        <v>58</v>
      </c>
      <c r="N492">
        <v>95</v>
      </c>
      <c r="O492">
        <v>5344.7</v>
      </c>
      <c r="P492">
        <v>3364</v>
      </c>
      <c r="Q492">
        <v>1980.7</v>
      </c>
      <c r="R492">
        <v>0.03</v>
      </c>
      <c r="S492" t="s">
        <v>70</v>
      </c>
      <c r="T492">
        <v>257.04000000000002</v>
      </c>
    </row>
    <row r="493" spans="1:20" x14ac:dyDescent="0.25">
      <c r="A493">
        <v>100492</v>
      </c>
      <c r="B493" s="6">
        <v>45316</v>
      </c>
      <c r="C493">
        <v>2024</v>
      </c>
      <c r="D493" t="s">
        <v>63</v>
      </c>
      <c r="E493">
        <v>1</v>
      </c>
      <c r="F493" t="s">
        <v>79</v>
      </c>
      <c r="G493" t="s">
        <v>35</v>
      </c>
      <c r="H493" t="s">
        <v>23</v>
      </c>
      <c r="I493" t="s">
        <v>53</v>
      </c>
      <c r="J493" t="s">
        <v>61</v>
      </c>
      <c r="K493" t="s">
        <v>59</v>
      </c>
      <c r="L493" t="s">
        <v>86</v>
      </c>
      <c r="M493">
        <v>141</v>
      </c>
      <c r="N493">
        <v>160</v>
      </c>
      <c r="O493">
        <v>21432</v>
      </c>
      <c r="P493">
        <v>13395</v>
      </c>
      <c r="Q493">
        <v>8037</v>
      </c>
      <c r="R493">
        <v>0.05</v>
      </c>
      <c r="S493" t="s">
        <v>38</v>
      </c>
      <c r="T493">
        <v>1164</v>
      </c>
    </row>
    <row r="494" spans="1:20" x14ac:dyDescent="0.25">
      <c r="A494">
        <v>100493</v>
      </c>
      <c r="B494" s="6">
        <v>45482</v>
      </c>
      <c r="C494">
        <v>2024</v>
      </c>
      <c r="D494" t="s">
        <v>39</v>
      </c>
      <c r="E494">
        <v>7</v>
      </c>
      <c r="F494" t="s">
        <v>75</v>
      </c>
      <c r="G494" t="s">
        <v>22</v>
      </c>
      <c r="H494" t="s">
        <v>23</v>
      </c>
      <c r="I494" t="s">
        <v>24</v>
      </c>
      <c r="J494" t="s">
        <v>25</v>
      </c>
      <c r="K494" t="s">
        <v>59</v>
      </c>
      <c r="L494" t="s">
        <v>67</v>
      </c>
      <c r="M494">
        <v>90</v>
      </c>
      <c r="N494">
        <v>95</v>
      </c>
      <c r="O494">
        <v>8122.5</v>
      </c>
      <c r="P494">
        <v>5040</v>
      </c>
      <c r="Q494">
        <v>3082.5</v>
      </c>
      <c r="R494">
        <v>0.05</v>
      </c>
      <c r="S494" t="s">
        <v>70</v>
      </c>
      <c r="T494">
        <v>225.25</v>
      </c>
    </row>
    <row r="495" spans="1:20" x14ac:dyDescent="0.25">
      <c r="A495">
        <v>100494</v>
      </c>
      <c r="B495" s="6">
        <v>45358</v>
      </c>
      <c r="C495">
        <v>2024</v>
      </c>
      <c r="D495" t="s">
        <v>63</v>
      </c>
      <c r="E495">
        <v>3</v>
      </c>
      <c r="F495" t="s">
        <v>64</v>
      </c>
      <c r="G495" t="s">
        <v>29</v>
      </c>
      <c r="H495" t="s">
        <v>23</v>
      </c>
      <c r="I495" t="s">
        <v>49</v>
      </c>
      <c r="J495" t="s">
        <v>31</v>
      </c>
      <c r="K495" t="s">
        <v>51</v>
      </c>
      <c r="L495" t="s">
        <v>92</v>
      </c>
      <c r="M495">
        <v>80</v>
      </c>
      <c r="N495">
        <v>50</v>
      </c>
      <c r="O495">
        <v>3920</v>
      </c>
      <c r="P495">
        <v>2320</v>
      </c>
      <c r="Q495">
        <v>1600</v>
      </c>
      <c r="R495">
        <v>0.02</v>
      </c>
      <c r="S495" t="s">
        <v>57</v>
      </c>
      <c r="T495">
        <v>81.63</v>
      </c>
    </row>
    <row r="496" spans="1:20" x14ac:dyDescent="0.25">
      <c r="A496">
        <v>100495</v>
      </c>
      <c r="B496" s="6">
        <v>45752</v>
      </c>
      <c r="C496">
        <v>2025</v>
      </c>
      <c r="D496" t="s">
        <v>20</v>
      </c>
      <c r="E496">
        <v>4</v>
      </c>
      <c r="F496" t="s">
        <v>34</v>
      </c>
      <c r="G496" t="s">
        <v>29</v>
      </c>
      <c r="H496" t="s">
        <v>23</v>
      </c>
      <c r="I496" t="s">
        <v>85</v>
      </c>
      <c r="J496" t="s">
        <v>31</v>
      </c>
      <c r="K496" t="s">
        <v>51</v>
      </c>
      <c r="L496" t="s">
        <v>52</v>
      </c>
      <c r="M496">
        <v>77</v>
      </c>
      <c r="N496">
        <v>75</v>
      </c>
      <c r="O496">
        <v>5601.75</v>
      </c>
      <c r="P496">
        <v>3388</v>
      </c>
      <c r="Q496">
        <v>2213.75</v>
      </c>
      <c r="R496">
        <v>0.03</v>
      </c>
      <c r="S496" t="s">
        <v>38</v>
      </c>
      <c r="T496">
        <v>93.01</v>
      </c>
    </row>
    <row r="497" spans="1:20" x14ac:dyDescent="0.25">
      <c r="A497">
        <v>100496</v>
      </c>
      <c r="B497" s="6">
        <v>45355</v>
      </c>
      <c r="C497">
        <v>2024</v>
      </c>
      <c r="D497" t="s">
        <v>63</v>
      </c>
      <c r="E497">
        <v>3</v>
      </c>
      <c r="F497" t="s">
        <v>64</v>
      </c>
      <c r="G497" t="s">
        <v>35</v>
      </c>
      <c r="H497" t="s">
        <v>23</v>
      </c>
      <c r="I497" t="s">
        <v>80</v>
      </c>
      <c r="J497" t="s">
        <v>54</v>
      </c>
      <c r="K497" t="s">
        <v>59</v>
      </c>
      <c r="L497" t="s">
        <v>86</v>
      </c>
      <c r="M497">
        <v>40</v>
      </c>
      <c r="N497">
        <v>160</v>
      </c>
      <c r="O497">
        <v>6400</v>
      </c>
      <c r="P497">
        <v>3800</v>
      </c>
      <c r="Q497">
        <v>2600</v>
      </c>
      <c r="R497">
        <v>0</v>
      </c>
      <c r="S497" t="s">
        <v>57</v>
      </c>
      <c r="T497">
        <v>207.83</v>
      </c>
    </row>
    <row r="498" spans="1:20" x14ac:dyDescent="0.25">
      <c r="A498">
        <v>100497</v>
      </c>
      <c r="B498" s="6">
        <v>45127</v>
      </c>
      <c r="C498">
        <v>2023</v>
      </c>
      <c r="D498" t="s">
        <v>39</v>
      </c>
      <c r="E498">
        <v>7</v>
      </c>
      <c r="F498" t="s">
        <v>75</v>
      </c>
      <c r="G498" t="s">
        <v>22</v>
      </c>
      <c r="H498" t="s">
        <v>23</v>
      </c>
      <c r="I498" t="s">
        <v>71</v>
      </c>
      <c r="J498" t="s">
        <v>42</v>
      </c>
      <c r="K498" t="s">
        <v>26</v>
      </c>
      <c r="L498" t="s">
        <v>69</v>
      </c>
      <c r="M498">
        <v>117</v>
      </c>
      <c r="N498">
        <v>130</v>
      </c>
      <c r="O498">
        <v>13993.2</v>
      </c>
      <c r="P498">
        <v>8892</v>
      </c>
      <c r="Q498">
        <v>5101.2</v>
      </c>
      <c r="R498">
        <v>0.08</v>
      </c>
      <c r="S498" t="s">
        <v>38</v>
      </c>
      <c r="T498">
        <v>698.93</v>
      </c>
    </row>
    <row r="499" spans="1:20" x14ac:dyDescent="0.25">
      <c r="A499">
        <v>100498</v>
      </c>
      <c r="B499" s="6">
        <v>45724</v>
      </c>
      <c r="C499">
        <v>2025</v>
      </c>
      <c r="D499" t="s">
        <v>63</v>
      </c>
      <c r="E499">
        <v>3</v>
      </c>
      <c r="F499" t="s">
        <v>64</v>
      </c>
      <c r="G499" t="s">
        <v>35</v>
      </c>
      <c r="H499" t="s">
        <v>23</v>
      </c>
      <c r="I499" t="s">
        <v>36</v>
      </c>
      <c r="J499" t="s">
        <v>25</v>
      </c>
      <c r="K499" t="s">
        <v>59</v>
      </c>
      <c r="L499" t="s">
        <v>60</v>
      </c>
      <c r="M499">
        <v>126</v>
      </c>
      <c r="N499">
        <v>45</v>
      </c>
      <c r="O499">
        <v>5499.9</v>
      </c>
      <c r="P499">
        <v>3402</v>
      </c>
      <c r="Q499">
        <v>2097.9</v>
      </c>
      <c r="R499">
        <v>0.03</v>
      </c>
      <c r="S499" t="s">
        <v>28</v>
      </c>
      <c r="T499">
        <v>303.77</v>
      </c>
    </row>
    <row r="500" spans="1:20" x14ac:dyDescent="0.25">
      <c r="A500">
        <v>100499</v>
      </c>
      <c r="B500" s="6">
        <v>45589</v>
      </c>
      <c r="C500">
        <v>2024</v>
      </c>
      <c r="D500" t="s">
        <v>43</v>
      </c>
      <c r="E500">
        <v>10</v>
      </c>
      <c r="F500" t="s">
        <v>44</v>
      </c>
      <c r="G500" t="s">
        <v>45</v>
      </c>
      <c r="H500" t="s">
        <v>23</v>
      </c>
      <c r="I500" t="s">
        <v>88</v>
      </c>
      <c r="J500" t="s">
        <v>31</v>
      </c>
      <c r="K500" t="s">
        <v>59</v>
      </c>
      <c r="L500" t="s">
        <v>86</v>
      </c>
      <c r="M500">
        <v>117</v>
      </c>
      <c r="N500">
        <v>160</v>
      </c>
      <c r="O500">
        <v>18158.400000000001</v>
      </c>
      <c r="P500">
        <v>11115</v>
      </c>
      <c r="Q500">
        <v>7043.4</v>
      </c>
      <c r="R500">
        <v>0.03</v>
      </c>
      <c r="S500" t="s">
        <v>70</v>
      </c>
      <c r="T500">
        <v>1186.26</v>
      </c>
    </row>
    <row r="501" spans="1:20" x14ac:dyDescent="0.25">
      <c r="A501">
        <v>100500</v>
      </c>
      <c r="B501" s="6">
        <v>45534</v>
      </c>
      <c r="C501">
        <v>2024</v>
      </c>
      <c r="D501" t="s">
        <v>39</v>
      </c>
      <c r="E501">
        <v>8</v>
      </c>
      <c r="F501" t="s">
        <v>58</v>
      </c>
      <c r="G501" t="s">
        <v>45</v>
      </c>
      <c r="H501" t="s">
        <v>23</v>
      </c>
      <c r="I501" t="s">
        <v>46</v>
      </c>
      <c r="J501" t="s">
        <v>68</v>
      </c>
      <c r="K501" t="s">
        <v>55</v>
      </c>
      <c r="L501" t="s">
        <v>84</v>
      </c>
      <c r="M501">
        <v>121</v>
      </c>
      <c r="N501">
        <v>55</v>
      </c>
      <c r="O501">
        <v>6122.6</v>
      </c>
      <c r="P501">
        <v>4477</v>
      </c>
      <c r="Q501">
        <v>1645.6</v>
      </c>
      <c r="R501">
        <v>0.08</v>
      </c>
      <c r="S501" t="s">
        <v>38</v>
      </c>
      <c r="T501">
        <v>280.20999999999998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1"/>
  <sheetViews>
    <sheetView workbookViewId="0">
      <selection sqref="A1:T501"/>
    </sheetView>
  </sheetViews>
  <sheetFormatPr defaultRowHeight="15" x14ac:dyDescent="0.25"/>
  <cols>
    <col min="1" max="1" width="11.140625" customWidth="1"/>
    <col min="2" max="2" width="13.42578125" customWidth="1"/>
    <col min="4" max="4" width="10" customWidth="1"/>
    <col min="6" max="6" width="15.42578125" customWidth="1"/>
    <col min="7" max="7" width="9.28515625" customWidth="1"/>
    <col min="8" max="8" width="10.140625" customWidth="1"/>
    <col min="10" max="10" width="14.85546875" customWidth="1"/>
    <col min="11" max="11" width="11" customWidth="1"/>
    <col min="12" max="12" width="10" customWidth="1"/>
    <col min="13" max="13" width="10.85546875" customWidth="1"/>
    <col min="14" max="14" width="12.42578125" customWidth="1"/>
    <col min="18" max="18" width="10.85546875" customWidth="1"/>
    <col min="19" max="19" width="20.5703125" customWidth="1"/>
    <col min="20" max="20" width="18.855468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100001</v>
      </c>
      <c r="B2" s="6">
        <v>45787</v>
      </c>
      <c r="C2">
        <v>2025</v>
      </c>
      <c r="D2" t="s">
        <v>20</v>
      </c>
      <c r="E2">
        <v>5</v>
      </c>
      <c r="F2" t="s">
        <v>21</v>
      </c>
      <c r="G2" t="s">
        <v>22</v>
      </c>
      <c r="H2" t="s">
        <v>23</v>
      </c>
      <c r="I2" t="s">
        <v>24</v>
      </c>
      <c r="J2" t="s">
        <v>25</v>
      </c>
      <c r="K2" t="s">
        <v>26</v>
      </c>
      <c r="L2" t="s">
        <v>27</v>
      </c>
      <c r="M2">
        <v>112</v>
      </c>
      <c r="N2">
        <v>110</v>
      </c>
      <c r="O2">
        <v>11950.4</v>
      </c>
      <c r="P2">
        <v>7616</v>
      </c>
      <c r="Q2">
        <v>4334.3999999999996</v>
      </c>
      <c r="R2">
        <v>0.03</v>
      </c>
      <c r="S2" t="s">
        <v>28</v>
      </c>
      <c r="T2">
        <v>244.97</v>
      </c>
    </row>
    <row r="3" spans="1:20" x14ac:dyDescent="0.25">
      <c r="A3">
        <v>100002</v>
      </c>
      <c r="B3" s="6">
        <v>45798</v>
      </c>
      <c r="C3">
        <v>2025</v>
      </c>
      <c r="D3" t="s">
        <v>20</v>
      </c>
      <c r="E3">
        <v>5</v>
      </c>
      <c r="F3" t="s">
        <v>21</v>
      </c>
      <c r="G3" t="s">
        <v>29</v>
      </c>
      <c r="H3" t="s">
        <v>23</v>
      </c>
      <c r="I3" t="s">
        <v>30</v>
      </c>
      <c r="J3" t="s">
        <v>31</v>
      </c>
      <c r="K3" t="s">
        <v>32</v>
      </c>
      <c r="L3" t="s">
        <v>33</v>
      </c>
      <c r="M3">
        <v>97</v>
      </c>
      <c r="N3">
        <v>60</v>
      </c>
      <c r="O3">
        <v>5354.4</v>
      </c>
      <c r="P3">
        <v>3686</v>
      </c>
      <c r="Q3">
        <v>1668.4</v>
      </c>
      <c r="R3">
        <v>0.08</v>
      </c>
      <c r="S3" t="s">
        <v>28</v>
      </c>
      <c r="T3">
        <v>142.85</v>
      </c>
    </row>
    <row r="4" spans="1:20" x14ac:dyDescent="0.25">
      <c r="A4">
        <v>100003</v>
      </c>
      <c r="B4" s="6">
        <v>45386</v>
      </c>
      <c r="C4">
        <v>2024</v>
      </c>
      <c r="D4" t="s">
        <v>20</v>
      </c>
      <c r="E4">
        <v>4</v>
      </c>
      <c r="F4" t="s">
        <v>34</v>
      </c>
      <c r="G4" t="s">
        <v>35</v>
      </c>
      <c r="H4" t="s">
        <v>23</v>
      </c>
      <c r="I4" t="s">
        <v>36</v>
      </c>
      <c r="J4" t="s">
        <v>31</v>
      </c>
      <c r="K4" t="s">
        <v>32</v>
      </c>
      <c r="L4" t="s">
        <v>37</v>
      </c>
      <c r="M4">
        <v>58</v>
      </c>
      <c r="N4">
        <v>120</v>
      </c>
      <c r="O4">
        <v>6751.2</v>
      </c>
      <c r="P4">
        <v>4524</v>
      </c>
      <c r="Q4">
        <v>2227.1999999999998</v>
      </c>
      <c r="R4">
        <v>0.03</v>
      </c>
      <c r="S4" t="s">
        <v>38</v>
      </c>
      <c r="T4">
        <v>249.74</v>
      </c>
    </row>
    <row r="5" spans="1:20" x14ac:dyDescent="0.25">
      <c r="A5">
        <v>100004</v>
      </c>
      <c r="B5" s="6">
        <v>45902</v>
      </c>
      <c r="C5">
        <v>2025</v>
      </c>
      <c r="D5" t="s">
        <v>39</v>
      </c>
      <c r="E5">
        <v>9</v>
      </c>
      <c r="F5" t="s">
        <v>40</v>
      </c>
      <c r="G5" t="s">
        <v>22</v>
      </c>
      <c r="H5" t="s">
        <v>23</v>
      </c>
      <c r="I5" t="s">
        <v>41</v>
      </c>
      <c r="J5" t="s">
        <v>42</v>
      </c>
      <c r="K5" t="s">
        <v>32</v>
      </c>
      <c r="L5" t="s">
        <v>33</v>
      </c>
      <c r="M5">
        <v>60</v>
      </c>
      <c r="N5">
        <v>60</v>
      </c>
      <c r="O5">
        <v>3492</v>
      </c>
      <c r="P5">
        <v>2280</v>
      </c>
      <c r="Q5">
        <v>1212</v>
      </c>
      <c r="R5">
        <v>0.03</v>
      </c>
      <c r="S5" t="s">
        <v>38</v>
      </c>
      <c r="T5">
        <v>241.22</v>
      </c>
    </row>
    <row r="6" spans="1:20" x14ac:dyDescent="0.25">
      <c r="A6">
        <v>100005</v>
      </c>
      <c r="B6" s="6">
        <v>45573</v>
      </c>
      <c r="C6">
        <v>2024</v>
      </c>
      <c r="D6" t="s">
        <v>43</v>
      </c>
      <c r="E6">
        <v>10</v>
      </c>
      <c r="F6" t="s">
        <v>44</v>
      </c>
      <c r="G6" t="s">
        <v>45</v>
      </c>
      <c r="H6" t="s">
        <v>23</v>
      </c>
      <c r="I6" t="s">
        <v>46</v>
      </c>
      <c r="J6" t="s">
        <v>42</v>
      </c>
      <c r="K6" t="s">
        <v>32</v>
      </c>
      <c r="L6" t="s">
        <v>47</v>
      </c>
      <c r="M6">
        <v>98</v>
      </c>
      <c r="N6">
        <v>180</v>
      </c>
      <c r="O6">
        <v>15876</v>
      </c>
      <c r="P6">
        <v>11270</v>
      </c>
      <c r="Q6">
        <v>4606</v>
      </c>
      <c r="R6">
        <v>0.1</v>
      </c>
      <c r="S6" t="s">
        <v>38</v>
      </c>
      <c r="T6">
        <v>944.02</v>
      </c>
    </row>
    <row r="7" spans="1:20" x14ac:dyDescent="0.25">
      <c r="A7">
        <v>100006</v>
      </c>
      <c r="B7" s="6">
        <v>45824</v>
      </c>
      <c r="C7">
        <v>2025</v>
      </c>
      <c r="D7" t="s">
        <v>20</v>
      </c>
      <c r="E7">
        <v>6</v>
      </c>
      <c r="F7" t="s">
        <v>48</v>
      </c>
      <c r="G7" t="s">
        <v>29</v>
      </c>
      <c r="H7" t="s">
        <v>23</v>
      </c>
      <c r="I7" t="s">
        <v>49</v>
      </c>
      <c r="J7" t="s">
        <v>50</v>
      </c>
      <c r="K7" t="s">
        <v>51</v>
      </c>
      <c r="L7" t="s">
        <v>52</v>
      </c>
      <c r="M7">
        <v>17</v>
      </c>
      <c r="N7">
        <v>75</v>
      </c>
      <c r="O7">
        <v>1275</v>
      </c>
      <c r="P7">
        <v>748</v>
      </c>
      <c r="Q7">
        <v>527</v>
      </c>
      <c r="R7">
        <v>0</v>
      </c>
      <c r="S7" t="s">
        <v>38</v>
      </c>
      <c r="T7">
        <v>82.89</v>
      </c>
    </row>
    <row r="8" spans="1:20" x14ac:dyDescent="0.25">
      <c r="A8">
        <v>100007</v>
      </c>
      <c r="B8" s="6">
        <v>45952</v>
      </c>
      <c r="C8">
        <v>2025</v>
      </c>
      <c r="D8" t="s">
        <v>43</v>
      </c>
      <c r="E8">
        <v>10</v>
      </c>
      <c r="F8" t="s">
        <v>44</v>
      </c>
      <c r="G8" t="s">
        <v>35</v>
      </c>
      <c r="H8" t="s">
        <v>23</v>
      </c>
      <c r="I8" t="s">
        <v>36</v>
      </c>
      <c r="J8" t="s">
        <v>50</v>
      </c>
      <c r="K8" t="s">
        <v>32</v>
      </c>
      <c r="L8" t="s">
        <v>47</v>
      </c>
      <c r="M8">
        <v>63</v>
      </c>
      <c r="N8">
        <v>180</v>
      </c>
      <c r="O8">
        <v>11340</v>
      </c>
      <c r="P8">
        <v>7245</v>
      </c>
      <c r="Q8">
        <v>4095</v>
      </c>
      <c r="R8">
        <v>0</v>
      </c>
      <c r="S8" t="s">
        <v>28</v>
      </c>
      <c r="T8">
        <v>695.43</v>
      </c>
    </row>
    <row r="9" spans="1:20" x14ac:dyDescent="0.25">
      <c r="A9">
        <v>100008</v>
      </c>
      <c r="B9" s="6">
        <v>45922</v>
      </c>
      <c r="C9">
        <v>2025</v>
      </c>
      <c r="D9" t="s">
        <v>39</v>
      </c>
      <c r="E9">
        <v>9</v>
      </c>
      <c r="F9" t="s">
        <v>40</v>
      </c>
      <c r="G9" t="s">
        <v>35</v>
      </c>
      <c r="H9" t="s">
        <v>23</v>
      </c>
      <c r="I9" t="s">
        <v>53</v>
      </c>
      <c r="J9" t="s">
        <v>54</v>
      </c>
      <c r="K9" t="s">
        <v>55</v>
      </c>
      <c r="L9" t="s">
        <v>56</v>
      </c>
      <c r="M9">
        <v>49</v>
      </c>
      <c r="N9">
        <v>320</v>
      </c>
      <c r="O9">
        <v>14425.6</v>
      </c>
      <c r="P9">
        <v>11515</v>
      </c>
      <c r="Q9">
        <v>2910.6</v>
      </c>
      <c r="R9">
        <v>0.08</v>
      </c>
      <c r="S9" t="s">
        <v>57</v>
      </c>
      <c r="T9">
        <v>809.31</v>
      </c>
    </row>
    <row r="10" spans="1:20" x14ac:dyDescent="0.25">
      <c r="A10">
        <v>100009</v>
      </c>
      <c r="B10" s="6">
        <v>45143</v>
      </c>
      <c r="C10">
        <v>2023</v>
      </c>
      <c r="D10" t="s">
        <v>39</v>
      </c>
      <c r="E10">
        <v>8</v>
      </c>
      <c r="F10" t="s">
        <v>58</v>
      </c>
      <c r="G10" t="s">
        <v>29</v>
      </c>
      <c r="H10" t="s">
        <v>23</v>
      </c>
      <c r="I10" t="s">
        <v>49</v>
      </c>
      <c r="J10" t="s">
        <v>42</v>
      </c>
      <c r="K10" t="s">
        <v>59</v>
      </c>
      <c r="L10" t="s">
        <v>60</v>
      </c>
      <c r="M10">
        <v>24</v>
      </c>
      <c r="N10">
        <v>45</v>
      </c>
      <c r="O10">
        <v>1080</v>
      </c>
      <c r="P10">
        <v>648</v>
      </c>
      <c r="Q10">
        <v>432</v>
      </c>
      <c r="R10">
        <v>0</v>
      </c>
      <c r="S10" t="s">
        <v>57</v>
      </c>
      <c r="T10">
        <v>17.13</v>
      </c>
    </row>
    <row r="11" spans="1:20" x14ac:dyDescent="0.25">
      <c r="A11">
        <v>100010</v>
      </c>
      <c r="B11" s="6">
        <v>45574</v>
      </c>
      <c r="C11">
        <v>2024</v>
      </c>
      <c r="D11" t="s">
        <v>43</v>
      </c>
      <c r="E11">
        <v>10</v>
      </c>
      <c r="F11" t="s">
        <v>44</v>
      </c>
      <c r="G11" t="s">
        <v>29</v>
      </c>
      <c r="H11" t="s">
        <v>23</v>
      </c>
      <c r="I11" t="s">
        <v>30</v>
      </c>
      <c r="J11" t="s">
        <v>61</v>
      </c>
      <c r="K11" t="s">
        <v>26</v>
      </c>
      <c r="L11" t="s">
        <v>27</v>
      </c>
      <c r="M11">
        <v>145</v>
      </c>
      <c r="N11">
        <v>110</v>
      </c>
      <c r="O11">
        <v>15152.5</v>
      </c>
      <c r="P11">
        <v>9860</v>
      </c>
      <c r="Q11">
        <v>5292.5</v>
      </c>
      <c r="R11">
        <v>0.05</v>
      </c>
      <c r="S11" t="s">
        <v>28</v>
      </c>
      <c r="T11">
        <v>870.05</v>
      </c>
    </row>
    <row r="12" spans="1:20" x14ac:dyDescent="0.25">
      <c r="A12">
        <v>100011</v>
      </c>
      <c r="B12" s="6">
        <v>45944</v>
      </c>
      <c r="C12">
        <v>2025</v>
      </c>
      <c r="D12" t="s">
        <v>43</v>
      </c>
      <c r="E12">
        <v>10</v>
      </c>
      <c r="F12" t="s">
        <v>44</v>
      </c>
      <c r="G12" t="s">
        <v>45</v>
      </c>
      <c r="H12" t="s">
        <v>23</v>
      </c>
      <c r="I12" t="s">
        <v>62</v>
      </c>
      <c r="J12" t="s">
        <v>54</v>
      </c>
      <c r="K12" t="s">
        <v>55</v>
      </c>
      <c r="L12" t="s">
        <v>56</v>
      </c>
      <c r="M12">
        <v>21</v>
      </c>
      <c r="N12">
        <v>320</v>
      </c>
      <c r="O12">
        <v>6585.6</v>
      </c>
      <c r="P12">
        <v>4935</v>
      </c>
      <c r="Q12">
        <v>1650.6</v>
      </c>
      <c r="R12">
        <v>0.02</v>
      </c>
      <c r="S12" t="s">
        <v>57</v>
      </c>
      <c r="T12">
        <v>121.81</v>
      </c>
    </row>
    <row r="13" spans="1:20" x14ac:dyDescent="0.25">
      <c r="A13">
        <v>100012</v>
      </c>
      <c r="B13" s="6">
        <v>45731</v>
      </c>
      <c r="C13">
        <v>2025</v>
      </c>
      <c r="D13" t="s">
        <v>63</v>
      </c>
      <c r="E13">
        <v>3</v>
      </c>
      <c r="F13" t="s">
        <v>64</v>
      </c>
      <c r="G13" t="s">
        <v>22</v>
      </c>
      <c r="H13" t="s">
        <v>23</v>
      </c>
      <c r="I13" t="s">
        <v>65</v>
      </c>
      <c r="J13" t="s">
        <v>66</v>
      </c>
      <c r="K13" t="s">
        <v>59</v>
      </c>
      <c r="L13" t="s">
        <v>67</v>
      </c>
      <c r="M13">
        <v>44</v>
      </c>
      <c r="N13">
        <v>95</v>
      </c>
      <c r="O13">
        <v>4054.6</v>
      </c>
      <c r="P13">
        <v>2464</v>
      </c>
      <c r="Q13">
        <v>1590.6</v>
      </c>
      <c r="R13">
        <v>0.03</v>
      </c>
      <c r="S13" t="s">
        <v>57</v>
      </c>
      <c r="T13">
        <v>87.49</v>
      </c>
    </row>
    <row r="14" spans="1:20" x14ac:dyDescent="0.25">
      <c r="A14">
        <v>100013</v>
      </c>
      <c r="B14" s="6">
        <v>45955</v>
      </c>
      <c r="C14">
        <v>2025</v>
      </c>
      <c r="D14" t="s">
        <v>43</v>
      </c>
      <c r="E14">
        <v>10</v>
      </c>
      <c r="F14" t="s">
        <v>44</v>
      </c>
      <c r="G14" t="s">
        <v>35</v>
      </c>
      <c r="H14" t="s">
        <v>23</v>
      </c>
      <c r="I14" t="s">
        <v>53</v>
      </c>
      <c r="J14" t="s">
        <v>68</v>
      </c>
      <c r="K14" t="s">
        <v>26</v>
      </c>
      <c r="L14" t="s">
        <v>69</v>
      </c>
      <c r="M14">
        <v>36</v>
      </c>
      <c r="N14">
        <v>130</v>
      </c>
      <c r="O14">
        <v>4539.6000000000004</v>
      </c>
      <c r="P14">
        <v>2736</v>
      </c>
      <c r="Q14">
        <v>1803.6</v>
      </c>
      <c r="R14">
        <v>0.03</v>
      </c>
      <c r="S14" t="s">
        <v>70</v>
      </c>
      <c r="T14">
        <v>174.84</v>
      </c>
    </row>
    <row r="15" spans="1:20" x14ac:dyDescent="0.25">
      <c r="A15">
        <v>100014</v>
      </c>
      <c r="B15" s="6">
        <v>45790</v>
      </c>
      <c r="C15">
        <v>2025</v>
      </c>
      <c r="D15" t="s">
        <v>20</v>
      </c>
      <c r="E15">
        <v>5</v>
      </c>
      <c r="F15" t="s">
        <v>21</v>
      </c>
      <c r="G15" t="s">
        <v>22</v>
      </c>
      <c r="H15" t="s">
        <v>23</v>
      </c>
      <c r="I15" t="s">
        <v>71</v>
      </c>
      <c r="J15" t="s">
        <v>61</v>
      </c>
      <c r="K15" t="s">
        <v>51</v>
      </c>
      <c r="L15" t="s">
        <v>72</v>
      </c>
      <c r="M15">
        <v>141</v>
      </c>
      <c r="N15">
        <v>90</v>
      </c>
      <c r="O15">
        <v>11674.8</v>
      </c>
      <c r="P15">
        <v>7332</v>
      </c>
      <c r="Q15">
        <v>4342.8</v>
      </c>
      <c r="R15">
        <v>0.08</v>
      </c>
      <c r="S15" t="s">
        <v>70</v>
      </c>
      <c r="T15">
        <v>335.2</v>
      </c>
    </row>
    <row r="16" spans="1:20" x14ac:dyDescent="0.25">
      <c r="A16">
        <v>100015</v>
      </c>
      <c r="B16" s="6">
        <v>45467</v>
      </c>
      <c r="C16">
        <v>2024</v>
      </c>
      <c r="D16" t="s">
        <v>20</v>
      </c>
      <c r="E16">
        <v>6</v>
      </c>
      <c r="F16" t="s">
        <v>48</v>
      </c>
      <c r="G16" t="s">
        <v>29</v>
      </c>
      <c r="H16" t="s">
        <v>23</v>
      </c>
      <c r="I16" t="s">
        <v>73</v>
      </c>
      <c r="J16" t="s">
        <v>66</v>
      </c>
      <c r="K16" t="s">
        <v>32</v>
      </c>
      <c r="L16" t="s">
        <v>74</v>
      </c>
      <c r="M16">
        <v>95</v>
      </c>
      <c r="N16">
        <v>25</v>
      </c>
      <c r="O16">
        <v>2185</v>
      </c>
      <c r="P16">
        <v>1330</v>
      </c>
      <c r="Q16">
        <v>855</v>
      </c>
      <c r="R16">
        <v>0.08</v>
      </c>
      <c r="S16" t="s">
        <v>70</v>
      </c>
      <c r="T16">
        <v>107.81</v>
      </c>
    </row>
    <row r="17" spans="1:20" x14ac:dyDescent="0.25">
      <c r="A17">
        <v>100016</v>
      </c>
      <c r="B17" s="6">
        <v>45572</v>
      </c>
      <c r="C17">
        <v>2024</v>
      </c>
      <c r="D17" t="s">
        <v>43</v>
      </c>
      <c r="E17">
        <v>10</v>
      </c>
      <c r="F17" t="s">
        <v>44</v>
      </c>
      <c r="G17" t="s">
        <v>29</v>
      </c>
      <c r="H17" t="s">
        <v>23</v>
      </c>
      <c r="I17" t="s">
        <v>49</v>
      </c>
      <c r="J17" t="s">
        <v>54</v>
      </c>
      <c r="K17" t="s">
        <v>32</v>
      </c>
      <c r="L17" t="s">
        <v>47</v>
      </c>
      <c r="M17">
        <v>39</v>
      </c>
      <c r="N17">
        <v>180</v>
      </c>
      <c r="O17">
        <v>6458.4</v>
      </c>
      <c r="P17">
        <v>4485</v>
      </c>
      <c r="Q17">
        <v>1973.4</v>
      </c>
      <c r="R17">
        <v>0.08</v>
      </c>
      <c r="S17" t="s">
        <v>28</v>
      </c>
      <c r="T17">
        <v>212.09</v>
      </c>
    </row>
    <row r="18" spans="1:20" x14ac:dyDescent="0.25">
      <c r="A18">
        <v>100017</v>
      </c>
      <c r="B18" s="6">
        <v>45116</v>
      </c>
      <c r="C18">
        <v>2023</v>
      </c>
      <c r="D18" t="s">
        <v>39</v>
      </c>
      <c r="E18">
        <v>7</v>
      </c>
      <c r="F18" t="s">
        <v>75</v>
      </c>
      <c r="G18" t="s">
        <v>45</v>
      </c>
      <c r="H18" t="s">
        <v>23</v>
      </c>
      <c r="I18" t="s">
        <v>46</v>
      </c>
      <c r="J18" t="s">
        <v>54</v>
      </c>
      <c r="K18" t="s">
        <v>51</v>
      </c>
      <c r="L18" t="s">
        <v>76</v>
      </c>
      <c r="M18">
        <v>130</v>
      </c>
      <c r="N18">
        <v>40</v>
      </c>
      <c r="O18">
        <v>4784</v>
      </c>
      <c r="P18">
        <v>2990</v>
      </c>
      <c r="Q18">
        <v>1794</v>
      </c>
      <c r="R18">
        <v>0.08</v>
      </c>
      <c r="S18" t="s">
        <v>38</v>
      </c>
      <c r="T18">
        <v>298.24</v>
      </c>
    </row>
    <row r="19" spans="1:20" x14ac:dyDescent="0.25">
      <c r="A19">
        <v>100018</v>
      </c>
      <c r="B19" s="6">
        <v>45575</v>
      </c>
      <c r="C19">
        <v>2024</v>
      </c>
      <c r="D19" t="s">
        <v>43</v>
      </c>
      <c r="E19">
        <v>10</v>
      </c>
      <c r="F19" t="s">
        <v>44</v>
      </c>
      <c r="G19" t="s">
        <v>35</v>
      </c>
      <c r="H19" t="s">
        <v>23</v>
      </c>
      <c r="I19" t="s">
        <v>77</v>
      </c>
      <c r="J19" t="s">
        <v>42</v>
      </c>
      <c r="K19" t="s">
        <v>26</v>
      </c>
      <c r="L19" t="s">
        <v>78</v>
      </c>
      <c r="M19">
        <v>68</v>
      </c>
      <c r="N19">
        <v>95</v>
      </c>
      <c r="O19">
        <v>6330.8</v>
      </c>
      <c r="P19">
        <v>3944</v>
      </c>
      <c r="Q19">
        <v>2386.8000000000002</v>
      </c>
      <c r="R19">
        <v>0.02</v>
      </c>
      <c r="S19" t="s">
        <v>70</v>
      </c>
      <c r="T19">
        <v>275.60000000000002</v>
      </c>
    </row>
    <row r="20" spans="1:20" x14ac:dyDescent="0.25">
      <c r="A20">
        <v>100019</v>
      </c>
      <c r="B20" s="6">
        <v>45368</v>
      </c>
      <c r="C20">
        <v>2024</v>
      </c>
      <c r="D20" t="s">
        <v>63</v>
      </c>
      <c r="E20">
        <v>3</v>
      </c>
      <c r="F20" t="s">
        <v>64</v>
      </c>
      <c r="G20" t="s">
        <v>29</v>
      </c>
      <c r="H20" t="s">
        <v>23</v>
      </c>
      <c r="I20" t="s">
        <v>49</v>
      </c>
      <c r="J20" t="s">
        <v>42</v>
      </c>
      <c r="K20" t="s">
        <v>51</v>
      </c>
      <c r="L20" t="s">
        <v>76</v>
      </c>
      <c r="M20">
        <v>140</v>
      </c>
      <c r="N20">
        <v>40</v>
      </c>
      <c r="O20">
        <v>5488</v>
      </c>
      <c r="P20">
        <v>3220</v>
      </c>
      <c r="Q20">
        <v>2268</v>
      </c>
      <c r="R20">
        <v>0.02</v>
      </c>
      <c r="S20" t="s">
        <v>38</v>
      </c>
      <c r="T20">
        <v>168.3</v>
      </c>
    </row>
    <row r="21" spans="1:20" x14ac:dyDescent="0.25">
      <c r="A21">
        <v>100020</v>
      </c>
      <c r="B21" s="6">
        <v>44928</v>
      </c>
      <c r="C21">
        <v>2023</v>
      </c>
      <c r="D21" t="s">
        <v>63</v>
      </c>
      <c r="E21">
        <v>1</v>
      </c>
      <c r="F21" t="s">
        <v>79</v>
      </c>
      <c r="G21" t="s">
        <v>35</v>
      </c>
      <c r="H21" t="s">
        <v>23</v>
      </c>
      <c r="I21" t="s">
        <v>80</v>
      </c>
      <c r="J21" t="s">
        <v>50</v>
      </c>
      <c r="K21" t="s">
        <v>32</v>
      </c>
      <c r="L21" t="s">
        <v>37</v>
      </c>
      <c r="M21">
        <v>138</v>
      </c>
      <c r="N21">
        <v>120</v>
      </c>
      <c r="O21">
        <v>16228.8</v>
      </c>
      <c r="P21">
        <v>10764</v>
      </c>
      <c r="Q21">
        <v>5464.8</v>
      </c>
      <c r="R21">
        <v>0.02</v>
      </c>
      <c r="S21" t="s">
        <v>70</v>
      </c>
      <c r="T21">
        <v>372.76</v>
      </c>
    </row>
    <row r="22" spans="1:20" x14ac:dyDescent="0.25">
      <c r="A22">
        <v>100021</v>
      </c>
      <c r="B22" s="6">
        <v>45173</v>
      </c>
      <c r="C22">
        <v>2023</v>
      </c>
      <c r="D22" t="s">
        <v>39</v>
      </c>
      <c r="E22">
        <v>9</v>
      </c>
      <c r="F22" t="s">
        <v>40</v>
      </c>
      <c r="G22" t="s">
        <v>29</v>
      </c>
      <c r="H22" t="s">
        <v>23</v>
      </c>
      <c r="I22" t="s">
        <v>30</v>
      </c>
      <c r="J22" t="s">
        <v>66</v>
      </c>
      <c r="K22" t="s">
        <v>26</v>
      </c>
      <c r="L22" t="s">
        <v>69</v>
      </c>
      <c r="M22">
        <v>47</v>
      </c>
      <c r="N22">
        <v>130</v>
      </c>
      <c r="O22">
        <v>5926.7</v>
      </c>
      <c r="P22">
        <v>3572</v>
      </c>
      <c r="Q22">
        <v>2354.6999999999998</v>
      </c>
      <c r="R22">
        <v>0.03</v>
      </c>
      <c r="S22" t="s">
        <v>38</v>
      </c>
      <c r="T22">
        <v>295.01</v>
      </c>
    </row>
    <row r="23" spans="1:20" x14ac:dyDescent="0.25">
      <c r="A23">
        <v>100022</v>
      </c>
      <c r="B23" s="6">
        <v>45678</v>
      </c>
      <c r="C23">
        <v>2025</v>
      </c>
      <c r="D23" t="s">
        <v>63</v>
      </c>
      <c r="E23">
        <v>1</v>
      </c>
      <c r="F23" t="s">
        <v>79</v>
      </c>
      <c r="G23" t="s">
        <v>29</v>
      </c>
      <c r="H23" t="s">
        <v>23</v>
      </c>
      <c r="I23" t="s">
        <v>73</v>
      </c>
      <c r="J23" t="s">
        <v>50</v>
      </c>
      <c r="K23" t="s">
        <v>32</v>
      </c>
      <c r="L23" t="s">
        <v>74</v>
      </c>
      <c r="M23">
        <v>79</v>
      </c>
      <c r="N23">
        <v>25</v>
      </c>
      <c r="O23">
        <v>1876.25</v>
      </c>
      <c r="P23">
        <v>1106</v>
      </c>
      <c r="Q23">
        <v>770.25</v>
      </c>
      <c r="R23">
        <v>0.05</v>
      </c>
      <c r="S23" t="s">
        <v>57</v>
      </c>
      <c r="T23">
        <v>116.72</v>
      </c>
    </row>
    <row r="24" spans="1:20" x14ac:dyDescent="0.25">
      <c r="A24">
        <v>100023</v>
      </c>
      <c r="B24" s="6">
        <v>45329</v>
      </c>
      <c r="C24">
        <v>2024</v>
      </c>
      <c r="D24" t="s">
        <v>63</v>
      </c>
      <c r="E24">
        <v>2</v>
      </c>
      <c r="F24" t="s">
        <v>81</v>
      </c>
      <c r="G24" t="s">
        <v>35</v>
      </c>
      <c r="H24" t="s">
        <v>23</v>
      </c>
      <c r="I24" t="s">
        <v>53</v>
      </c>
      <c r="J24" t="s">
        <v>31</v>
      </c>
      <c r="K24" t="s">
        <v>26</v>
      </c>
      <c r="L24" t="s">
        <v>82</v>
      </c>
      <c r="M24">
        <v>105</v>
      </c>
      <c r="N24">
        <v>105</v>
      </c>
      <c r="O24">
        <v>11025</v>
      </c>
      <c r="P24">
        <v>6405</v>
      </c>
      <c r="Q24">
        <v>4620</v>
      </c>
      <c r="R24">
        <v>0</v>
      </c>
      <c r="S24" t="s">
        <v>38</v>
      </c>
      <c r="T24">
        <v>735.68</v>
      </c>
    </row>
    <row r="25" spans="1:20" x14ac:dyDescent="0.25">
      <c r="A25">
        <v>100024</v>
      </c>
      <c r="B25" s="6">
        <v>45264</v>
      </c>
      <c r="C25">
        <v>2023</v>
      </c>
      <c r="D25" t="s">
        <v>43</v>
      </c>
      <c r="E25">
        <v>12</v>
      </c>
      <c r="F25" t="s">
        <v>83</v>
      </c>
      <c r="G25" t="s">
        <v>29</v>
      </c>
      <c r="H25" t="s">
        <v>23</v>
      </c>
      <c r="I25" t="s">
        <v>73</v>
      </c>
      <c r="J25" t="s">
        <v>68</v>
      </c>
      <c r="K25" t="s">
        <v>26</v>
      </c>
      <c r="L25" t="s">
        <v>27</v>
      </c>
      <c r="M25">
        <v>51</v>
      </c>
      <c r="N25">
        <v>110</v>
      </c>
      <c r="O25">
        <v>5497.8</v>
      </c>
      <c r="P25">
        <v>3468</v>
      </c>
      <c r="Q25">
        <v>2029.8</v>
      </c>
      <c r="R25">
        <v>0.02</v>
      </c>
      <c r="S25" t="s">
        <v>28</v>
      </c>
      <c r="T25">
        <v>282.02999999999997</v>
      </c>
    </row>
    <row r="26" spans="1:20" x14ac:dyDescent="0.25">
      <c r="A26">
        <v>100025</v>
      </c>
      <c r="B26" s="6">
        <v>45807</v>
      </c>
      <c r="C26">
        <v>2025</v>
      </c>
      <c r="D26" t="s">
        <v>20</v>
      </c>
      <c r="E26">
        <v>5</v>
      </c>
      <c r="F26" t="s">
        <v>21</v>
      </c>
      <c r="G26" t="s">
        <v>35</v>
      </c>
      <c r="H26" t="s">
        <v>23</v>
      </c>
      <c r="I26" t="s">
        <v>77</v>
      </c>
      <c r="J26" t="s">
        <v>42</v>
      </c>
      <c r="K26" t="s">
        <v>32</v>
      </c>
      <c r="L26" t="s">
        <v>47</v>
      </c>
      <c r="M26">
        <v>46</v>
      </c>
      <c r="N26">
        <v>180</v>
      </c>
      <c r="O26">
        <v>7617.6</v>
      </c>
      <c r="P26">
        <v>5290</v>
      </c>
      <c r="Q26">
        <v>2327.6</v>
      </c>
      <c r="R26">
        <v>0.08</v>
      </c>
      <c r="S26" t="s">
        <v>38</v>
      </c>
      <c r="T26">
        <v>193.33</v>
      </c>
    </row>
    <row r="27" spans="1:20" x14ac:dyDescent="0.25">
      <c r="A27">
        <v>100026</v>
      </c>
      <c r="B27" s="6">
        <v>45742</v>
      </c>
      <c r="C27">
        <v>2025</v>
      </c>
      <c r="D27" t="s">
        <v>63</v>
      </c>
      <c r="E27">
        <v>3</v>
      </c>
      <c r="F27" t="s">
        <v>64</v>
      </c>
      <c r="G27" t="s">
        <v>29</v>
      </c>
      <c r="H27" t="s">
        <v>23</v>
      </c>
      <c r="I27" t="s">
        <v>30</v>
      </c>
      <c r="J27" t="s">
        <v>42</v>
      </c>
      <c r="K27" t="s">
        <v>55</v>
      </c>
      <c r="L27" t="s">
        <v>84</v>
      </c>
      <c r="M27">
        <v>129</v>
      </c>
      <c r="N27">
        <v>55</v>
      </c>
      <c r="O27">
        <v>6527.4</v>
      </c>
      <c r="P27">
        <v>4773</v>
      </c>
      <c r="Q27">
        <v>1754.4</v>
      </c>
      <c r="R27">
        <v>0.08</v>
      </c>
      <c r="S27" t="s">
        <v>38</v>
      </c>
      <c r="T27">
        <v>403.4</v>
      </c>
    </row>
    <row r="28" spans="1:20" x14ac:dyDescent="0.25">
      <c r="A28">
        <v>100027</v>
      </c>
      <c r="B28" s="6">
        <v>45030</v>
      </c>
      <c r="C28">
        <v>2023</v>
      </c>
      <c r="D28" t="s">
        <v>20</v>
      </c>
      <c r="E28">
        <v>4</v>
      </c>
      <c r="F28" t="s">
        <v>34</v>
      </c>
      <c r="G28" t="s">
        <v>29</v>
      </c>
      <c r="H28" t="s">
        <v>23</v>
      </c>
      <c r="I28" t="s">
        <v>85</v>
      </c>
      <c r="J28" t="s">
        <v>66</v>
      </c>
      <c r="K28" t="s">
        <v>32</v>
      </c>
      <c r="L28" t="s">
        <v>33</v>
      </c>
      <c r="M28">
        <v>108</v>
      </c>
      <c r="N28">
        <v>60</v>
      </c>
      <c r="O28">
        <v>5832</v>
      </c>
      <c r="P28">
        <v>4104</v>
      </c>
      <c r="Q28">
        <v>1728</v>
      </c>
      <c r="R28">
        <v>0.1</v>
      </c>
      <c r="S28" t="s">
        <v>70</v>
      </c>
      <c r="T28">
        <v>178.55</v>
      </c>
    </row>
    <row r="29" spans="1:20" x14ac:dyDescent="0.25">
      <c r="A29">
        <v>100028</v>
      </c>
      <c r="B29" s="6">
        <v>45748</v>
      </c>
      <c r="C29">
        <v>2025</v>
      </c>
      <c r="D29" t="s">
        <v>20</v>
      </c>
      <c r="E29">
        <v>4</v>
      </c>
      <c r="F29" t="s">
        <v>34</v>
      </c>
      <c r="G29" t="s">
        <v>22</v>
      </c>
      <c r="H29" t="s">
        <v>23</v>
      </c>
      <c r="I29" t="s">
        <v>65</v>
      </c>
      <c r="J29" t="s">
        <v>50</v>
      </c>
      <c r="K29" t="s">
        <v>55</v>
      </c>
      <c r="L29" t="s">
        <v>56</v>
      </c>
      <c r="M29">
        <v>77</v>
      </c>
      <c r="N29">
        <v>320</v>
      </c>
      <c r="O29">
        <v>24147.200000000001</v>
      </c>
      <c r="P29">
        <v>18095</v>
      </c>
      <c r="Q29">
        <v>6052.2</v>
      </c>
      <c r="R29">
        <v>0.02</v>
      </c>
      <c r="S29" t="s">
        <v>38</v>
      </c>
      <c r="T29">
        <v>794.37</v>
      </c>
    </row>
    <row r="30" spans="1:20" x14ac:dyDescent="0.25">
      <c r="A30">
        <v>100029</v>
      </c>
      <c r="B30" s="6">
        <v>45327</v>
      </c>
      <c r="C30">
        <v>2024</v>
      </c>
      <c r="D30" t="s">
        <v>63</v>
      </c>
      <c r="E30">
        <v>2</v>
      </c>
      <c r="F30" t="s">
        <v>81</v>
      </c>
      <c r="G30" t="s">
        <v>29</v>
      </c>
      <c r="H30" t="s">
        <v>23</v>
      </c>
      <c r="I30" t="s">
        <v>73</v>
      </c>
      <c r="J30" t="s">
        <v>66</v>
      </c>
      <c r="K30" t="s">
        <v>59</v>
      </c>
      <c r="L30" t="s">
        <v>67</v>
      </c>
      <c r="M30">
        <v>124</v>
      </c>
      <c r="N30">
        <v>95</v>
      </c>
      <c r="O30">
        <v>11191</v>
      </c>
      <c r="P30">
        <v>6944</v>
      </c>
      <c r="Q30">
        <v>4247</v>
      </c>
      <c r="R30">
        <v>0.05</v>
      </c>
      <c r="S30" t="s">
        <v>28</v>
      </c>
      <c r="T30">
        <v>322.02999999999997</v>
      </c>
    </row>
    <row r="31" spans="1:20" x14ac:dyDescent="0.25">
      <c r="A31">
        <v>100030</v>
      </c>
      <c r="B31" s="6">
        <v>45489</v>
      </c>
      <c r="C31">
        <v>2024</v>
      </c>
      <c r="D31" t="s">
        <v>39</v>
      </c>
      <c r="E31">
        <v>7</v>
      </c>
      <c r="F31" t="s">
        <v>75</v>
      </c>
      <c r="G31" t="s">
        <v>35</v>
      </c>
      <c r="H31" t="s">
        <v>23</v>
      </c>
      <c r="I31" t="s">
        <v>80</v>
      </c>
      <c r="J31" t="s">
        <v>31</v>
      </c>
      <c r="K31" t="s">
        <v>59</v>
      </c>
      <c r="L31" t="s">
        <v>86</v>
      </c>
      <c r="M31">
        <v>30</v>
      </c>
      <c r="N31">
        <v>160</v>
      </c>
      <c r="O31">
        <v>4656</v>
      </c>
      <c r="P31">
        <v>2850</v>
      </c>
      <c r="Q31">
        <v>1806</v>
      </c>
      <c r="R31">
        <v>0.03</v>
      </c>
      <c r="S31" t="s">
        <v>28</v>
      </c>
      <c r="T31">
        <v>217.57</v>
      </c>
    </row>
    <row r="32" spans="1:20" x14ac:dyDescent="0.25">
      <c r="A32">
        <v>100031</v>
      </c>
      <c r="B32" s="6">
        <v>45946</v>
      </c>
      <c r="C32">
        <v>2025</v>
      </c>
      <c r="D32" t="s">
        <v>43</v>
      </c>
      <c r="E32">
        <v>10</v>
      </c>
      <c r="F32" t="s">
        <v>44</v>
      </c>
      <c r="G32" t="s">
        <v>45</v>
      </c>
      <c r="H32" t="s">
        <v>23</v>
      </c>
      <c r="I32" t="s">
        <v>62</v>
      </c>
      <c r="J32" t="s">
        <v>66</v>
      </c>
      <c r="K32" t="s">
        <v>51</v>
      </c>
      <c r="L32" t="s">
        <v>52</v>
      </c>
      <c r="M32">
        <v>58</v>
      </c>
      <c r="N32">
        <v>75</v>
      </c>
      <c r="O32">
        <v>4350</v>
      </c>
      <c r="P32">
        <v>2552</v>
      </c>
      <c r="Q32">
        <v>1798</v>
      </c>
      <c r="R32">
        <v>0</v>
      </c>
      <c r="S32" t="s">
        <v>28</v>
      </c>
      <c r="T32">
        <v>303.2</v>
      </c>
    </row>
    <row r="33" spans="1:20" x14ac:dyDescent="0.25">
      <c r="A33">
        <v>100032</v>
      </c>
      <c r="B33" s="6">
        <v>45444</v>
      </c>
      <c r="C33">
        <v>2024</v>
      </c>
      <c r="D33" t="s">
        <v>20</v>
      </c>
      <c r="E33">
        <v>6</v>
      </c>
      <c r="F33" t="s">
        <v>48</v>
      </c>
      <c r="G33" t="s">
        <v>22</v>
      </c>
      <c r="H33" t="s">
        <v>23</v>
      </c>
      <c r="I33" t="s">
        <v>65</v>
      </c>
      <c r="J33" t="s">
        <v>25</v>
      </c>
      <c r="K33" t="s">
        <v>32</v>
      </c>
      <c r="L33" t="s">
        <v>47</v>
      </c>
      <c r="M33">
        <v>102</v>
      </c>
      <c r="N33">
        <v>180</v>
      </c>
      <c r="O33">
        <v>17809.2</v>
      </c>
      <c r="P33">
        <v>11730</v>
      </c>
      <c r="Q33">
        <v>6079.2</v>
      </c>
      <c r="R33">
        <v>0.03</v>
      </c>
      <c r="S33" t="s">
        <v>28</v>
      </c>
      <c r="T33">
        <v>1213.98</v>
      </c>
    </row>
    <row r="34" spans="1:20" x14ac:dyDescent="0.25">
      <c r="A34">
        <v>100033</v>
      </c>
      <c r="B34" s="6">
        <v>45117</v>
      </c>
      <c r="C34">
        <v>2023</v>
      </c>
      <c r="D34" t="s">
        <v>39</v>
      </c>
      <c r="E34">
        <v>7</v>
      </c>
      <c r="F34" t="s">
        <v>75</v>
      </c>
      <c r="G34" t="s">
        <v>45</v>
      </c>
      <c r="H34" t="s">
        <v>23</v>
      </c>
      <c r="I34" t="s">
        <v>46</v>
      </c>
      <c r="J34" t="s">
        <v>54</v>
      </c>
      <c r="K34" t="s">
        <v>32</v>
      </c>
      <c r="L34" t="s">
        <v>37</v>
      </c>
      <c r="M34">
        <v>76</v>
      </c>
      <c r="N34">
        <v>120</v>
      </c>
      <c r="O34">
        <v>9120</v>
      </c>
      <c r="P34">
        <v>5928</v>
      </c>
      <c r="Q34">
        <v>3192</v>
      </c>
      <c r="R34">
        <v>0</v>
      </c>
      <c r="S34" t="s">
        <v>57</v>
      </c>
      <c r="T34">
        <v>416.09</v>
      </c>
    </row>
    <row r="35" spans="1:20" x14ac:dyDescent="0.25">
      <c r="A35">
        <v>100034</v>
      </c>
      <c r="B35" s="6">
        <v>45612</v>
      </c>
      <c r="C35">
        <v>2024</v>
      </c>
      <c r="D35" t="s">
        <v>43</v>
      </c>
      <c r="E35">
        <v>11</v>
      </c>
      <c r="F35" t="s">
        <v>87</v>
      </c>
      <c r="G35" t="s">
        <v>29</v>
      </c>
      <c r="H35" t="s">
        <v>23</v>
      </c>
      <c r="I35" t="s">
        <v>85</v>
      </c>
      <c r="J35" t="s">
        <v>42</v>
      </c>
      <c r="K35" t="s">
        <v>59</v>
      </c>
      <c r="L35" t="s">
        <v>86</v>
      </c>
      <c r="M35">
        <v>136</v>
      </c>
      <c r="N35">
        <v>160</v>
      </c>
      <c r="O35">
        <v>21107.200000000001</v>
      </c>
      <c r="P35">
        <v>12920</v>
      </c>
      <c r="Q35">
        <v>8187.2</v>
      </c>
      <c r="R35">
        <v>0.03</v>
      </c>
      <c r="S35" t="s">
        <v>57</v>
      </c>
      <c r="T35">
        <v>1335.15</v>
      </c>
    </row>
    <row r="36" spans="1:20" x14ac:dyDescent="0.25">
      <c r="A36">
        <v>100035</v>
      </c>
      <c r="B36" s="6">
        <v>45172</v>
      </c>
      <c r="C36">
        <v>2023</v>
      </c>
      <c r="D36" t="s">
        <v>39</v>
      </c>
      <c r="E36">
        <v>9</v>
      </c>
      <c r="F36" t="s">
        <v>40</v>
      </c>
      <c r="G36" t="s">
        <v>29</v>
      </c>
      <c r="H36" t="s">
        <v>23</v>
      </c>
      <c r="I36" t="s">
        <v>30</v>
      </c>
      <c r="J36" t="s">
        <v>61</v>
      </c>
      <c r="K36" t="s">
        <v>51</v>
      </c>
      <c r="L36" t="s">
        <v>52</v>
      </c>
      <c r="M36">
        <v>35</v>
      </c>
      <c r="N36">
        <v>75</v>
      </c>
      <c r="O36">
        <v>2415</v>
      </c>
      <c r="P36">
        <v>1540</v>
      </c>
      <c r="Q36">
        <v>875</v>
      </c>
      <c r="R36">
        <v>0.08</v>
      </c>
      <c r="S36" t="s">
        <v>38</v>
      </c>
      <c r="T36">
        <v>151.38999999999999</v>
      </c>
    </row>
    <row r="37" spans="1:20" x14ac:dyDescent="0.25">
      <c r="A37">
        <v>100036</v>
      </c>
      <c r="B37" s="6">
        <v>45829</v>
      </c>
      <c r="C37">
        <v>2025</v>
      </c>
      <c r="D37" t="s">
        <v>20</v>
      </c>
      <c r="E37">
        <v>6</v>
      </c>
      <c r="F37" t="s">
        <v>48</v>
      </c>
      <c r="G37" t="s">
        <v>45</v>
      </c>
      <c r="H37" t="s">
        <v>23</v>
      </c>
      <c r="I37" t="s">
        <v>62</v>
      </c>
      <c r="J37" t="s">
        <v>50</v>
      </c>
      <c r="K37" t="s">
        <v>26</v>
      </c>
      <c r="L37" t="s">
        <v>27</v>
      </c>
      <c r="M37">
        <v>17</v>
      </c>
      <c r="N37">
        <v>110</v>
      </c>
      <c r="O37">
        <v>1776.5</v>
      </c>
      <c r="P37">
        <v>1156</v>
      </c>
      <c r="Q37">
        <v>620.5</v>
      </c>
      <c r="R37">
        <v>0.05</v>
      </c>
      <c r="S37" t="s">
        <v>28</v>
      </c>
      <c r="T37">
        <v>104.4</v>
      </c>
    </row>
    <row r="38" spans="1:20" x14ac:dyDescent="0.25">
      <c r="A38">
        <v>100037</v>
      </c>
      <c r="B38" s="6">
        <v>45760</v>
      </c>
      <c r="C38">
        <v>2025</v>
      </c>
      <c r="D38" t="s">
        <v>20</v>
      </c>
      <c r="E38">
        <v>4</v>
      </c>
      <c r="F38" t="s">
        <v>34</v>
      </c>
      <c r="G38" t="s">
        <v>29</v>
      </c>
      <c r="H38" t="s">
        <v>23</v>
      </c>
      <c r="I38" t="s">
        <v>30</v>
      </c>
      <c r="J38" t="s">
        <v>68</v>
      </c>
      <c r="K38" t="s">
        <v>26</v>
      </c>
      <c r="L38" t="s">
        <v>69</v>
      </c>
      <c r="M38">
        <v>72</v>
      </c>
      <c r="N38">
        <v>130</v>
      </c>
      <c r="O38">
        <v>8424</v>
      </c>
      <c r="P38">
        <v>5472</v>
      </c>
      <c r="Q38">
        <v>2952</v>
      </c>
      <c r="R38">
        <v>0.1</v>
      </c>
      <c r="S38" t="s">
        <v>38</v>
      </c>
      <c r="T38">
        <v>515.04999999999995</v>
      </c>
    </row>
    <row r="39" spans="1:20" x14ac:dyDescent="0.25">
      <c r="A39">
        <v>100038</v>
      </c>
      <c r="B39" s="6">
        <v>45608</v>
      </c>
      <c r="C39">
        <v>2024</v>
      </c>
      <c r="D39" t="s">
        <v>43</v>
      </c>
      <c r="E39">
        <v>11</v>
      </c>
      <c r="F39" t="s">
        <v>87</v>
      </c>
      <c r="G39" t="s">
        <v>35</v>
      </c>
      <c r="H39" t="s">
        <v>23</v>
      </c>
      <c r="I39" t="s">
        <v>53</v>
      </c>
      <c r="J39" t="s">
        <v>50</v>
      </c>
      <c r="K39" t="s">
        <v>51</v>
      </c>
      <c r="L39" t="s">
        <v>72</v>
      </c>
      <c r="M39">
        <v>110</v>
      </c>
      <c r="N39">
        <v>90</v>
      </c>
      <c r="O39">
        <v>9603</v>
      </c>
      <c r="P39">
        <v>5720</v>
      </c>
      <c r="Q39">
        <v>3883</v>
      </c>
      <c r="R39">
        <v>0.03</v>
      </c>
      <c r="S39" t="s">
        <v>28</v>
      </c>
      <c r="T39">
        <v>550.73</v>
      </c>
    </row>
    <row r="40" spans="1:20" x14ac:dyDescent="0.25">
      <c r="A40">
        <v>100039</v>
      </c>
      <c r="B40" s="6">
        <v>45700</v>
      </c>
      <c r="C40">
        <v>2025</v>
      </c>
      <c r="D40" t="s">
        <v>63</v>
      </c>
      <c r="E40">
        <v>2</v>
      </c>
      <c r="F40" t="s">
        <v>81</v>
      </c>
      <c r="G40" t="s">
        <v>45</v>
      </c>
      <c r="H40" t="s">
        <v>23</v>
      </c>
      <c r="I40" t="s">
        <v>62</v>
      </c>
      <c r="J40" t="s">
        <v>61</v>
      </c>
      <c r="K40" t="s">
        <v>59</v>
      </c>
      <c r="L40" t="s">
        <v>67</v>
      </c>
      <c r="M40">
        <v>108</v>
      </c>
      <c r="N40">
        <v>95</v>
      </c>
      <c r="O40">
        <v>9747</v>
      </c>
      <c r="P40">
        <v>6048</v>
      </c>
      <c r="Q40">
        <v>3699</v>
      </c>
      <c r="R40">
        <v>0.05</v>
      </c>
      <c r="S40" t="s">
        <v>28</v>
      </c>
      <c r="T40">
        <v>535.45000000000005</v>
      </c>
    </row>
    <row r="41" spans="1:20" x14ac:dyDescent="0.25">
      <c r="A41">
        <v>100040</v>
      </c>
      <c r="B41" s="6">
        <v>45583</v>
      </c>
      <c r="C41">
        <v>2024</v>
      </c>
      <c r="D41" t="s">
        <v>43</v>
      </c>
      <c r="E41">
        <v>10</v>
      </c>
      <c r="F41" t="s">
        <v>44</v>
      </c>
      <c r="G41" t="s">
        <v>29</v>
      </c>
      <c r="H41" t="s">
        <v>23</v>
      </c>
      <c r="I41" t="s">
        <v>30</v>
      </c>
      <c r="J41" t="s">
        <v>54</v>
      </c>
      <c r="K41" t="s">
        <v>51</v>
      </c>
      <c r="L41" t="s">
        <v>76</v>
      </c>
      <c r="M41">
        <v>99</v>
      </c>
      <c r="N41">
        <v>40</v>
      </c>
      <c r="O41">
        <v>3960</v>
      </c>
      <c r="P41">
        <v>2277</v>
      </c>
      <c r="Q41">
        <v>1683</v>
      </c>
      <c r="R41">
        <v>0</v>
      </c>
      <c r="S41" t="s">
        <v>70</v>
      </c>
      <c r="T41">
        <v>269.06</v>
      </c>
    </row>
    <row r="42" spans="1:20" x14ac:dyDescent="0.25">
      <c r="A42">
        <v>100041</v>
      </c>
      <c r="B42" s="6">
        <v>45939</v>
      </c>
      <c r="C42">
        <v>2025</v>
      </c>
      <c r="D42" t="s">
        <v>43</v>
      </c>
      <c r="E42">
        <v>10</v>
      </c>
      <c r="F42" t="s">
        <v>44</v>
      </c>
      <c r="G42" t="s">
        <v>45</v>
      </c>
      <c r="H42" t="s">
        <v>23</v>
      </c>
      <c r="I42" t="s">
        <v>88</v>
      </c>
      <c r="J42" t="s">
        <v>42</v>
      </c>
      <c r="K42" t="s">
        <v>55</v>
      </c>
      <c r="L42" t="s">
        <v>89</v>
      </c>
      <c r="M42">
        <v>43</v>
      </c>
      <c r="N42">
        <v>280</v>
      </c>
      <c r="O42">
        <v>11799.2</v>
      </c>
      <c r="P42">
        <v>8815</v>
      </c>
      <c r="Q42">
        <v>2984.2</v>
      </c>
      <c r="R42">
        <v>0.02</v>
      </c>
      <c r="S42" t="s">
        <v>57</v>
      </c>
      <c r="T42">
        <v>237.91</v>
      </c>
    </row>
    <row r="43" spans="1:20" x14ac:dyDescent="0.25">
      <c r="A43">
        <v>100042</v>
      </c>
      <c r="B43" s="6">
        <v>45823</v>
      </c>
      <c r="C43">
        <v>2025</v>
      </c>
      <c r="D43" t="s">
        <v>20</v>
      </c>
      <c r="E43">
        <v>6</v>
      </c>
      <c r="F43" t="s">
        <v>48</v>
      </c>
      <c r="G43" t="s">
        <v>29</v>
      </c>
      <c r="H43" t="s">
        <v>23</v>
      </c>
      <c r="I43" t="s">
        <v>73</v>
      </c>
      <c r="J43" t="s">
        <v>50</v>
      </c>
      <c r="K43" t="s">
        <v>26</v>
      </c>
      <c r="L43" t="s">
        <v>69</v>
      </c>
      <c r="M43">
        <v>78</v>
      </c>
      <c r="N43">
        <v>130</v>
      </c>
      <c r="O43">
        <v>9633</v>
      </c>
      <c r="P43">
        <v>5928</v>
      </c>
      <c r="Q43">
        <v>3705</v>
      </c>
      <c r="R43">
        <v>0.05</v>
      </c>
      <c r="S43" t="s">
        <v>70</v>
      </c>
      <c r="T43">
        <v>366.81</v>
      </c>
    </row>
    <row r="44" spans="1:20" x14ac:dyDescent="0.25">
      <c r="A44">
        <v>100043</v>
      </c>
      <c r="B44" s="6">
        <v>45923</v>
      </c>
      <c r="C44">
        <v>2025</v>
      </c>
      <c r="D44" t="s">
        <v>39</v>
      </c>
      <c r="E44">
        <v>9</v>
      </c>
      <c r="F44" t="s">
        <v>40</v>
      </c>
      <c r="G44" t="s">
        <v>35</v>
      </c>
      <c r="H44" t="s">
        <v>23</v>
      </c>
      <c r="I44" t="s">
        <v>77</v>
      </c>
      <c r="J44" t="s">
        <v>66</v>
      </c>
      <c r="K44" t="s">
        <v>51</v>
      </c>
      <c r="L44" t="s">
        <v>72</v>
      </c>
      <c r="M44">
        <v>78</v>
      </c>
      <c r="N44">
        <v>90</v>
      </c>
      <c r="O44">
        <v>7020</v>
      </c>
      <c r="P44">
        <v>4056</v>
      </c>
      <c r="Q44">
        <v>2964</v>
      </c>
      <c r="R44">
        <v>0</v>
      </c>
      <c r="S44" t="s">
        <v>57</v>
      </c>
      <c r="T44">
        <v>225.54</v>
      </c>
    </row>
    <row r="45" spans="1:20" x14ac:dyDescent="0.25">
      <c r="A45">
        <v>100044</v>
      </c>
      <c r="B45" s="6">
        <v>45838</v>
      </c>
      <c r="C45">
        <v>2025</v>
      </c>
      <c r="D45" t="s">
        <v>20</v>
      </c>
      <c r="E45">
        <v>6</v>
      </c>
      <c r="F45" t="s">
        <v>48</v>
      </c>
      <c r="G45" t="s">
        <v>35</v>
      </c>
      <c r="H45" t="s">
        <v>23</v>
      </c>
      <c r="I45" t="s">
        <v>36</v>
      </c>
      <c r="J45" t="s">
        <v>54</v>
      </c>
      <c r="K45" t="s">
        <v>59</v>
      </c>
      <c r="L45" t="s">
        <v>67</v>
      </c>
      <c r="M45">
        <v>109</v>
      </c>
      <c r="N45">
        <v>95</v>
      </c>
      <c r="O45">
        <v>10355</v>
      </c>
      <c r="P45">
        <v>6104</v>
      </c>
      <c r="Q45">
        <v>4251</v>
      </c>
      <c r="R45">
        <v>0</v>
      </c>
      <c r="S45" t="s">
        <v>38</v>
      </c>
      <c r="T45">
        <v>402.41</v>
      </c>
    </row>
    <row r="46" spans="1:20" x14ac:dyDescent="0.25">
      <c r="A46">
        <v>100045</v>
      </c>
      <c r="B46" s="6">
        <v>45728</v>
      </c>
      <c r="C46">
        <v>2025</v>
      </c>
      <c r="D46" t="s">
        <v>63</v>
      </c>
      <c r="E46">
        <v>3</v>
      </c>
      <c r="F46" t="s">
        <v>64</v>
      </c>
      <c r="G46" t="s">
        <v>29</v>
      </c>
      <c r="H46" t="s">
        <v>23</v>
      </c>
      <c r="I46" t="s">
        <v>30</v>
      </c>
      <c r="J46" t="s">
        <v>50</v>
      </c>
      <c r="K46" t="s">
        <v>32</v>
      </c>
      <c r="L46" t="s">
        <v>74</v>
      </c>
      <c r="M46">
        <v>105</v>
      </c>
      <c r="N46">
        <v>25</v>
      </c>
      <c r="O46">
        <v>2415</v>
      </c>
      <c r="P46">
        <v>1470</v>
      </c>
      <c r="Q46">
        <v>945</v>
      </c>
      <c r="R46">
        <v>0.08</v>
      </c>
      <c r="S46" t="s">
        <v>70</v>
      </c>
      <c r="T46">
        <v>123.72</v>
      </c>
    </row>
    <row r="47" spans="1:20" x14ac:dyDescent="0.25">
      <c r="A47">
        <v>100046</v>
      </c>
      <c r="B47" s="6">
        <v>45262</v>
      </c>
      <c r="C47">
        <v>2023</v>
      </c>
      <c r="D47" t="s">
        <v>43</v>
      </c>
      <c r="E47">
        <v>12</v>
      </c>
      <c r="F47" t="s">
        <v>83</v>
      </c>
      <c r="G47" t="s">
        <v>22</v>
      </c>
      <c r="H47" t="s">
        <v>23</v>
      </c>
      <c r="I47" t="s">
        <v>41</v>
      </c>
      <c r="J47" t="s">
        <v>50</v>
      </c>
      <c r="K47" t="s">
        <v>32</v>
      </c>
      <c r="L47" t="s">
        <v>47</v>
      </c>
      <c r="M47">
        <v>93</v>
      </c>
      <c r="N47">
        <v>180</v>
      </c>
      <c r="O47">
        <v>15903</v>
      </c>
      <c r="P47">
        <v>10695</v>
      </c>
      <c r="Q47">
        <v>5208</v>
      </c>
      <c r="R47">
        <v>0.05</v>
      </c>
      <c r="S47" t="s">
        <v>38</v>
      </c>
      <c r="T47">
        <v>578.05999999999995</v>
      </c>
    </row>
    <row r="48" spans="1:20" x14ac:dyDescent="0.25">
      <c r="A48">
        <v>100047</v>
      </c>
      <c r="B48" s="6">
        <v>45883</v>
      </c>
      <c r="C48">
        <v>2025</v>
      </c>
      <c r="D48" t="s">
        <v>39</v>
      </c>
      <c r="E48">
        <v>8</v>
      </c>
      <c r="F48" t="s">
        <v>58</v>
      </c>
      <c r="G48" t="s">
        <v>22</v>
      </c>
      <c r="H48" t="s">
        <v>23</v>
      </c>
      <c r="I48" t="s">
        <v>24</v>
      </c>
      <c r="J48" t="s">
        <v>50</v>
      </c>
      <c r="K48" t="s">
        <v>55</v>
      </c>
      <c r="L48" t="s">
        <v>89</v>
      </c>
      <c r="M48">
        <v>74</v>
      </c>
      <c r="N48">
        <v>280</v>
      </c>
      <c r="O48">
        <v>18648</v>
      </c>
      <c r="P48">
        <v>15170</v>
      </c>
      <c r="Q48">
        <v>3478</v>
      </c>
      <c r="R48">
        <v>0.1</v>
      </c>
      <c r="S48" t="s">
        <v>38</v>
      </c>
      <c r="T48">
        <v>1208.28</v>
      </c>
    </row>
    <row r="49" spans="1:20" x14ac:dyDescent="0.25">
      <c r="A49">
        <v>100048</v>
      </c>
      <c r="B49" s="6">
        <v>44938</v>
      </c>
      <c r="C49">
        <v>2023</v>
      </c>
      <c r="D49" t="s">
        <v>63</v>
      </c>
      <c r="E49">
        <v>1</v>
      </c>
      <c r="F49" t="s">
        <v>79</v>
      </c>
      <c r="G49" t="s">
        <v>22</v>
      </c>
      <c r="H49" t="s">
        <v>23</v>
      </c>
      <c r="I49" t="s">
        <v>41</v>
      </c>
      <c r="J49" t="s">
        <v>61</v>
      </c>
      <c r="K49" t="s">
        <v>32</v>
      </c>
      <c r="L49" t="s">
        <v>74</v>
      </c>
      <c r="M49">
        <v>44</v>
      </c>
      <c r="N49">
        <v>25</v>
      </c>
      <c r="O49">
        <v>1078</v>
      </c>
      <c r="P49">
        <v>616</v>
      </c>
      <c r="Q49">
        <v>462</v>
      </c>
      <c r="R49">
        <v>0.02</v>
      </c>
      <c r="S49" t="s">
        <v>57</v>
      </c>
      <c r="T49">
        <v>55.05</v>
      </c>
    </row>
    <row r="50" spans="1:20" x14ac:dyDescent="0.25">
      <c r="A50">
        <v>100049</v>
      </c>
      <c r="B50" s="6">
        <v>45948</v>
      </c>
      <c r="C50">
        <v>2025</v>
      </c>
      <c r="D50" t="s">
        <v>43</v>
      </c>
      <c r="E50">
        <v>10</v>
      </c>
      <c r="F50" t="s">
        <v>44</v>
      </c>
      <c r="G50" t="s">
        <v>35</v>
      </c>
      <c r="H50" t="s">
        <v>23</v>
      </c>
      <c r="I50" t="s">
        <v>53</v>
      </c>
      <c r="J50" t="s">
        <v>61</v>
      </c>
      <c r="K50" t="s">
        <v>51</v>
      </c>
      <c r="L50" t="s">
        <v>72</v>
      </c>
      <c r="M50">
        <v>67</v>
      </c>
      <c r="N50">
        <v>90</v>
      </c>
      <c r="O50">
        <v>5728.5</v>
      </c>
      <c r="P50">
        <v>3484</v>
      </c>
      <c r="Q50">
        <v>2244.5</v>
      </c>
      <c r="R50">
        <v>0.05</v>
      </c>
      <c r="S50" t="s">
        <v>38</v>
      </c>
      <c r="T50">
        <v>284.08999999999997</v>
      </c>
    </row>
    <row r="51" spans="1:20" x14ac:dyDescent="0.25">
      <c r="A51">
        <v>100050</v>
      </c>
      <c r="B51" s="6">
        <v>45655</v>
      </c>
      <c r="C51">
        <v>2024</v>
      </c>
      <c r="D51" t="s">
        <v>43</v>
      </c>
      <c r="E51">
        <v>12</v>
      </c>
      <c r="F51" t="s">
        <v>83</v>
      </c>
      <c r="G51" t="s">
        <v>45</v>
      </c>
      <c r="H51" t="s">
        <v>23</v>
      </c>
      <c r="I51" t="s">
        <v>46</v>
      </c>
      <c r="J51" t="s">
        <v>42</v>
      </c>
      <c r="K51" t="s">
        <v>51</v>
      </c>
      <c r="L51" t="s">
        <v>76</v>
      </c>
      <c r="M51">
        <v>110</v>
      </c>
      <c r="N51">
        <v>40</v>
      </c>
      <c r="O51">
        <v>4180</v>
      </c>
      <c r="P51">
        <v>2530</v>
      </c>
      <c r="Q51">
        <v>1650</v>
      </c>
      <c r="R51">
        <v>0.05</v>
      </c>
      <c r="S51" t="s">
        <v>57</v>
      </c>
      <c r="T51">
        <v>248.19</v>
      </c>
    </row>
    <row r="52" spans="1:20" x14ac:dyDescent="0.25">
      <c r="A52">
        <v>100051</v>
      </c>
      <c r="B52" s="6">
        <v>45904</v>
      </c>
      <c r="C52">
        <v>2025</v>
      </c>
      <c r="D52" t="s">
        <v>39</v>
      </c>
      <c r="E52">
        <v>9</v>
      </c>
      <c r="F52" t="s">
        <v>40</v>
      </c>
      <c r="G52" t="s">
        <v>45</v>
      </c>
      <c r="H52" t="s">
        <v>23</v>
      </c>
      <c r="I52" t="s">
        <v>90</v>
      </c>
      <c r="J52" t="s">
        <v>54</v>
      </c>
      <c r="K52" t="s">
        <v>59</v>
      </c>
      <c r="L52" t="s">
        <v>67</v>
      </c>
      <c r="M52">
        <v>46</v>
      </c>
      <c r="N52">
        <v>95</v>
      </c>
      <c r="O52">
        <v>4282.6000000000004</v>
      </c>
      <c r="P52">
        <v>2576</v>
      </c>
      <c r="Q52">
        <v>1706.6</v>
      </c>
      <c r="R52">
        <v>0.02</v>
      </c>
      <c r="S52" t="s">
        <v>57</v>
      </c>
      <c r="T52">
        <v>224.37</v>
      </c>
    </row>
    <row r="53" spans="1:20" x14ac:dyDescent="0.25">
      <c r="A53">
        <v>100052</v>
      </c>
      <c r="B53" s="6">
        <v>45799</v>
      </c>
      <c r="C53">
        <v>2025</v>
      </c>
      <c r="D53" t="s">
        <v>20</v>
      </c>
      <c r="E53">
        <v>5</v>
      </c>
      <c r="F53" t="s">
        <v>21</v>
      </c>
      <c r="G53" t="s">
        <v>35</v>
      </c>
      <c r="H53" t="s">
        <v>23</v>
      </c>
      <c r="I53" t="s">
        <v>77</v>
      </c>
      <c r="J53" t="s">
        <v>25</v>
      </c>
      <c r="K53" t="s">
        <v>59</v>
      </c>
      <c r="L53" t="s">
        <v>91</v>
      </c>
      <c r="M53">
        <v>121</v>
      </c>
      <c r="N53">
        <v>140</v>
      </c>
      <c r="O53">
        <v>16431.8</v>
      </c>
      <c r="P53">
        <v>9922</v>
      </c>
      <c r="Q53">
        <v>6509.8</v>
      </c>
      <c r="R53">
        <v>0.03</v>
      </c>
      <c r="S53" t="s">
        <v>38</v>
      </c>
      <c r="T53">
        <v>515.46</v>
      </c>
    </row>
    <row r="54" spans="1:20" x14ac:dyDescent="0.25">
      <c r="A54">
        <v>100053</v>
      </c>
      <c r="B54" s="6">
        <v>45322</v>
      </c>
      <c r="C54">
        <v>2024</v>
      </c>
      <c r="D54" t="s">
        <v>63</v>
      </c>
      <c r="E54">
        <v>1</v>
      </c>
      <c r="F54" t="s">
        <v>79</v>
      </c>
      <c r="G54" t="s">
        <v>45</v>
      </c>
      <c r="H54" t="s">
        <v>23</v>
      </c>
      <c r="I54" t="s">
        <v>46</v>
      </c>
      <c r="J54" t="s">
        <v>25</v>
      </c>
      <c r="K54" t="s">
        <v>26</v>
      </c>
      <c r="L54" t="s">
        <v>27</v>
      </c>
      <c r="M54">
        <v>37</v>
      </c>
      <c r="N54">
        <v>110</v>
      </c>
      <c r="O54">
        <v>3663</v>
      </c>
      <c r="P54">
        <v>2516</v>
      </c>
      <c r="Q54">
        <v>1147</v>
      </c>
      <c r="R54">
        <v>0.1</v>
      </c>
      <c r="S54" t="s">
        <v>70</v>
      </c>
      <c r="T54">
        <v>246.46</v>
      </c>
    </row>
    <row r="55" spans="1:20" x14ac:dyDescent="0.25">
      <c r="A55">
        <v>100054</v>
      </c>
      <c r="B55" s="6">
        <v>45070</v>
      </c>
      <c r="C55">
        <v>2023</v>
      </c>
      <c r="D55" t="s">
        <v>20</v>
      </c>
      <c r="E55">
        <v>5</v>
      </c>
      <c r="F55" t="s">
        <v>21</v>
      </c>
      <c r="G55" t="s">
        <v>45</v>
      </c>
      <c r="H55" t="s">
        <v>23</v>
      </c>
      <c r="I55" t="s">
        <v>46</v>
      </c>
      <c r="J55" t="s">
        <v>31</v>
      </c>
      <c r="K55" t="s">
        <v>51</v>
      </c>
      <c r="L55" t="s">
        <v>92</v>
      </c>
      <c r="M55">
        <v>132</v>
      </c>
      <c r="N55">
        <v>50</v>
      </c>
      <c r="O55">
        <v>6468</v>
      </c>
      <c r="P55">
        <v>3828</v>
      </c>
      <c r="Q55">
        <v>2640</v>
      </c>
      <c r="R55">
        <v>0.02</v>
      </c>
      <c r="S55" t="s">
        <v>57</v>
      </c>
      <c r="T55">
        <v>433.62</v>
      </c>
    </row>
    <row r="56" spans="1:20" x14ac:dyDescent="0.25">
      <c r="A56">
        <v>100055</v>
      </c>
      <c r="B56" s="6">
        <v>45035</v>
      </c>
      <c r="C56">
        <v>2023</v>
      </c>
      <c r="D56" t="s">
        <v>20</v>
      </c>
      <c r="E56">
        <v>4</v>
      </c>
      <c r="F56" t="s">
        <v>34</v>
      </c>
      <c r="G56" t="s">
        <v>45</v>
      </c>
      <c r="H56" t="s">
        <v>23</v>
      </c>
      <c r="I56" t="s">
        <v>88</v>
      </c>
      <c r="J56" t="s">
        <v>25</v>
      </c>
      <c r="K56" t="s">
        <v>55</v>
      </c>
      <c r="L56" t="s">
        <v>84</v>
      </c>
      <c r="M56">
        <v>131</v>
      </c>
      <c r="N56">
        <v>55</v>
      </c>
      <c r="O56">
        <v>6988.85</v>
      </c>
      <c r="P56">
        <v>4847</v>
      </c>
      <c r="Q56">
        <v>2141.85</v>
      </c>
      <c r="R56">
        <v>0.03</v>
      </c>
      <c r="S56" t="s">
        <v>57</v>
      </c>
      <c r="T56">
        <v>446.05</v>
      </c>
    </row>
    <row r="57" spans="1:20" x14ac:dyDescent="0.25">
      <c r="A57">
        <v>100056</v>
      </c>
      <c r="B57" s="6">
        <v>45677</v>
      </c>
      <c r="C57">
        <v>2025</v>
      </c>
      <c r="D57" t="s">
        <v>63</v>
      </c>
      <c r="E57">
        <v>1</v>
      </c>
      <c r="F57" t="s">
        <v>79</v>
      </c>
      <c r="G57" t="s">
        <v>29</v>
      </c>
      <c r="H57" t="s">
        <v>23</v>
      </c>
      <c r="I57" t="s">
        <v>73</v>
      </c>
      <c r="J57" t="s">
        <v>42</v>
      </c>
      <c r="K57" t="s">
        <v>26</v>
      </c>
      <c r="L57" t="s">
        <v>82</v>
      </c>
      <c r="M57">
        <v>16</v>
      </c>
      <c r="N57">
        <v>105</v>
      </c>
      <c r="O57">
        <v>1629.6</v>
      </c>
      <c r="P57">
        <v>976</v>
      </c>
      <c r="Q57">
        <v>653.6</v>
      </c>
      <c r="R57">
        <v>0.03</v>
      </c>
      <c r="S57" t="s">
        <v>57</v>
      </c>
      <c r="T57">
        <v>44.39</v>
      </c>
    </row>
    <row r="58" spans="1:20" x14ac:dyDescent="0.25">
      <c r="A58">
        <v>100057</v>
      </c>
      <c r="B58" s="6">
        <v>45560</v>
      </c>
      <c r="C58">
        <v>2024</v>
      </c>
      <c r="D58" t="s">
        <v>39</v>
      </c>
      <c r="E58">
        <v>9</v>
      </c>
      <c r="F58" t="s">
        <v>40</v>
      </c>
      <c r="G58" t="s">
        <v>35</v>
      </c>
      <c r="H58" t="s">
        <v>23</v>
      </c>
      <c r="I58" t="s">
        <v>77</v>
      </c>
      <c r="J58" t="s">
        <v>66</v>
      </c>
      <c r="K58" t="s">
        <v>59</v>
      </c>
      <c r="L58" t="s">
        <v>86</v>
      </c>
      <c r="M58">
        <v>92</v>
      </c>
      <c r="N58">
        <v>160</v>
      </c>
      <c r="O58">
        <v>13984</v>
      </c>
      <c r="P58">
        <v>8740</v>
      </c>
      <c r="Q58">
        <v>5244</v>
      </c>
      <c r="R58">
        <v>0.05</v>
      </c>
      <c r="S58" t="s">
        <v>57</v>
      </c>
      <c r="T58">
        <v>873.62</v>
      </c>
    </row>
    <row r="59" spans="1:20" x14ac:dyDescent="0.25">
      <c r="A59">
        <v>100058</v>
      </c>
      <c r="B59" s="6">
        <v>45437</v>
      </c>
      <c r="C59">
        <v>2024</v>
      </c>
      <c r="D59" t="s">
        <v>20</v>
      </c>
      <c r="E59">
        <v>5</v>
      </c>
      <c r="F59" t="s">
        <v>21</v>
      </c>
      <c r="G59" t="s">
        <v>22</v>
      </c>
      <c r="H59" t="s">
        <v>23</v>
      </c>
      <c r="I59" t="s">
        <v>71</v>
      </c>
      <c r="J59" t="s">
        <v>50</v>
      </c>
      <c r="K59" t="s">
        <v>59</v>
      </c>
      <c r="L59" t="s">
        <v>91</v>
      </c>
      <c r="M59">
        <v>79</v>
      </c>
      <c r="N59">
        <v>140</v>
      </c>
      <c r="O59">
        <v>10507</v>
      </c>
      <c r="P59">
        <v>6478</v>
      </c>
      <c r="Q59">
        <v>4029</v>
      </c>
      <c r="R59">
        <v>0.05</v>
      </c>
      <c r="S59" t="s">
        <v>70</v>
      </c>
      <c r="T59">
        <v>435.95</v>
      </c>
    </row>
    <row r="60" spans="1:20" x14ac:dyDescent="0.25">
      <c r="A60">
        <v>100059</v>
      </c>
      <c r="B60" s="6">
        <v>45017</v>
      </c>
      <c r="C60">
        <v>2023</v>
      </c>
      <c r="D60" t="s">
        <v>20</v>
      </c>
      <c r="E60">
        <v>4</v>
      </c>
      <c r="F60" t="s">
        <v>34</v>
      </c>
      <c r="G60" t="s">
        <v>35</v>
      </c>
      <c r="H60" t="s">
        <v>23</v>
      </c>
      <c r="I60" t="s">
        <v>36</v>
      </c>
      <c r="J60" t="s">
        <v>50</v>
      </c>
      <c r="K60" t="s">
        <v>51</v>
      </c>
      <c r="L60" t="s">
        <v>76</v>
      </c>
      <c r="M60">
        <v>150</v>
      </c>
      <c r="N60">
        <v>40</v>
      </c>
      <c r="O60">
        <v>5820</v>
      </c>
      <c r="P60">
        <v>3450</v>
      </c>
      <c r="Q60">
        <v>2370</v>
      </c>
      <c r="R60">
        <v>0.03</v>
      </c>
      <c r="S60" t="s">
        <v>38</v>
      </c>
      <c r="T60">
        <v>270.23</v>
      </c>
    </row>
    <row r="61" spans="1:20" x14ac:dyDescent="0.25">
      <c r="A61">
        <v>100060</v>
      </c>
      <c r="B61" s="6">
        <v>45755</v>
      </c>
      <c r="C61">
        <v>2025</v>
      </c>
      <c r="D61" t="s">
        <v>20</v>
      </c>
      <c r="E61">
        <v>4</v>
      </c>
      <c r="F61" t="s">
        <v>34</v>
      </c>
      <c r="G61" t="s">
        <v>22</v>
      </c>
      <c r="H61" t="s">
        <v>23</v>
      </c>
      <c r="I61" t="s">
        <v>71</v>
      </c>
      <c r="J61" t="s">
        <v>42</v>
      </c>
      <c r="K61" t="s">
        <v>26</v>
      </c>
      <c r="L61" t="s">
        <v>69</v>
      </c>
      <c r="M61">
        <v>101</v>
      </c>
      <c r="N61">
        <v>130</v>
      </c>
      <c r="O61">
        <v>11817</v>
      </c>
      <c r="P61">
        <v>7676</v>
      </c>
      <c r="Q61">
        <v>4141</v>
      </c>
      <c r="R61">
        <v>0.1</v>
      </c>
      <c r="S61" t="s">
        <v>38</v>
      </c>
      <c r="T61">
        <v>420.9</v>
      </c>
    </row>
    <row r="62" spans="1:20" x14ac:dyDescent="0.25">
      <c r="A62">
        <v>100061</v>
      </c>
      <c r="B62" s="6">
        <v>45855</v>
      </c>
      <c r="C62">
        <v>2025</v>
      </c>
      <c r="D62" t="s">
        <v>39</v>
      </c>
      <c r="E62">
        <v>7</v>
      </c>
      <c r="F62" t="s">
        <v>75</v>
      </c>
      <c r="G62" t="s">
        <v>35</v>
      </c>
      <c r="H62" t="s">
        <v>23</v>
      </c>
      <c r="I62" t="s">
        <v>77</v>
      </c>
      <c r="J62" t="s">
        <v>61</v>
      </c>
      <c r="K62" t="s">
        <v>55</v>
      </c>
      <c r="L62" t="s">
        <v>56</v>
      </c>
      <c r="M62">
        <v>70</v>
      </c>
      <c r="N62">
        <v>320</v>
      </c>
      <c r="O62">
        <v>21952</v>
      </c>
      <c r="P62">
        <v>16450</v>
      </c>
      <c r="Q62">
        <v>5502</v>
      </c>
      <c r="R62">
        <v>0.02</v>
      </c>
      <c r="S62" t="s">
        <v>28</v>
      </c>
      <c r="T62">
        <v>381.68</v>
      </c>
    </row>
    <row r="63" spans="1:20" x14ac:dyDescent="0.25">
      <c r="A63">
        <v>100062</v>
      </c>
      <c r="B63" s="6">
        <v>44973</v>
      </c>
      <c r="C63">
        <v>2023</v>
      </c>
      <c r="D63" t="s">
        <v>63</v>
      </c>
      <c r="E63">
        <v>2</v>
      </c>
      <c r="F63" t="s">
        <v>81</v>
      </c>
      <c r="G63" t="s">
        <v>45</v>
      </c>
      <c r="H63" t="s">
        <v>23</v>
      </c>
      <c r="I63" t="s">
        <v>46</v>
      </c>
      <c r="J63" t="s">
        <v>31</v>
      </c>
      <c r="K63" t="s">
        <v>26</v>
      </c>
      <c r="L63" t="s">
        <v>69</v>
      </c>
      <c r="M63">
        <v>10</v>
      </c>
      <c r="N63">
        <v>130</v>
      </c>
      <c r="O63">
        <v>1235</v>
      </c>
      <c r="P63">
        <v>760</v>
      </c>
      <c r="Q63">
        <v>475</v>
      </c>
      <c r="R63">
        <v>0.05</v>
      </c>
      <c r="S63" t="s">
        <v>57</v>
      </c>
      <c r="T63">
        <v>58.21</v>
      </c>
    </row>
    <row r="64" spans="1:20" x14ac:dyDescent="0.25">
      <c r="A64">
        <v>100063</v>
      </c>
      <c r="B64" s="6">
        <v>45897</v>
      </c>
      <c r="C64">
        <v>2025</v>
      </c>
      <c r="D64" t="s">
        <v>39</v>
      </c>
      <c r="E64">
        <v>8</v>
      </c>
      <c r="F64" t="s">
        <v>58</v>
      </c>
      <c r="G64" t="s">
        <v>29</v>
      </c>
      <c r="H64" t="s">
        <v>23</v>
      </c>
      <c r="I64" t="s">
        <v>85</v>
      </c>
      <c r="J64" t="s">
        <v>31</v>
      </c>
      <c r="K64" t="s">
        <v>55</v>
      </c>
      <c r="L64" t="s">
        <v>56</v>
      </c>
      <c r="M64">
        <v>111</v>
      </c>
      <c r="N64">
        <v>320</v>
      </c>
      <c r="O64">
        <v>34454.400000000001</v>
      </c>
      <c r="P64">
        <v>26085</v>
      </c>
      <c r="Q64">
        <v>8369.4</v>
      </c>
      <c r="R64">
        <v>0.03</v>
      </c>
      <c r="S64" t="s">
        <v>38</v>
      </c>
      <c r="T64">
        <v>1691.96</v>
      </c>
    </row>
    <row r="65" spans="1:20" x14ac:dyDescent="0.25">
      <c r="A65">
        <v>100064</v>
      </c>
      <c r="B65" s="6">
        <v>45602</v>
      </c>
      <c r="C65">
        <v>2024</v>
      </c>
      <c r="D65" t="s">
        <v>43</v>
      </c>
      <c r="E65">
        <v>11</v>
      </c>
      <c r="F65" t="s">
        <v>87</v>
      </c>
      <c r="G65" t="s">
        <v>35</v>
      </c>
      <c r="H65" t="s">
        <v>23</v>
      </c>
      <c r="I65" t="s">
        <v>80</v>
      </c>
      <c r="J65" t="s">
        <v>31</v>
      </c>
      <c r="K65" t="s">
        <v>51</v>
      </c>
      <c r="L65" t="s">
        <v>76</v>
      </c>
      <c r="M65">
        <v>37</v>
      </c>
      <c r="N65">
        <v>40</v>
      </c>
      <c r="O65">
        <v>1480</v>
      </c>
      <c r="P65">
        <v>851</v>
      </c>
      <c r="Q65">
        <v>629</v>
      </c>
      <c r="R65">
        <v>0</v>
      </c>
      <c r="S65" t="s">
        <v>70</v>
      </c>
      <c r="T65">
        <v>101.52</v>
      </c>
    </row>
    <row r="66" spans="1:20" x14ac:dyDescent="0.25">
      <c r="A66">
        <v>100065</v>
      </c>
      <c r="B66" s="6">
        <v>45885</v>
      </c>
      <c r="C66">
        <v>2025</v>
      </c>
      <c r="D66" t="s">
        <v>39</v>
      </c>
      <c r="E66">
        <v>8</v>
      </c>
      <c r="F66" t="s">
        <v>58</v>
      </c>
      <c r="G66" t="s">
        <v>45</v>
      </c>
      <c r="H66" t="s">
        <v>23</v>
      </c>
      <c r="I66" t="s">
        <v>46</v>
      </c>
      <c r="J66" t="s">
        <v>68</v>
      </c>
      <c r="K66" t="s">
        <v>51</v>
      </c>
      <c r="L66" t="s">
        <v>72</v>
      </c>
      <c r="M66">
        <v>150</v>
      </c>
      <c r="N66">
        <v>90</v>
      </c>
      <c r="O66">
        <v>12420</v>
      </c>
      <c r="P66">
        <v>7800</v>
      </c>
      <c r="Q66">
        <v>4620</v>
      </c>
      <c r="R66">
        <v>0.08</v>
      </c>
      <c r="S66" t="s">
        <v>70</v>
      </c>
      <c r="T66">
        <v>748.18</v>
      </c>
    </row>
    <row r="67" spans="1:20" x14ac:dyDescent="0.25">
      <c r="A67">
        <v>100066</v>
      </c>
      <c r="B67" s="6">
        <v>45635</v>
      </c>
      <c r="C67">
        <v>2024</v>
      </c>
      <c r="D67" t="s">
        <v>43</v>
      </c>
      <c r="E67">
        <v>12</v>
      </c>
      <c r="F67" t="s">
        <v>83</v>
      </c>
      <c r="G67" t="s">
        <v>22</v>
      </c>
      <c r="H67" t="s">
        <v>23</v>
      </c>
      <c r="I67" t="s">
        <v>71</v>
      </c>
      <c r="J67" t="s">
        <v>54</v>
      </c>
      <c r="K67" t="s">
        <v>51</v>
      </c>
      <c r="L67" t="s">
        <v>72</v>
      </c>
      <c r="M67">
        <v>39</v>
      </c>
      <c r="N67">
        <v>90</v>
      </c>
      <c r="O67">
        <v>3229.2</v>
      </c>
      <c r="P67">
        <v>2028</v>
      </c>
      <c r="Q67">
        <v>1201.2</v>
      </c>
      <c r="R67">
        <v>0.08</v>
      </c>
      <c r="S67" t="s">
        <v>70</v>
      </c>
      <c r="T67">
        <v>56.47</v>
      </c>
    </row>
    <row r="68" spans="1:20" x14ac:dyDescent="0.25">
      <c r="A68">
        <v>100067</v>
      </c>
      <c r="B68" s="6">
        <v>45300</v>
      </c>
      <c r="C68">
        <v>2024</v>
      </c>
      <c r="D68" t="s">
        <v>63</v>
      </c>
      <c r="E68">
        <v>1</v>
      </c>
      <c r="F68" t="s">
        <v>79</v>
      </c>
      <c r="G68" t="s">
        <v>45</v>
      </c>
      <c r="H68" t="s">
        <v>23</v>
      </c>
      <c r="I68" t="s">
        <v>88</v>
      </c>
      <c r="J68" t="s">
        <v>66</v>
      </c>
      <c r="K68" t="s">
        <v>55</v>
      </c>
      <c r="L68" t="s">
        <v>93</v>
      </c>
      <c r="M68">
        <v>20</v>
      </c>
      <c r="N68">
        <v>60</v>
      </c>
      <c r="O68">
        <v>1140</v>
      </c>
      <c r="P68">
        <v>840</v>
      </c>
      <c r="Q68">
        <v>300</v>
      </c>
      <c r="R68">
        <v>0.05</v>
      </c>
      <c r="S68" t="s">
        <v>57</v>
      </c>
      <c r="T68">
        <v>40.98</v>
      </c>
    </row>
    <row r="69" spans="1:20" x14ac:dyDescent="0.25">
      <c r="A69">
        <v>100068</v>
      </c>
      <c r="B69" s="6">
        <v>45615</v>
      </c>
      <c r="C69">
        <v>2024</v>
      </c>
      <c r="D69" t="s">
        <v>43</v>
      </c>
      <c r="E69">
        <v>11</v>
      </c>
      <c r="F69" t="s">
        <v>87</v>
      </c>
      <c r="G69" t="s">
        <v>45</v>
      </c>
      <c r="H69" t="s">
        <v>23</v>
      </c>
      <c r="I69" t="s">
        <v>46</v>
      </c>
      <c r="J69" t="s">
        <v>50</v>
      </c>
      <c r="K69" t="s">
        <v>59</v>
      </c>
      <c r="L69" t="s">
        <v>67</v>
      </c>
      <c r="M69">
        <v>138</v>
      </c>
      <c r="N69">
        <v>95</v>
      </c>
      <c r="O69">
        <v>13110</v>
      </c>
      <c r="P69">
        <v>7728</v>
      </c>
      <c r="Q69">
        <v>5382</v>
      </c>
      <c r="R69">
        <v>0</v>
      </c>
      <c r="S69" t="s">
        <v>57</v>
      </c>
      <c r="T69">
        <v>250.99</v>
      </c>
    </row>
    <row r="70" spans="1:20" x14ac:dyDescent="0.25">
      <c r="A70">
        <v>100069</v>
      </c>
      <c r="B70" s="6">
        <v>45697</v>
      </c>
      <c r="C70">
        <v>2025</v>
      </c>
      <c r="D70" t="s">
        <v>63</v>
      </c>
      <c r="E70">
        <v>2</v>
      </c>
      <c r="F70" t="s">
        <v>81</v>
      </c>
      <c r="G70" t="s">
        <v>45</v>
      </c>
      <c r="H70" t="s">
        <v>23</v>
      </c>
      <c r="I70" t="s">
        <v>90</v>
      </c>
      <c r="J70" t="s">
        <v>66</v>
      </c>
      <c r="K70" t="s">
        <v>26</v>
      </c>
      <c r="L70" t="s">
        <v>27</v>
      </c>
      <c r="M70">
        <v>92</v>
      </c>
      <c r="N70">
        <v>110</v>
      </c>
      <c r="O70">
        <v>9917.6</v>
      </c>
      <c r="P70">
        <v>6256</v>
      </c>
      <c r="Q70">
        <v>3661.6</v>
      </c>
      <c r="R70">
        <v>0.02</v>
      </c>
      <c r="S70" t="s">
        <v>38</v>
      </c>
      <c r="T70">
        <v>394.52</v>
      </c>
    </row>
    <row r="71" spans="1:20" x14ac:dyDescent="0.25">
      <c r="A71">
        <v>100070</v>
      </c>
      <c r="B71" s="6">
        <v>45611</v>
      </c>
      <c r="C71">
        <v>2024</v>
      </c>
      <c r="D71" t="s">
        <v>43</v>
      </c>
      <c r="E71">
        <v>11</v>
      </c>
      <c r="F71" t="s">
        <v>87</v>
      </c>
      <c r="G71" t="s">
        <v>45</v>
      </c>
      <c r="H71" t="s">
        <v>23</v>
      </c>
      <c r="I71" t="s">
        <v>62</v>
      </c>
      <c r="J71" t="s">
        <v>54</v>
      </c>
      <c r="K71" t="s">
        <v>51</v>
      </c>
      <c r="L71" t="s">
        <v>92</v>
      </c>
      <c r="M71">
        <v>41</v>
      </c>
      <c r="N71">
        <v>50</v>
      </c>
      <c r="O71">
        <v>2050</v>
      </c>
      <c r="P71">
        <v>1189</v>
      </c>
      <c r="Q71">
        <v>861</v>
      </c>
      <c r="R71">
        <v>0</v>
      </c>
      <c r="S71" t="s">
        <v>57</v>
      </c>
      <c r="T71">
        <v>61.04</v>
      </c>
    </row>
    <row r="72" spans="1:20" x14ac:dyDescent="0.25">
      <c r="A72">
        <v>100071</v>
      </c>
      <c r="B72" s="6">
        <v>45600</v>
      </c>
      <c r="C72">
        <v>2024</v>
      </c>
      <c r="D72" t="s">
        <v>43</v>
      </c>
      <c r="E72">
        <v>11</v>
      </c>
      <c r="F72" t="s">
        <v>87</v>
      </c>
      <c r="G72" t="s">
        <v>35</v>
      </c>
      <c r="H72" t="s">
        <v>23</v>
      </c>
      <c r="I72" t="s">
        <v>36</v>
      </c>
      <c r="J72" t="s">
        <v>66</v>
      </c>
      <c r="K72" t="s">
        <v>26</v>
      </c>
      <c r="L72" t="s">
        <v>78</v>
      </c>
      <c r="M72">
        <v>21</v>
      </c>
      <c r="N72">
        <v>95</v>
      </c>
      <c r="O72">
        <v>1835.4</v>
      </c>
      <c r="P72">
        <v>1218</v>
      </c>
      <c r="Q72">
        <v>617.4</v>
      </c>
      <c r="R72">
        <v>0.08</v>
      </c>
      <c r="S72" t="s">
        <v>28</v>
      </c>
      <c r="T72">
        <v>125.25</v>
      </c>
    </row>
    <row r="73" spans="1:20" x14ac:dyDescent="0.25">
      <c r="A73">
        <v>100072</v>
      </c>
      <c r="B73" s="6">
        <v>45327</v>
      </c>
      <c r="C73">
        <v>2024</v>
      </c>
      <c r="D73" t="s">
        <v>63</v>
      </c>
      <c r="E73">
        <v>2</v>
      </c>
      <c r="F73" t="s">
        <v>81</v>
      </c>
      <c r="G73" t="s">
        <v>29</v>
      </c>
      <c r="H73" t="s">
        <v>23</v>
      </c>
      <c r="I73" t="s">
        <v>30</v>
      </c>
      <c r="J73" t="s">
        <v>54</v>
      </c>
      <c r="K73" t="s">
        <v>32</v>
      </c>
      <c r="L73" t="s">
        <v>74</v>
      </c>
      <c r="M73">
        <v>94</v>
      </c>
      <c r="N73">
        <v>25</v>
      </c>
      <c r="O73">
        <v>2232.5</v>
      </c>
      <c r="P73">
        <v>1316</v>
      </c>
      <c r="Q73">
        <v>916.5</v>
      </c>
      <c r="R73">
        <v>0.05</v>
      </c>
      <c r="S73" t="s">
        <v>38</v>
      </c>
      <c r="T73">
        <v>132.34</v>
      </c>
    </row>
    <row r="74" spans="1:20" x14ac:dyDescent="0.25">
      <c r="A74">
        <v>100073</v>
      </c>
      <c r="B74" s="6">
        <v>45690</v>
      </c>
      <c r="C74">
        <v>2025</v>
      </c>
      <c r="D74" t="s">
        <v>63</v>
      </c>
      <c r="E74">
        <v>2</v>
      </c>
      <c r="F74" t="s">
        <v>81</v>
      </c>
      <c r="G74" t="s">
        <v>35</v>
      </c>
      <c r="H74" t="s">
        <v>23</v>
      </c>
      <c r="I74" t="s">
        <v>36</v>
      </c>
      <c r="J74" t="s">
        <v>68</v>
      </c>
      <c r="K74" t="s">
        <v>59</v>
      </c>
      <c r="L74" t="s">
        <v>86</v>
      </c>
      <c r="M74">
        <v>39</v>
      </c>
      <c r="N74">
        <v>160</v>
      </c>
      <c r="O74">
        <v>6052.8</v>
      </c>
      <c r="P74">
        <v>3705</v>
      </c>
      <c r="Q74">
        <v>2347.8000000000002</v>
      </c>
      <c r="R74">
        <v>0.03</v>
      </c>
      <c r="S74" t="s">
        <v>38</v>
      </c>
      <c r="T74">
        <v>121.09</v>
      </c>
    </row>
    <row r="75" spans="1:20" x14ac:dyDescent="0.25">
      <c r="A75">
        <v>100074</v>
      </c>
      <c r="B75" s="6">
        <v>45092</v>
      </c>
      <c r="C75">
        <v>2023</v>
      </c>
      <c r="D75" t="s">
        <v>20</v>
      </c>
      <c r="E75">
        <v>6</v>
      </c>
      <c r="F75" t="s">
        <v>48</v>
      </c>
      <c r="G75" t="s">
        <v>45</v>
      </c>
      <c r="H75" t="s">
        <v>23</v>
      </c>
      <c r="I75" t="s">
        <v>62</v>
      </c>
      <c r="J75" t="s">
        <v>50</v>
      </c>
      <c r="K75" t="s">
        <v>55</v>
      </c>
      <c r="L75" t="s">
        <v>84</v>
      </c>
      <c r="M75">
        <v>115</v>
      </c>
      <c r="N75">
        <v>55</v>
      </c>
      <c r="O75">
        <v>5819</v>
      </c>
      <c r="P75">
        <v>4255</v>
      </c>
      <c r="Q75">
        <v>1564</v>
      </c>
      <c r="R75">
        <v>0.08</v>
      </c>
      <c r="S75" t="s">
        <v>70</v>
      </c>
      <c r="T75">
        <v>391.17</v>
      </c>
    </row>
    <row r="76" spans="1:20" x14ac:dyDescent="0.25">
      <c r="A76">
        <v>100075</v>
      </c>
      <c r="B76" s="6">
        <v>45711</v>
      </c>
      <c r="C76">
        <v>2025</v>
      </c>
      <c r="D76" t="s">
        <v>63</v>
      </c>
      <c r="E76">
        <v>2</v>
      </c>
      <c r="F76" t="s">
        <v>81</v>
      </c>
      <c r="G76" t="s">
        <v>29</v>
      </c>
      <c r="H76" t="s">
        <v>23</v>
      </c>
      <c r="I76" t="s">
        <v>49</v>
      </c>
      <c r="J76" t="s">
        <v>25</v>
      </c>
      <c r="K76" t="s">
        <v>51</v>
      </c>
      <c r="L76" t="s">
        <v>76</v>
      </c>
      <c r="M76">
        <v>15</v>
      </c>
      <c r="N76">
        <v>40</v>
      </c>
      <c r="O76">
        <v>582</v>
      </c>
      <c r="P76">
        <v>345</v>
      </c>
      <c r="Q76">
        <v>237</v>
      </c>
      <c r="R76">
        <v>0.03</v>
      </c>
      <c r="S76" t="s">
        <v>70</v>
      </c>
      <c r="T76">
        <v>19.25</v>
      </c>
    </row>
    <row r="77" spans="1:20" x14ac:dyDescent="0.25">
      <c r="A77">
        <v>100076</v>
      </c>
      <c r="B77" s="6">
        <v>45037</v>
      </c>
      <c r="C77">
        <v>2023</v>
      </c>
      <c r="D77" t="s">
        <v>20</v>
      </c>
      <c r="E77">
        <v>4</v>
      </c>
      <c r="F77" t="s">
        <v>34</v>
      </c>
      <c r="G77" t="s">
        <v>45</v>
      </c>
      <c r="H77" t="s">
        <v>23</v>
      </c>
      <c r="I77" t="s">
        <v>90</v>
      </c>
      <c r="J77" t="s">
        <v>50</v>
      </c>
      <c r="K77" t="s">
        <v>32</v>
      </c>
      <c r="L77" t="s">
        <v>74</v>
      </c>
      <c r="M77">
        <v>127</v>
      </c>
      <c r="N77">
        <v>25</v>
      </c>
      <c r="O77">
        <v>3016.25</v>
      </c>
      <c r="P77">
        <v>1778</v>
      </c>
      <c r="Q77">
        <v>1238.25</v>
      </c>
      <c r="R77">
        <v>0.05</v>
      </c>
      <c r="S77" t="s">
        <v>38</v>
      </c>
      <c r="T77">
        <v>75.12</v>
      </c>
    </row>
    <row r="78" spans="1:20" x14ac:dyDescent="0.25">
      <c r="A78">
        <v>100077</v>
      </c>
      <c r="B78" s="6">
        <v>45593</v>
      </c>
      <c r="C78">
        <v>2024</v>
      </c>
      <c r="D78" t="s">
        <v>43</v>
      </c>
      <c r="E78">
        <v>10</v>
      </c>
      <c r="F78" t="s">
        <v>44</v>
      </c>
      <c r="G78" t="s">
        <v>45</v>
      </c>
      <c r="H78" t="s">
        <v>23</v>
      </c>
      <c r="I78" t="s">
        <v>62</v>
      </c>
      <c r="J78" t="s">
        <v>50</v>
      </c>
      <c r="K78" t="s">
        <v>32</v>
      </c>
      <c r="L78" t="s">
        <v>33</v>
      </c>
      <c r="M78">
        <v>60</v>
      </c>
      <c r="N78">
        <v>60</v>
      </c>
      <c r="O78">
        <v>3600</v>
      </c>
      <c r="P78">
        <v>2280</v>
      </c>
      <c r="Q78">
        <v>1320</v>
      </c>
      <c r="R78">
        <v>0</v>
      </c>
      <c r="S78" t="s">
        <v>38</v>
      </c>
      <c r="T78">
        <v>87.45</v>
      </c>
    </row>
    <row r="79" spans="1:20" x14ac:dyDescent="0.25">
      <c r="A79">
        <v>100078</v>
      </c>
      <c r="B79" s="6">
        <v>45460</v>
      </c>
      <c r="C79">
        <v>2024</v>
      </c>
      <c r="D79" t="s">
        <v>20</v>
      </c>
      <c r="E79">
        <v>6</v>
      </c>
      <c r="F79" t="s">
        <v>48</v>
      </c>
      <c r="G79" t="s">
        <v>45</v>
      </c>
      <c r="H79" t="s">
        <v>23</v>
      </c>
      <c r="I79" t="s">
        <v>88</v>
      </c>
      <c r="J79" t="s">
        <v>66</v>
      </c>
      <c r="K79" t="s">
        <v>32</v>
      </c>
      <c r="L79" t="s">
        <v>37</v>
      </c>
      <c r="M79">
        <v>21</v>
      </c>
      <c r="N79">
        <v>120</v>
      </c>
      <c r="O79">
        <v>2469.6</v>
      </c>
      <c r="P79">
        <v>1638</v>
      </c>
      <c r="Q79">
        <v>831.6</v>
      </c>
      <c r="R79">
        <v>0.02</v>
      </c>
      <c r="S79" t="s">
        <v>38</v>
      </c>
      <c r="T79">
        <v>86.52</v>
      </c>
    </row>
    <row r="80" spans="1:20" x14ac:dyDescent="0.25">
      <c r="A80">
        <v>100079</v>
      </c>
      <c r="B80" s="6">
        <v>45720</v>
      </c>
      <c r="C80">
        <v>2025</v>
      </c>
      <c r="D80" t="s">
        <v>63</v>
      </c>
      <c r="E80">
        <v>3</v>
      </c>
      <c r="F80" t="s">
        <v>64</v>
      </c>
      <c r="G80" t="s">
        <v>45</v>
      </c>
      <c r="H80" t="s">
        <v>23</v>
      </c>
      <c r="I80" t="s">
        <v>90</v>
      </c>
      <c r="J80" t="s">
        <v>61</v>
      </c>
      <c r="K80" t="s">
        <v>59</v>
      </c>
      <c r="L80" t="s">
        <v>67</v>
      </c>
      <c r="M80">
        <v>65</v>
      </c>
      <c r="N80">
        <v>95</v>
      </c>
      <c r="O80">
        <v>5681</v>
      </c>
      <c r="P80">
        <v>3640</v>
      </c>
      <c r="Q80">
        <v>2041</v>
      </c>
      <c r="R80">
        <v>0.08</v>
      </c>
      <c r="S80" t="s">
        <v>38</v>
      </c>
      <c r="T80">
        <v>372.95</v>
      </c>
    </row>
    <row r="81" spans="1:20" x14ac:dyDescent="0.25">
      <c r="A81">
        <v>100080</v>
      </c>
      <c r="B81" s="6">
        <v>45730</v>
      </c>
      <c r="C81">
        <v>2025</v>
      </c>
      <c r="D81" t="s">
        <v>63</v>
      </c>
      <c r="E81">
        <v>3</v>
      </c>
      <c r="F81" t="s">
        <v>64</v>
      </c>
      <c r="G81" t="s">
        <v>45</v>
      </c>
      <c r="H81" t="s">
        <v>23</v>
      </c>
      <c r="I81" t="s">
        <v>62</v>
      </c>
      <c r="J81" t="s">
        <v>68</v>
      </c>
      <c r="K81" t="s">
        <v>26</v>
      </c>
      <c r="L81" t="s">
        <v>27</v>
      </c>
      <c r="M81">
        <v>56</v>
      </c>
      <c r="N81">
        <v>110</v>
      </c>
      <c r="O81">
        <v>5975.2</v>
      </c>
      <c r="P81">
        <v>3808</v>
      </c>
      <c r="Q81">
        <v>2167.1999999999998</v>
      </c>
      <c r="R81">
        <v>0.03</v>
      </c>
      <c r="S81" t="s">
        <v>57</v>
      </c>
      <c r="T81">
        <v>248.86</v>
      </c>
    </row>
    <row r="82" spans="1:20" x14ac:dyDescent="0.25">
      <c r="A82">
        <v>100081</v>
      </c>
      <c r="B82" s="6">
        <v>45004</v>
      </c>
      <c r="C82">
        <v>2023</v>
      </c>
      <c r="D82" t="s">
        <v>63</v>
      </c>
      <c r="E82">
        <v>3</v>
      </c>
      <c r="F82" t="s">
        <v>64</v>
      </c>
      <c r="G82" t="s">
        <v>29</v>
      </c>
      <c r="H82" t="s">
        <v>23</v>
      </c>
      <c r="I82" t="s">
        <v>85</v>
      </c>
      <c r="J82" t="s">
        <v>54</v>
      </c>
      <c r="K82" t="s">
        <v>26</v>
      </c>
      <c r="L82" t="s">
        <v>78</v>
      </c>
      <c r="M82">
        <v>65</v>
      </c>
      <c r="N82">
        <v>95</v>
      </c>
      <c r="O82">
        <v>6175</v>
      </c>
      <c r="P82">
        <v>3770</v>
      </c>
      <c r="Q82">
        <v>2405</v>
      </c>
      <c r="R82">
        <v>0</v>
      </c>
      <c r="S82" t="s">
        <v>70</v>
      </c>
      <c r="T82">
        <v>326</v>
      </c>
    </row>
    <row r="83" spans="1:20" x14ac:dyDescent="0.25">
      <c r="A83">
        <v>100082</v>
      </c>
      <c r="B83" s="6">
        <v>45732</v>
      </c>
      <c r="C83">
        <v>2025</v>
      </c>
      <c r="D83" t="s">
        <v>63</v>
      </c>
      <c r="E83">
        <v>3</v>
      </c>
      <c r="F83" t="s">
        <v>64</v>
      </c>
      <c r="G83" t="s">
        <v>22</v>
      </c>
      <c r="H83" t="s">
        <v>23</v>
      </c>
      <c r="I83" t="s">
        <v>24</v>
      </c>
      <c r="J83" t="s">
        <v>42</v>
      </c>
      <c r="K83" t="s">
        <v>51</v>
      </c>
      <c r="L83" t="s">
        <v>92</v>
      </c>
      <c r="M83">
        <v>128</v>
      </c>
      <c r="N83">
        <v>50</v>
      </c>
      <c r="O83">
        <v>6208</v>
      </c>
      <c r="P83">
        <v>3712</v>
      </c>
      <c r="Q83">
        <v>2496</v>
      </c>
      <c r="R83">
        <v>0.03</v>
      </c>
      <c r="S83" t="s">
        <v>57</v>
      </c>
      <c r="T83">
        <v>99.97</v>
      </c>
    </row>
    <row r="84" spans="1:20" x14ac:dyDescent="0.25">
      <c r="A84">
        <v>100083</v>
      </c>
      <c r="B84" s="6">
        <v>45012</v>
      </c>
      <c r="C84">
        <v>2023</v>
      </c>
      <c r="D84" t="s">
        <v>63</v>
      </c>
      <c r="E84">
        <v>3</v>
      </c>
      <c r="F84" t="s">
        <v>64</v>
      </c>
      <c r="G84" t="s">
        <v>35</v>
      </c>
      <c r="H84" t="s">
        <v>23</v>
      </c>
      <c r="I84" t="s">
        <v>36</v>
      </c>
      <c r="J84" t="s">
        <v>25</v>
      </c>
      <c r="K84" t="s">
        <v>32</v>
      </c>
      <c r="L84" t="s">
        <v>37</v>
      </c>
      <c r="M84">
        <v>22</v>
      </c>
      <c r="N84">
        <v>120</v>
      </c>
      <c r="O84">
        <v>2508</v>
      </c>
      <c r="P84">
        <v>1716</v>
      </c>
      <c r="Q84">
        <v>792</v>
      </c>
      <c r="R84">
        <v>0.05</v>
      </c>
      <c r="S84" t="s">
        <v>70</v>
      </c>
      <c r="T84">
        <v>131.30000000000001</v>
      </c>
    </row>
    <row r="85" spans="1:20" x14ac:dyDescent="0.25">
      <c r="A85">
        <v>100084</v>
      </c>
      <c r="B85" s="6">
        <v>45037</v>
      </c>
      <c r="C85">
        <v>2023</v>
      </c>
      <c r="D85" t="s">
        <v>20</v>
      </c>
      <c r="E85">
        <v>4</v>
      </c>
      <c r="F85" t="s">
        <v>34</v>
      </c>
      <c r="G85" t="s">
        <v>29</v>
      </c>
      <c r="H85" t="s">
        <v>23</v>
      </c>
      <c r="I85" t="s">
        <v>30</v>
      </c>
      <c r="J85" t="s">
        <v>68</v>
      </c>
      <c r="K85" t="s">
        <v>26</v>
      </c>
      <c r="L85" t="s">
        <v>69</v>
      </c>
      <c r="M85">
        <v>17</v>
      </c>
      <c r="N85">
        <v>130</v>
      </c>
      <c r="O85">
        <v>2099.5</v>
      </c>
      <c r="P85">
        <v>1292</v>
      </c>
      <c r="Q85">
        <v>807.5</v>
      </c>
      <c r="R85">
        <v>0.05</v>
      </c>
      <c r="S85" t="s">
        <v>38</v>
      </c>
      <c r="T85">
        <v>96.67</v>
      </c>
    </row>
    <row r="86" spans="1:20" x14ac:dyDescent="0.25">
      <c r="A86">
        <v>100085</v>
      </c>
      <c r="B86" s="6">
        <v>45618</v>
      </c>
      <c r="C86">
        <v>2024</v>
      </c>
      <c r="D86" t="s">
        <v>43</v>
      </c>
      <c r="E86">
        <v>11</v>
      </c>
      <c r="F86" t="s">
        <v>87</v>
      </c>
      <c r="G86" t="s">
        <v>35</v>
      </c>
      <c r="H86" t="s">
        <v>23</v>
      </c>
      <c r="I86" t="s">
        <v>80</v>
      </c>
      <c r="J86" t="s">
        <v>42</v>
      </c>
      <c r="K86" t="s">
        <v>59</v>
      </c>
      <c r="L86" t="s">
        <v>91</v>
      </c>
      <c r="M86">
        <v>68</v>
      </c>
      <c r="N86">
        <v>140</v>
      </c>
      <c r="O86">
        <v>8568</v>
      </c>
      <c r="P86">
        <v>5576</v>
      </c>
      <c r="Q86">
        <v>2992</v>
      </c>
      <c r="R86">
        <v>0.1</v>
      </c>
      <c r="S86" t="s">
        <v>38</v>
      </c>
      <c r="T86">
        <v>413.99</v>
      </c>
    </row>
    <row r="87" spans="1:20" x14ac:dyDescent="0.25">
      <c r="A87">
        <v>100086</v>
      </c>
      <c r="B87" s="6">
        <v>45203</v>
      </c>
      <c r="C87">
        <v>2023</v>
      </c>
      <c r="D87" t="s">
        <v>43</v>
      </c>
      <c r="E87">
        <v>10</v>
      </c>
      <c r="F87" t="s">
        <v>44</v>
      </c>
      <c r="G87" t="s">
        <v>35</v>
      </c>
      <c r="H87" t="s">
        <v>23</v>
      </c>
      <c r="I87" t="s">
        <v>36</v>
      </c>
      <c r="J87" t="s">
        <v>54</v>
      </c>
      <c r="K87" t="s">
        <v>51</v>
      </c>
      <c r="L87" t="s">
        <v>72</v>
      </c>
      <c r="M87">
        <v>103</v>
      </c>
      <c r="N87">
        <v>90</v>
      </c>
      <c r="O87">
        <v>9084.6</v>
      </c>
      <c r="P87">
        <v>5356</v>
      </c>
      <c r="Q87">
        <v>3728.6</v>
      </c>
      <c r="R87">
        <v>0.02</v>
      </c>
      <c r="S87" t="s">
        <v>38</v>
      </c>
      <c r="T87">
        <v>278.72000000000003</v>
      </c>
    </row>
    <row r="88" spans="1:20" x14ac:dyDescent="0.25">
      <c r="A88">
        <v>100087</v>
      </c>
      <c r="B88" s="6">
        <v>45685</v>
      </c>
      <c r="C88">
        <v>2025</v>
      </c>
      <c r="D88" t="s">
        <v>63</v>
      </c>
      <c r="E88">
        <v>1</v>
      </c>
      <c r="F88" t="s">
        <v>79</v>
      </c>
      <c r="G88" t="s">
        <v>22</v>
      </c>
      <c r="H88" t="s">
        <v>23</v>
      </c>
      <c r="I88" t="s">
        <v>24</v>
      </c>
      <c r="J88" t="s">
        <v>50</v>
      </c>
      <c r="K88" t="s">
        <v>32</v>
      </c>
      <c r="L88" t="s">
        <v>37</v>
      </c>
      <c r="M88">
        <v>45</v>
      </c>
      <c r="N88">
        <v>120</v>
      </c>
      <c r="O88">
        <v>4860</v>
      </c>
      <c r="P88">
        <v>3510</v>
      </c>
      <c r="Q88">
        <v>1350</v>
      </c>
      <c r="R88">
        <v>0.1</v>
      </c>
      <c r="S88" t="s">
        <v>28</v>
      </c>
      <c r="T88">
        <v>312.56</v>
      </c>
    </row>
    <row r="89" spans="1:20" x14ac:dyDescent="0.25">
      <c r="A89">
        <v>100088</v>
      </c>
      <c r="B89" s="6">
        <v>44930</v>
      </c>
      <c r="C89">
        <v>2023</v>
      </c>
      <c r="D89" t="s">
        <v>63</v>
      </c>
      <c r="E89">
        <v>1</v>
      </c>
      <c r="F89" t="s">
        <v>79</v>
      </c>
      <c r="G89" t="s">
        <v>22</v>
      </c>
      <c r="H89" t="s">
        <v>23</v>
      </c>
      <c r="I89" t="s">
        <v>41</v>
      </c>
      <c r="J89" t="s">
        <v>31</v>
      </c>
      <c r="K89" t="s">
        <v>55</v>
      </c>
      <c r="L89" t="s">
        <v>84</v>
      </c>
      <c r="M89">
        <v>71</v>
      </c>
      <c r="N89">
        <v>55</v>
      </c>
      <c r="O89">
        <v>3514.5</v>
      </c>
      <c r="P89">
        <v>2627</v>
      </c>
      <c r="Q89">
        <v>887.5</v>
      </c>
      <c r="R89">
        <v>0.1</v>
      </c>
      <c r="S89" t="s">
        <v>70</v>
      </c>
      <c r="T89">
        <v>160.34</v>
      </c>
    </row>
    <row r="90" spans="1:20" x14ac:dyDescent="0.25">
      <c r="A90">
        <v>100089</v>
      </c>
      <c r="B90" s="6">
        <v>45099</v>
      </c>
      <c r="C90">
        <v>2023</v>
      </c>
      <c r="D90" t="s">
        <v>20</v>
      </c>
      <c r="E90">
        <v>6</v>
      </c>
      <c r="F90" t="s">
        <v>48</v>
      </c>
      <c r="G90" t="s">
        <v>29</v>
      </c>
      <c r="H90" t="s">
        <v>23</v>
      </c>
      <c r="I90" t="s">
        <v>73</v>
      </c>
      <c r="J90" t="s">
        <v>42</v>
      </c>
      <c r="K90" t="s">
        <v>32</v>
      </c>
      <c r="L90" t="s">
        <v>33</v>
      </c>
      <c r="M90">
        <v>77</v>
      </c>
      <c r="N90">
        <v>60</v>
      </c>
      <c r="O90">
        <v>4481.3999999999996</v>
      </c>
      <c r="P90">
        <v>2926</v>
      </c>
      <c r="Q90">
        <v>1555.4</v>
      </c>
      <c r="R90">
        <v>0.03</v>
      </c>
      <c r="S90" t="s">
        <v>70</v>
      </c>
      <c r="T90">
        <v>192.34</v>
      </c>
    </row>
    <row r="91" spans="1:20" x14ac:dyDescent="0.25">
      <c r="A91">
        <v>100090</v>
      </c>
      <c r="B91" s="6">
        <v>44927</v>
      </c>
      <c r="C91">
        <v>2023</v>
      </c>
      <c r="D91" t="s">
        <v>63</v>
      </c>
      <c r="E91">
        <v>1</v>
      </c>
      <c r="F91" t="s">
        <v>79</v>
      </c>
      <c r="G91" t="s">
        <v>35</v>
      </c>
      <c r="H91" t="s">
        <v>23</v>
      </c>
      <c r="I91" t="s">
        <v>36</v>
      </c>
      <c r="J91" t="s">
        <v>25</v>
      </c>
      <c r="K91" t="s">
        <v>51</v>
      </c>
      <c r="L91" t="s">
        <v>92</v>
      </c>
      <c r="M91">
        <v>135</v>
      </c>
      <c r="N91">
        <v>50</v>
      </c>
      <c r="O91">
        <v>6750</v>
      </c>
      <c r="P91">
        <v>3915</v>
      </c>
      <c r="Q91">
        <v>2835</v>
      </c>
      <c r="R91">
        <v>0</v>
      </c>
      <c r="S91" t="s">
        <v>70</v>
      </c>
      <c r="T91">
        <v>279.87</v>
      </c>
    </row>
    <row r="92" spans="1:20" x14ac:dyDescent="0.25">
      <c r="A92">
        <v>100091</v>
      </c>
      <c r="B92" s="6">
        <v>45828</v>
      </c>
      <c r="C92">
        <v>2025</v>
      </c>
      <c r="D92" t="s">
        <v>20</v>
      </c>
      <c r="E92">
        <v>6</v>
      </c>
      <c r="F92" t="s">
        <v>48</v>
      </c>
      <c r="G92" t="s">
        <v>35</v>
      </c>
      <c r="H92" t="s">
        <v>23</v>
      </c>
      <c r="I92" t="s">
        <v>80</v>
      </c>
      <c r="J92" t="s">
        <v>68</v>
      </c>
      <c r="K92" t="s">
        <v>32</v>
      </c>
      <c r="L92" t="s">
        <v>74</v>
      </c>
      <c r="M92">
        <v>147</v>
      </c>
      <c r="N92">
        <v>25</v>
      </c>
      <c r="O92">
        <v>3307.5</v>
      </c>
      <c r="P92">
        <v>2058</v>
      </c>
      <c r="Q92">
        <v>1249.5</v>
      </c>
      <c r="R92">
        <v>0.1</v>
      </c>
      <c r="S92" t="s">
        <v>38</v>
      </c>
      <c r="T92">
        <v>108.25</v>
      </c>
    </row>
    <row r="93" spans="1:20" x14ac:dyDescent="0.25">
      <c r="A93">
        <v>100092</v>
      </c>
      <c r="B93" s="6">
        <v>45255</v>
      </c>
      <c r="C93">
        <v>2023</v>
      </c>
      <c r="D93" t="s">
        <v>43</v>
      </c>
      <c r="E93">
        <v>11</v>
      </c>
      <c r="F93" t="s">
        <v>87</v>
      </c>
      <c r="G93" t="s">
        <v>45</v>
      </c>
      <c r="H93" t="s">
        <v>23</v>
      </c>
      <c r="I93" t="s">
        <v>46</v>
      </c>
      <c r="J93" t="s">
        <v>42</v>
      </c>
      <c r="K93" t="s">
        <v>59</v>
      </c>
      <c r="L93" t="s">
        <v>91</v>
      </c>
      <c r="M93">
        <v>47</v>
      </c>
      <c r="N93">
        <v>140</v>
      </c>
      <c r="O93">
        <v>6382.6</v>
      </c>
      <c r="P93">
        <v>3854</v>
      </c>
      <c r="Q93">
        <v>2528.6</v>
      </c>
      <c r="R93">
        <v>0.03</v>
      </c>
      <c r="S93" t="s">
        <v>28</v>
      </c>
      <c r="T93">
        <v>218.21</v>
      </c>
    </row>
    <row r="94" spans="1:20" x14ac:dyDescent="0.25">
      <c r="A94">
        <v>100093</v>
      </c>
      <c r="B94" s="6">
        <v>45162</v>
      </c>
      <c r="C94">
        <v>2023</v>
      </c>
      <c r="D94" t="s">
        <v>39</v>
      </c>
      <c r="E94">
        <v>8</v>
      </c>
      <c r="F94" t="s">
        <v>58</v>
      </c>
      <c r="G94" t="s">
        <v>35</v>
      </c>
      <c r="H94" t="s">
        <v>23</v>
      </c>
      <c r="I94" t="s">
        <v>36</v>
      </c>
      <c r="J94" t="s">
        <v>42</v>
      </c>
      <c r="K94" t="s">
        <v>55</v>
      </c>
      <c r="L94" t="s">
        <v>89</v>
      </c>
      <c r="M94">
        <v>146</v>
      </c>
      <c r="N94">
        <v>280</v>
      </c>
      <c r="O94">
        <v>40062.400000000001</v>
      </c>
      <c r="P94">
        <v>29930</v>
      </c>
      <c r="Q94">
        <v>10132.4</v>
      </c>
      <c r="R94">
        <v>0.02</v>
      </c>
      <c r="S94" t="s">
        <v>57</v>
      </c>
      <c r="T94">
        <v>1436.54</v>
      </c>
    </row>
    <row r="95" spans="1:20" x14ac:dyDescent="0.25">
      <c r="A95">
        <v>100094</v>
      </c>
      <c r="B95" s="6">
        <v>45844</v>
      </c>
      <c r="C95">
        <v>2025</v>
      </c>
      <c r="D95" t="s">
        <v>39</v>
      </c>
      <c r="E95">
        <v>7</v>
      </c>
      <c r="F95" t="s">
        <v>75</v>
      </c>
      <c r="G95" t="s">
        <v>29</v>
      </c>
      <c r="H95" t="s">
        <v>23</v>
      </c>
      <c r="I95" t="s">
        <v>49</v>
      </c>
      <c r="J95" t="s">
        <v>25</v>
      </c>
      <c r="K95" t="s">
        <v>26</v>
      </c>
      <c r="L95" t="s">
        <v>69</v>
      </c>
      <c r="M95">
        <v>114</v>
      </c>
      <c r="N95">
        <v>130</v>
      </c>
      <c r="O95">
        <v>14079</v>
      </c>
      <c r="P95">
        <v>8664</v>
      </c>
      <c r="Q95">
        <v>5415</v>
      </c>
      <c r="R95">
        <v>0.05</v>
      </c>
      <c r="S95" t="s">
        <v>38</v>
      </c>
      <c r="T95">
        <v>830.3</v>
      </c>
    </row>
    <row r="96" spans="1:20" x14ac:dyDescent="0.25">
      <c r="A96">
        <v>100095</v>
      </c>
      <c r="B96" s="6">
        <v>44931</v>
      </c>
      <c r="C96">
        <v>2023</v>
      </c>
      <c r="D96" t="s">
        <v>63</v>
      </c>
      <c r="E96">
        <v>1</v>
      </c>
      <c r="F96" t="s">
        <v>79</v>
      </c>
      <c r="G96" t="s">
        <v>22</v>
      </c>
      <c r="H96" t="s">
        <v>23</v>
      </c>
      <c r="I96" t="s">
        <v>24</v>
      </c>
      <c r="J96" t="s">
        <v>68</v>
      </c>
      <c r="K96" t="s">
        <v>59</v>
      </c>
      <c r="L96" t="s">
        <v>86</v>
      </c>
      <c r="M96">
        <v>141</v>
      </c>
      <c r="N96">
        <v>160</v>
      </c>
      <c r="O96">
        <v>22108.799999999999</v>
      </c>
      <c r="P96">
        <v>13395</v>
      </c>
      <c r="Q96">
        <v>8713.7999999999993</v>
      </c>
      <c r="R96">
        <v>0.02</v>
      </c>
      <c r="S96" t="s">
        <v>57</v>
      </c>
      <c r="T96">
        <v>1047</v>
      </c>
    </row>
    <row r="97" spans="1:20" x14ac:dyDescent="0.25">
      <c r="A97">
        <v>100096</v>
      </c>
      <c r="B97" s="6">
        <v>45542</v>
      </c>
      <c r="C97">
        <v>2024</v>
      </c>
      <c r="D97" t="s">
        <v>39</v>
      </c>
      <c r="E97">
        <v>9</v>
      </c>
      <c r="F97" t="s">
        <v>40</v>
      </c>
      <c r="G97" t="s">
        <v>35</v>
      </c>
      <c r="H97" t="s">
        <v>23</v>
      </c>
      <c r="I97" t="s">
        <v>80</v>
      </c>
      <c r="J97" t="s">
        <v>42</v>
      </c>
      <c r="K97" t="s">
        <v>59</v>
      </c>
      <c r="L97" t="s">
        <v>86</v>
      </c>
      <c r="M97">
        <v>106</v>
      </c>
      <c r="N97">
        <v>160</v>
      </c>
      <c r="O97">
        <v>16112</v>
      </c>
      <c r="P97">
        <v>10070</v>
      </c>
      <c r="Q97">
        <v>6042</v>
      </c>
      <c r="R97">
        <v>0.05</v>
      </c>
      <c r="S97" t="s">
        <v>38</v>
      </c>
      <c r="T97">
        <v>687.17</v>
      </c>
    </row>
    <row r="98" spans="1:20" x14ac:dyDescent="0.25">
      <c r="A98">
        <v>100097</v>
      </c>
      <c r="B98" s="6">
        <v>45933</v>
      </c>
      <c r="C98">
        <v>2025</v>
      </c>
      <c r="D98" t="s">
        <v>43</v>
      </c>
      <c r="E98">
        <v>10</v>
      </c>
      <c r="F98" t="s">
        <v>44</v>
      </c>
      <c r="G98" t="s">
        <v>22</v>
      </c>
      <c r="H98" t="s">
        <v>23</v>
      </c>
      <c r="I98" t="s">
        <v>41</v>
      </c>
      <c r="J98" t="s">
        <v>66</v>
      </c>
      <c r="K98" t="s">
        <v>59</v>
      </c>
      <c r="L98" t="s">
        <v>91</v>
      </c>
      <c r="M98">
        <v>113</v>
      </c>
      <c r="N98">
        <v>140</v>
      </c>
      <c r="O98">
        <v>15029</v>
      </c>
      <c r="P98">
        <v>9266</v>
      </c>
      <c r="Q98">
        <v>5763</v>
      </c>
      <c r="R98">
        <v>0.05</v>
      </c>
      <c r="S98" t="s">
        <v>38</v>
      </c>
      <c r="T98">
        <v>322.06</v>
      </c>
    </row>
    <row r="99" spans="1:20" x14ac:dyDescent="0.25">
      <c r="A99">
        <v>100098</v>
      </c>
      <c r="B99" s="6">
        <v>45480</v>
      </c>
      <c r="C99">
        <v>2024</v>
      </c>
      <c r="D99" t="s">
        <v>39</v>
      </c>
      <c r="E99">
        <v>7</v>
      </c>
      <c r="F99" t="s">
        <v>75</v>
      </c>
      <c r="G99" t="s">
        <v>29</v>
      </c>
      <c r="H99" t="s">
        <v>23</v>
      </c>
      <c r="I99" t="s">
        <v>49</v>
      </c>
      <c r="J99" t="s">
        <v>50</v>
      </c>
      <c r="K99" t="s">
        <v>26</v>
      </c>
      <c r="L99" t="s">
        <v>27</v>
      </c>
      <c r="M99">
        <v>42</v>
      </c>
      <c r="N99">
        <v>110</v>
      </c>
      <c r="O99">
        <v>4481.3999999999996</v>
      </c>
      <c r="P99">
        <v>2856</v>
      </c>
      <c r="Q99">
        <v>1625.4</v>
      </c>
      <c r="R99">
        <v>0.03</v>
      </c>
      <c r="S99" t="s">
        <v>28</v>
      </c>
      <c r="T99">
        <v>287.54000000000002</v>
      </c>
    </row>
    <row r="100" spans="1:20" x14ac:dyDescent="0.25">
      <c r="A100">
        <v>100099</v>
      </c>
      <c r="B100" s="6">
        <v>45947</v>
      </c>
      <c r="C100">
        <v>2025</v>
      </c>
      <c r="D100" t="s">
        <v>43</v>
      </c>
      <c r="E100">
        <v>10</v>
      </c>
      <c r="F100" t="s">
        <v>44</v>
      </c>
      <c r="G100" t="s">
        <v>45</v>
      </c>
      <c r="H100" t="s">
        <v>23</v>
      </c>
      <c r="I100" t="s">
        <v>90</v>
      </c>
      <c r="J100" t="s">
        <v>68</v>
      </c>
      <c r="K100" t="s">
        <v>26</v>
      </c>
      <c r="L100" t="s">
        <v>78</v>
      </c>
      <c r="M100">
        <v>95</v>
      </c>
      <c r="N100">
        <v>95</v>
      </c>
      <c r="O100">
        <v>8573.75</v>
      </c>
      <c r="P100">
        <v>5510</v>
      </c>
      <c r="Q100">
        <v>3063.75</v>
      </c>
      <c r="R100">
        <v>0.05</v>
      </c>
      <c r="S100" t="s">
        <v>38</v>
      </c>
      <c r="T100">
        <v>361.55</v>
      </c>
    </row>
    <row r="101" spans="1:20" x14ac:dyDescent="0.25">
      <c r="A101">
        <v>100100</v>
      </c>
      <c r="B101" s="6">
        <v>45732</v>
      </c>
      <c r="C101">
        <v>2025</v>
      </c>
      <c r="D101" t="s">
        <v>63</v>
      </c>
      <c r="E101">
        <v>3</v>
      </c>
      <c r="F101" t="s">
        <v>64</v>
      </c>
      <c r="G101" t="s">
        <v>45</v>
      </c>
      <c r="H101" t="s">
        <v>23</v>
      </c>
      <c r="I101" t="s">
        <v>90</v>
      </c>
      <c r="J101" t="s">
        <v>54</v>
      </c>
      <c r="K101" t="s">
        <v>51</v>
      </c>
      <c r="L101" t="s">
        <v>92</v>
      </c>
      <c r="M101">
        <v>24</v>
      </c>
      <c r="N101">
        <v>50</v>
      </c>
      <c r="O101">
        <v>1140</v>
      </c>
      <c r="P101">
        <v>696</v>
      </c>
      <c r="Q101">
        <v>444</v>
      </c>
      <c r="R101">
        <v>0.05</v>
      </c>
      <c r="S101" t="s">
        <v>70</v>
      </c>
      <c r="T101">
        <v>26.5</v>
      </c>
    </row>
    <row r="102" spans="1:20" x14ac:dyDescent="0.25">
      <c r="A102">
        <v>100101</v>
      </c>
      <c r="B102" s="6">
        <v>45056</v>
      </c>
      <c r="C102">
        <v>2023</v>
      </c>
      <c r="D102" t="s">
        <v>20</v>
      </c>
      <c r="E102">
        <v>5</v>
      </c>
      <c r="F102" t="s">
        <v>21</v>
      </c>
      <c r="G102" t="s">
        <v>22</v>
      </c>
      <c r="H102" t="s">
        <v>23</v>
      </c>
      <c r="I102" t="s">
        <v>24</v>
      </c>
      <c r="J102" t="s">
        <v>50</v>
      </c>
      <c r="K102" t="s">
        <v>59</v>
      </c>
      <c r="L102" t="s">
        <v>91</v>
      </c>
      <c r="M102">
        <v>45</v>
      </c>
      <c r="N102">
        <v>140</v>
      </c>
      <c r="O102">
        <v>5985</v>
      </c>
      <c r="P102">
        <v>3690</v>
      </c>
      <c r="Q102">
        <v>2295</v>
      </c>
      <c r="R102">
        <v>0.05</v>
      </c>
      <c r="S102" t="s">
        <v>38</v>
      </c>
      <c r="T102">
        <v>286.95999999999998</v>
      </c>
    </row>
    <row r="103" spans="1:20" x14ac:dyDescent="0.25">
      <c r="A103">
        <v>100102</v>
      </c>
      <c r="B103" s="6">
        <v>45798</v>
      </c>
      <c r="C103">
        <v>2025</v>
      </c>
      <c r="D103" t="s">
        <v>20</v>
      </c>
      <c r="E103">
        <v>5</v>
      </c>
      <c r="F103" t="s">
        <v>21</v>
      </c>
      <c r="G103" t="s">
        <v>35</v>
      </c>
      <c r="H103" t="s">
        <v>23</v>
      </c>
      <c r="I103" t="s">
        <v>36</v>
      </c>
      <c r="J103" t="s">
        <v>61</v>
      </c>
      <c r="K103" t="s">
        <v>51</v>
      </c>
      <c r="L103" t="s">
        <v>52</v>
      </c>
      <c r="M103">
        <v>99</v>
      </c>
      <c r="N103">
        <v>75</v>
      </c>
      <c r="O103">
        <v>6682.5</v>
      </c>
      <c r="P103">
        <v>4356</v>
      </c>
      <c r="Q103">
        <v>2326.5</v>
      </c>
      <c r="R103">
        <v>0.1</v>
      </c>
      <c r="S103" t="s">
        <v>38</v>
      </c>
      <c r="T103">
        <v>156.6</v>
      </c>
    </row>
    <row r="104" spans="1:20" x14ac:dyDescent="0.25">
      <c r="A104">
        <v>100103</v>
      </c>
      <c r="B104" s="6">
        <v>45911</v>
      </c>
      <c r="C104">
        <v>2025</v>
      </c>
      <c r="D104" t="s">
        <v>39</v>
      </c>
      <c r="E104">
        <v>9</v>
      </c>
      <c r="F104" t="s">
        <v>40</v>
      </c>
      <c r="G104" t="s">
        <v>45</v>
      </c>
      <c r="H104" t="s">
        <v>23</v>
      </c>
      <c r="I104" t="s">
        <v>90</v>
      </c>
      <c r="J104" t="s">
        <v>61</v>
      </c>
      <c r="K104" t="s">
        <v>26</v>
      </c>
      <c r="L104" t="s">
        <v>69</v>
      </c>
      <c r="M104">
        <v>109</v>
      </c>
      <c r="N104">
        <v>130</v>
      </c>
      <c r="O104">
        <v>13036.4</v>
      </c>
      <c r="P104">
        <v>8284</v>
      </c>
      <c r="Q104">
        <v>4752.3999999999996</v>
      </c>
      <c r="R104">
        <v>0.08</v>
      </c>
      <c r="S104" t="s">
        <v>57</v>
      </c>
      <c r="T104">
        <v>762.04</v>
      </c>
    </row>
    <row r="105" spans="1:20" x14ac:dyDescent="0.25">
      <c r="A105">
        <v>100104</v>
      </c>
      <c r="B105" s="6">
        <v>45935</v>
      </c>
      <c r="C105">
        <v>2025</v>
      </c>
      <c r="D105" t="s">
        <v>43</v>
      </c>
      <c r="E105">
        <v>10</v>
      </c>
      <c r="F105" t="s">
        <v>44</v>
      </c>
      <c r="G105" t="s">
        <v>29</v>
      </c>
      <c r="H105" t="s">
        <v>23</v>
      </c>
      <c r="I105" t="s">
        <v>30</v>
      </c>
      <c r="J105" t="s">
        <v>66</v>
      </c>
      <c r="K105" t="s">
        <v>59</v>
      </c>
      <c r="L105" t="s">
        <v>86</v>
      </c>
      <c r="M105">
        <v>60</v>
      </c>
      <c r="N105">
        <v>160</v>
      </c>
      <c r="O105">
        <v>9120</v>
      </c>
      <c r="P105">
        <v>5700</v>
      </c>
      <c r="Q105">
        <v>3420</v>
      </c>
      <c r="R105">
        <v>0.05</v>
      </c>
      <c r="S105" t="s">
        <v>28</v>
      </c>
      <c r="T105">
        <v>605.48</v>
      </c>
    </row>
    <row r="106" spans="1:20" x14ac:dyDescent="0.25">
      <c r="A106">
        <v>100105</v>
      </c>
      <c r="B106" s="6">
        <v>45740</v>
      </c>
      <c r="C106">
        <v>2025</v>
      </c>
      <c r="D106" t="s">
        <v>63</v>
      </c>
      <c r="E106">
        <v>3</v>
      </c>
      <c r="F106" t="s">
        <v>64</v>
      </c>
      <c r="G106" t="s">
        <v>45</v>
      </c>
      <c r="H106" t="s">
        <v>23</v>
      </c>
      <c r="I106" t="s">
        <v>46</v>
      </c>
      <c r="J106" t="s">
        <v>25</v>
      </c>
      <c r="K106" t="s">
        <v>32</v>
      </c>
      <c r="L106" t="s">
        <v>47</v>
      </c>
      <c r="M106">
        <v>66</v>
      </c>
      <c r="N106">
        <v>180</v>
      </c>
      <c r="O106">
        <v>11642.4</v>
      </c>
      <c r="P106">
        <v>7590</v>
      </c>
      <c r="Q106">
        <v>4052.4</v>
      </c>
      <c r="R106">
        <v>0.02</v>
      </c>
      <c r="S106" t="s">
        <v>70</v>
      </c>
      <c r="T106">
        <v>374.06</v>
      </c>
    </row>
    <row r="107" spans="1:20" x14ac:dyDescent="0.25">
      <c r="A107">
        <v>100106</v>
      </c>
      <c r="B107" s="6">
        <v>45587</v>
      </c>
      <c r="C107">
        <v>2024</v>
      </c>
      <c r="D107" t="s">
        <v>43</v>
      </c>
      <c r="E107">
        <v>10</v>
      </c>
      <c r="F107" t="s">
        <v>44</v>
      </c>
      <c r="G107" t="s">
        <v>22</v>
      </c>
      <c r="H107" t="s">
        <v>23</v>
      </c>
      <c r="I107" t="s">
        <v>71</v>
      </c>
      <c r="J107" t="s">
        <v>54</v>
      </c>
      <c r="K107" t="s">
        <v>26</v>
      </c>
      <c r="L107" t="s">
        <v>78</v>
      </c>
      <c r="M107">
        <v>66</v>
      </c>
      <c r="N107">
        <v>95</v>
      </c>
      <c r="O107">
        <v>6270</v>
      </c>
      <c r="P107">
        <v>3828</v>
      </c>
      <c r="Q107">
        <v>2442</v>
      </c>
      <c r="R107">
        <v>0</v>
      </c>
      <c r="S107" t="s">
        <v>70</v>
      </c>
      <c r="T107">
        <v>209.06</v>
      </c>
    </row>
    <row r="108" spans="1:20" x14ac:dyDescent="0.25">
      <c r="A108">
        <v>100107</v>
      </c>
      <c r="B108" s="6">
        <v>45001</v>
      </c>
      <c r="C108">
        <v>2023</v>
      </c>
      <c r="D108" t="s">
        <v>63</v>
      </c>
      <c r="E108">
        <v>3</v>
      </c>
      <c r="F108" t="s">
        <v>64</v>
      </c>
      <c r="G108" t="s">
        <v>35</v>
      </c>
      <c r="H108" t="s">
        <v>23</v>
      </c>
      <c r="I108" t="s">
        <v>36</v>
      </c>
      <c r="J108" t="s">
        <v>50</v>
      </c>
      <c r="K108" t="s">
        <v>59</v>
      </c>
      <c r="L108" t="s">
        <v>67</v>
      </c>
      <c r="M108">
        <v>100</v>
      </c>
      <c r="N108">
        <v>95</v>
      </c>
      <c r="O108">
        <v>9215</v>
      </c>
      <c r="P108">
        <v>5600</v>
      </c>
      <c r="Q108">
        <v>3615</v>
      </c>
      <c r="R108">
        <v>0.03</v>
      </c>
      <c r="S108" t="s">
        <v>28</v>
      </c>
      <c r="T108">
        <v>252.06</v>
      </c>
    </row>
    <row r="109" spans="1:20" x14ac:dyDescent="0.25">
      <c r="A109">
        <v>100108</v>
      </c>
      <c r="B109" s="6">
        <v>45590</v>
      </c>
      <c r="C109">
        <v>2024</v>
      </c>
      <c r="D109" t="s">
        <v>43</v>
      </c>
      <c r="E109">
        <v>10</v>
      </c>
      <c r="F109" t="s">
        <v>44</v>
      </c>
      <c r="G109" t="s">
        <v>45</v>
      </c>
      <c r="H109" t="s">
        <v>23</v>
      </c>
      <c r="I109" t="s">
        <v>90</v>
      </c>
      <c r="J109" t="s">
        <v>25</v>
      </c>
      <c r="K109" t="s">
        <v>32</v>
      </c>
      <c r="L109" t="s">
        <v>37</v>
      </c>
      <c r="M109">
        <v>97</v>
      </c>
      <c r="N109">
        <v>120</v>
      </c>
      <c r="O109">
        <v>11407.2</v>
      </c>
      <c r="P109">
        <v>7566</v>
      </c>
      <c r="Q109">
        <v>3841.2</v>
      </c>
      <c r="R109">
        <v>0.02</v>
      </c>
      <c r="S109" t="s">
        <v>70</v>
      </c>
      <c r="T109">
        <v>660.79</v>
      </c>
    </row>
    <row r="110" spans="1:20" x14ac:dyDescent="0.25">
      <c r="A110">
        <v>100109</v>
      </c>
      <c r="B110" s="6">
        <v>45082</v>
      </c>
      <c r="C110">
        <v>2023</v>
      </c>
      <c r="D110" t="s">
        <v>20</v>
      </c>
      <c r="E110">
        <v>6</v>
      </c>
      <c r="F110" t="s">
        <v>48</v>
      </c>
      <c r="G110" t="s">
        <v>35</v>
      </c>
      <c r="H110" t="s">
        <v>23</v>
      </c>
      <c r="I110" t="s">
        <v>77</v>
      </c>
      <c r="J110" t="s">
        <v>66</v>
      </c>
      <c r="K110" t="s">
        <v>59</v>
      </c>
      <c r="L110" t="s">
        <v>60</v>
      </c>
      <c r="M110">
        <v>93</v>
      </c>
      <c r="N110">
        <v>45</v>
      </c>
      <c r="O110">
        <v>4059.45</v>
      </c>
      <c r="P110">
        <v>2511</v>
      </c>
      <c r="Q110">
        <v>1548.45</v>
      </c>
      <c r="R110">
        <v>0.03</v>
      </c>
      <c r="S110" t="s">
        <v>38</v>
      </c>
      <c r="T110">
        <v>185.32</v>
      </c>
    </row>
    <row r="111" spans="1:20" x14ac:dyDescent="0.25">
      <c r="A111">
        <v>100110</v>
      </c>
      <c r="B111" s="6">
        <v>45487</v>
      </c>
      <c r="C111">
        <v>2024</v>
      </c>
      <c r="D111" t="s">
        <v>39</v>
      </c>
      <c r="E111">
        <v>7</v>
      </c>
      <c r="F111" t="s">
        <v>75</v>
      </c>
      <c r="G111" t="s">
        <v>22</v>
      </c>
      <c r="H111" t="s">
        <v>23</v>
      </c>
      <c r="I111" t="s">
        <v>71</v>
      </c>
      <c r="J111" t="s">
        <v>66</v>
      </c>
      <c r="K111" t="s">
        <v>51</v>
      </c>
      <c r="L111" t="s">
        <v>76</v>
      </c>
      <c r="M111">
        <v>132</v>
      </c>
      <c r="N111">
        <v>40</v>
      </c>
      <c r="O111">
        <v>5016</v>
      </c>
      <c r="P111">
        <v>3036</v>
      </c>
      <c r="Q111">
        <v>1980</v>
      </c>
      <c r="R111">
        <v>0.05</v>
      </c>
      <c r="S111" t="s">
        <v>38</v>
      </c>
      <c r="T111">
        <v>171.63</v>
      </c>
    </row>
    <row r="112" spans="1:20" x14ac:dyDescent="0.25">
      <c r="A112">
        <v>100111</v>
      </c>
      <c r="B112" s="6">
        <v>45355</v>
      </c>
      <c r="C112">
        <v>2024</v>
      </c>
      <c r="D112" t="s">
        <v>63</v>
      </c>
      <c r="E112">
        <v>3</v>
      </c>
      <c r="F112" t="s">
        <v>64</v>
      </c>
      <c r="G112" t="s">
        <v>45</v>
      </c>
      <c r="H112" t="s">
        <v>23</v>
      </c>
      <c r="I112" t="s">
        <v>88</v>
      </c>
      <c r="J112" t="s">
        <v>68</v>
      </c>
      <c r="K112" t="s">
        <v>26</v>
      </c>
      <c r="L112" t="s">
        <v>69</v>
      </c>
      <c r="M112">
        <v>27</v>
      </c>
      <c r="N112">
        <v>130</v>
      </c>
      <c r="O112">
        <v>3439.8</v>
      </c>
      <c r="P112">
        <v>2052</v>
      </c>
      <c r="Q112">
        <v>1387.8</v>
      </c>
      <c r="R112">
        <v>0.02</v>
      </c>
      <c r="S112" t="s">
        <v>70</v>
      </c>
      <c r="T112">
        <v>186.69</v>
      </c>
    </row>
    <row r="113" spans="1:20" x14ac:dyDescent="0.25">
      <c r="A113">
        <v>100112</v>
      </c>
      <c r="B113" s="6">
        <v>45914</v>
      </c>
      <c r="C113">
        <v>2025</v>
      </c>
      <c r="D113" t="s">
        <v>39</v>
      </c>
      <c r="E113">
        <v>9</v>
      </c>
      <c r="F113" t="s">
        <v>40</v>
      </c>
      <c r="G113" t="s">
        <v>45</v>
      </c>
      <c r="H113" t="s">
        <v>23</v>
      </c>
      <c r="I113" t="s">
        <v>88</v>
      </c>
      <c r="J113" t="s">
        <v>54</v>
      </c>
      <c r="K113" t="s">
        <v>59</v>
      </c>
      <c r="L113" t="s">
        <v>67</v>
      </c>
      <c r="M113">
        <v>72</v>
      </c>
      <c r="N113">
        <v>95</v>
      </c>
      <c r="O113">
        <v>6840</v>
      </c>
      <c r="P113">
        <v>4032</v>
      </c>
      <c r="Q113">
        <v>2808</v>
      </c>
      <c r="R113">
        <v>0</v>
      </c>
      <c r="S113" t="s">
        <v>28</v>
      </c>
      <c r="T113">
        <v>228.39</v>
      </c>
    </row>
    <row r="114" spans="1:20" x14ac:dyDescent="0.25">
      <c r="A114">
        <v>100113</v>
      </c>
      <c r="B114" s="6">
        <v>45726</v>
      </c>
      <c r="C114">
        <v>2025</v>
      </c>
      <c r="D114" t="s">
        <v>63</v>
      </c>
      <c r="E114">
        <v>3</v>
      </c>
      <c r="F114" t="s">
        <v>64</v>
      </c>
      <c r="G114" t="s">
        <v>35</v>
      </c>
      <c r="H114" t="s">
        <v>23</v>
      </c>
      <c r="I114" t="s">
        <v>36</v>
      </c>
      <c r="J114" t="s">
        <v>31</v>
      </c>
      <c r="K114" t="s">
        <v>55</v>
      </c>
      <c r="L114" t="s">
        <v>84</v>
      </c>
      <c r="M114">
        <v>133</v>
      </c>
      <c r="N114">
        <v>55</v>
      </c>
      <c r="O114">
        <v>6729.8</v>
      </c>
      <c r="P114">
        <v>4921</v>
      </c>
      <c r="Q114">
        <v>1808.8</v>
      </c>
      <c r="R114">
        <v>0.08</v>
      </c>
      <c r="S114" t="s">
        <v>57</v>
      </c>
      <c r="T114">
        <v>463.29</v>
      </c>
    </row>
    <row r="115" spans="1:20" x14ac:dyDescent="0.25">
      <c r="A115">
        <v>100114</v>
      </c>
      <c r="B115" s="6">
        <v>45958</v>
      </c>
      <c r="C115">
        <v>2025</v>
      </c>
      <c r="D115" t="s">
        <v>43</v>
      </c>
      <c r="E115">
        <v>10</v>
      </c>
      <c r="F115" t="s">
        <v>44</v>
      </c>
      <c r="G115" t="s">
        <v>45</v>
      </c>
      <c r="H115" t="s">
        <v>23</v>
      </c>
      <c r="I115" t="s">
        <v>46</v>
      </c>
      <c r="J115" t="s">
        <v>25</v>
      </c>
      <c r="K115" t="s">
        <v>51</v>
      </c>
      <c r="L115" t="s">
        <v>72</v>
      </c>
      <c r="M115">
        <v>81</v>
      </c>
      <c r="N115">
        <v>90</v>
      </c>
      <c r="O115">
        <v>7290</v>
      </c>
      <c r="P115">
        <v>4212</v>
      </c>
      <c r="Q115">
        <v>3078</v>
      </c>
      <c r="R115">
        <v>0</v>
      </c>
      <c r="S115" t="s">
        <v>28</v>
      </c>
      <c r="T115">
        <v>430.08</v>
      </c>
    </row>
    <row r="116" spans="1:20" x14ac:dyDescent="0.25">
      <c r="A116">
        <v>100115</v>
      </c>
      <c r="B116" s="6">
        <v>45933</v>
      </c>
      <c r="C116">
        <v>2025</v>
      </c>
      <c r="D116" t="s">
        <v>43</v>
      </c>
      <c r="E116">
        <v>10</v>
      </c>
      <c r="F116" t="s">
        <v>44</v>
      </c>
      <c r="G116" t="s">
        <v>29</v>
      </c>
      <c r="H116" t="s">
        <v>23</v>
      </c>
      <c r="I116" t="s">
        <v>85</v>
      </c>
      <c r="J116" t="s">
        <v>31</v>
      </c>
      <c r="K116" t="s">
        <v>26</v>
      </c>
      <c r="L116" t="s">
        <v>82</v>
      </c>
      <c r="M116">
        <v>87</v>
      </c>
      <c r="N116">
        <v>105</v>
      </c>
      <c r="O116">
        <v>8678.25</v>
      </c>
      <c r="P116">
        <v>5307</v>
      </c>
      <c r="Q116">
        <v>3371.25</v>
      </c>
      <c r="R116">
        <v>0.05</v>
      </c>
      <c r="S116" t="s">
        <v>38</v>
      </c>
      <c r="T116">
        <v>515.29</v>
      </c>
    </row>
    <row r="117" spans="1:20" x14ac:dyDescent="0.25">
      <c r="A117">
        <v>100116</v>
      </c>
      <c r="B117" s="6">
        <v>45091</v>
      </c>
      <c r="C117">
        <v>2023</v>
      </c>
      <c r="D117" t="s">
        <v>20</v>
      </c>
      <c r="E117">
        <v>6</v>
      </c>
      <c r="F117" t="s">
        <v>48</v>
      </c>
      <c r="G117" t="s">
        <v>35</v>
      </c>
      <c r="H117" t="s">
        <v>23</v>
      </c>
      <c r="I117" t="s">
        <v>77</v>
      </c>
      <c r="J117" t="s">
        <v>61</v>
      </c>
      <c r="K117" t="s">
        <v>51</v>
      </c>
      <c r="L117" t="s">
        <v>52</v>
      </c>
      <c r="M117">
        <v>16</v>
      </c>
      <c r="N117">
        <v>75</v>
      </c>
      <c r="O117">
        <v>1140</v>
      </c>
      <c r="P117">
        <v>704</v>
      </c>
      <c r="Q117">
        <v>436</v>
      </c>
      <c r="R117">
        <v>0.05</v>
      </c>
      <c r="S117" t="s">
        <v>38</v>
      </c>
      <c r="T117">
        <v>63.24</v>
      </c>
    </row>
    <row r="118" spans="1:20" x14ac:dyDescent="0.25">
      <c r="A118">
        <v>100117</v>
      </c>
      <c r="B118" s="6">
        <v>45841</v>
      </c>
      <c r="C118">
        <v>2025</v>
      </c>
      <c r="D118" t="s">
        <v>39</v>
      </c>
      <c r="E118">
        <v>7</v>
      </c>
      <c r="F118" t="s">
        <v>75</v>
      </c>
      <c r="G118" t="s">
        <v>29</v>
      </c>
      <c r="H118" t="s">
        <v>23</v>
      </c>
      <c r="I118" t="s">
        <v>73</v>
      </c>
      <c r="J118" t="s">
        <v>68</v>
      </c>
      <c r="K118" t="s">
        <v>51</v>
      </c>
      <c r="L118" t="s">
        <v>76</v>
      </c>
      <c r="M118">
        <v>138</v>
      </c>
      <c r="N118">
        <v>40</v>
      </c>
      <c r="O118">
        <v>5078.3999999999996</v>
      </c>
      <c r="P118">
        <v>3174</v>
      </c>
      <c r="Q118">
        <v>1904.4</v>
      </c>
      <c r="R118">
        <v>0.08</v>
      </c>
      <c r="S118" t="s">
        <v>57</v>
      </c>
      <c r="T118">
        <v>171.65</v>
      </c>
    </row>
    <row r="119" spans="1:20" x14ac:dyDescent="0.25">
      <c r="A119">
        <v>100118</v>
      </c>
      <c r="B119" s="6">
        <v>45633</v>
      </c>
      <c r="C119">
        <v>2024</v>
      </c>
      <c r="D119" t="s">
        <v>43</v>
      </c>
      <c r="E119">
        <v>12</v>
      </c>
      <c r="F119" t="s">
        <v>83</v>
      </c>
      <c r="G119" t="s">
        <v>22</v>
      </c>
      <c r="H119" t="s">
        <v>23</v>
      </c>
      <c r="I119" t="s">
        <v>24</v>
      </c>
      <c r="J119" t="s">
        <v>68</v>
      </c>
      <c r="K119" t="s">
        <v>51</v>
      </c>
      <c r="L119" t="s">
        <v>92</v>
      </c>
      <c r="M119">
        <v>46</v>
      </c>
      <c r="N119">
        <v>50</v>
      </c>
      <c r="O119">
        <v>2231</v>
      </c>
      <c r="P119">
        <v>1334</v>
      </c>
      <c r="Q119">
        <v>897</v>
      </c>
      <c r="R119">
        <v>0.03</v>
      </c>
      <c r="S119" t="s">
        <v>28</v>
      </c>
      <c r="T119">
        <v>101.2</v>
      </c>
    </row>
    <row r="120" spans="1:20" x14ac:dyDescent="0.25">
      <c r="A120">
        <v>100119</v>
      </c>
      <c r="B120" s="6">
        <v>45780</v>
      </c>
      <c r="C120">
        <v>2025</v>
      </c>
      <c r="D120" t="s">
        <v>20</v>
      </c>
      <c r="E120">
        <v>5</v>
      </c>
      <c r="F120" t="s">
        <v>21</v>
      </c>
      <c r="G120" t="s">
        <v>29</v>
      </c>
      <c r="H120" t="s">
        <v>23</v>
      </c>
      <c r="I120" t="s">
        <v>49</v>
      </c>
      <c r="J120" t="s">
        <v>31</v>
      </c>
      <c r="K120" t="s">
        <v>32</v>
      </c>
      <c r="L120" t="s">
        <v>33</v>
      </c>
      <c r="M120">
        <v>129</v>
      </c>
      <c r="N120">
        <v>60</v>
      </c>
      <c r="O120">
        <v>6966</v>
      </c>
      <c r="P120">
        <v>4902</v>
      </c>
      <c r="Q120">
        <v>2064</v>
      </c>
      <c r="R120">
        <v>0.1</v>
      </c>
      <c r="S120" t="s">
        <v>70</v>
      </c>
      <c r="T120">
        <v>284.97000000000003</v>
      </c>
    </row>
    <row r="121" spans="1:20" x14ac:dyDescent="0.25">
      <c r="A121">
        <v>100120</v>
      </c>
      <c r="B121" s="6">
        <v>45452</v>
      </c>
      <c r="C121">
        <v>2024</v>
      </c>
      <c r="D121" t="s">
        <v>20</v>
      </c>
      <c r="E121">
        <v>6</v>
      </c>
      <c r="F121" t="s">
        <v>48</v>
      </c>
      <c r="G121" t="s">
        <v>45</v>
      </c>
      <c r="H121" t="s">
        <v>23</v>
      </c>
      <c r="I121" t="s">
        <v>62</v>
      </c>
      <c r="J121" t="s">
        <v>66</v>
      </c>
      <c r="K121" t="s">
        <v>26</v>
      </c>
      <c r="L121" t="s">
        <v>27</v>
      </c>
      <c r="M121">
        <v>112</v>
      </c>
      <c r="N121">
        <v>110</v>
      </c>
      <c r="O121">
        <v>12073.6</v>
      </c>
      <c r="P121">
        <v>7616</v>
      </c>
      <c r="Q121">
        <v>4457.6000000000004</v>
      </c>
      <c r="R121">
        <v>0.02</v>
      </c>
      <c r="S121" t="s">
        <v>28</v>
      </c>
      <c r="T121">
        <v>609.45000000000005</v>
      </c>
    </row>
    <row r="122" spans="1:20" x14ac:dyDescent="0.25">
      <c r="A122">
        <v>100121</v>
      </c>
      <c r="B122" s="6">
        <v>45368</v>
      </c>
      <c r="C122">
        <v>2024</v>
      </c>
      <c r="D122" t="s">
        <v>63</v>
      </c>
      <c r="E122">
        <v>3</v>
      </c>
      <c r="F122" t="s">
        <v>64</v>
      </c>
      <c r="G122" t="s">
        <v>45</v>
      </c>
      <c r="H122" t="s">
        <v>23</v>
      </c>
      <c r="I122" t="s">
        <v>46</v>
      </c>
      <c r="J122" t="s">
        <v>68</v>
      </c>
      <c r="K122" t="s">
        <v>26</v>
      </c>
      <c r="L122" t="s">
        <v>27</v>
      </c>
      <c r="M122">
        <v>84</v>
      </c>
      <c r="N122">
        <v>110</v>
      </c>
      <c r="O122">
        <v>8500.7999999999993</v>
      </c>
      <c r="P122">
        <v>5712</v>
      </c>
      <c r="Q122">
        <v>2788.8</v>
      </c>
      <c r="R122">
        <v>0.08</v>
      </c>
      <c r="S122" t="s">
        <v>70</v>
      </c>
      <c r="T122">
        <v>375.15</v>
      </c>
    </row>
    <row r="123" spans="1:20" x14ac:dyDescent="0.25">
      <c r="A123">
        <v>100122</v>
      </c>
      <c r="B123" s="6">
        <v>45860</v>
      </c>
      <c r="C123">
        <v>2025</v>
      </c>
      <c r="D123" t="s">
        <v>39</v>
      </c>
      <c r="E123">
        <v>7</v>
      </c>
      <c r="F123" t="s">
        <v>75</v>
      </c>
      <c r="G123" t="s">
        <v>35</v>
      </c>
      <c r="H123" t="s">
        <v>23</v>
      </c>
      <c r="I123" t="s">
        <v>77</v>
      </c>
      <c r="J123" t="s">
        <v>66</v>
      </c>
      <c r="K123" t="s">
        <v>51</v>
      </c>
      <c r="L123" t="s">
        <v>76</v>
      </c>
      <c r="M123">
        <v>131</v>
      </c>
      <c r="N123">
        <v>40</v>
      </c>
      <c r="O123">
        <v>4978</v>
      </c>
      <c r="P123">
        <v>3013</v>
      </c>
      <c r="Q123">
        <v>1965</v>
      </c>
      <c r="R123">
        <v>0.05</v>
      </c>
      <c r="S123" t="s">
        <v>38</v>
      </c>
      <c r="T123">
        <v>103.85</v>
      </c>
    </row>
    <row r="124" spans="1:20" x14ac:dyDescent="0.25">
      <c r="A124">
        <v>100123</v>
      </c>
      <c r="B124" s="6">
        <v>45572</v>
      </c>
      <c r="C124">
        <v>2024</v>
      </c>
      <c r="D124" t="s">
        <v>43</v>
      </c>
      <c r="E124">
        <v>10</v>
      </c>
      <c r="F124" t="s">
        <v>44</v>
      </c>
      <c r="G124" t="s">
        <v>22</v>
      </c>
      <c r="H124" t="s">
        <v>23</v>
      </c>
      <c r="I124" t="s">
        <v>65</v>
      </c>
      <c r="J124" t="s">
        <v>68</v>
      </c>
      <c r="K124" t="s">
        <v>51</v>
      </c>
      <c r="L124" t="s">
        <v>92</v>
      </c>
      <c r="M124">
        <v>62</v>
      </c>
      <c r="N124">
        <v>50</v>
      </c>
      <c r="O124">
        <v>3100</v>
      </c>
      <c r="P124">
        <v>1798</v>
      </c>
      <c r="Q124">
        <v>1302</v>
      </c>
      <c r="R124">
        <v>0</v>
      </c>
      <c r="S124" t="s">
        <v>70</v>
      </c>
      <c r="T124">
        <v>202.41</v>
      </c>
    </row>
    <row r="125" spans="1:20" x14ac:dyDescent="0.25">
      <c r="A125">
        <v>100124</v>
      </c>
      <c r="B125" s="6">
        <v>45628</v>
      </c>
      <c r="C125">
        <v>2024</v>
      </c>
      <c r="D125" t="s">
        <v>43</v>
      </c>
      <c r="E125">
        <v>12</v>
      </c>
      <c r="F125" t="s">
        <v>83</v>
      </c>
      <c r="G125" t="s">
        <v>35</v>
      </c>
      <c r="H125" t="s">
        <v>23</v>
      </c>
      <c r="I125" t="s">
        <v>36</v>
      </c>
      <c r="J125" t="s">
        <v>50</v>
      </c>
      <c r="K125" t="s">
        <v>32</v>
      </c>
      <c r="L125" t="s">
        <v>47</v>
      </c>
      <c r="M125">
        <v>63</v>
      </c>
      <c r="N125">
        <v>180</v>
      </c>
      <c r="O125">
        <v>10773</v>
      </c>
      <c r="P125">
        <v>7245</v>
      </c>
      <c r="Q125">
        <v>3528</v>
      </c>
      <c r="R125">
        <v>0.05</v>
      </c>
      <c r="S125" t="s">
        <v>57</v>
      </c>
      <c r="T125">
        <v>210.65</v>
      </c>
    </row>
    <row r="126" spans="1:20" x14ac:dyDescent="0.25">
      <c r="A126">
        <v>100125</v>
      </c>
      <c r="B126" s="6">
        <v>44955</v>
      </c>
      <c r="C126">
        <v>2023</v>
      </c>
      <c r="D126" t="s">
        <v>63</v>
      </c>
      <c r="E126">
        <v>1</v>
      </c>
      <c r="F126" t="s">
        <v>79</v>
      </c>
      <c r="G126" t="s">
        <v>45</v>
      </c>
      <c r="H126" t="s">
        <v>23</v>
      </c>
      <c r="I126" t="s">
        <v>90</v>
      </c>
      <c r="J126" t="s">
        <v>66</v>
      </c>
      <c r="K126" t="s">
        <v>51</v>
      </c>
      <c r="L126" t="s">
        <v>72</v>
      </c>
      <c r="M126">
        <v>122</v>
      </c>
      <c r="N126">
        <v>90</v>
      </c>
      <c r="O126">
        <v>10431</v>
      </c>
      <c r="P126">
        <v>6344</v>
      </c>
      <c r="Q126">
        <v>4087</v>
      </c>
      <c r="R126">
        <v>0.05</v>
      </c>
      <c r="S126" t="s">
        <v>70</v>
      </c>
      <c r="T126">
        <v>506.66</v>
      </c>
    </row>
    <row r="127" spans="1:20" x14ac:dyDescent="0.25">
      <c r="A127">
        <v>100126</v>
      </c>
      <c r="B127" s="6">
        <v>45549</v>
      </c>
      <c r="C127">
        <v>2024</v>
      </c>
      <c r="D127" t="s">
        <v>39</v>
      </c>
      <c r="E127">
        <v>9</v>
      </c>
      <c r="F127" t="s">
        <v>40</v>
      </c>
      <c r="G127" t="s">
        <v>29</v>
      </c>
      <c r="H127" t="s">
        <v>23</v>
      </c>
      <c r="I127" t="s">
        <v>85</v>
      </c>
      <c r="J127" t="s">
        <v>25</v>
      </c>
      <c r="K127" t="s">
        <v>32</v>
      </c>
      <c r="L127" t="s">
        <v>47</v>
      </c>
      <c r="M127">
        <v>42</v>
      </c>
      <c r="N127">
        <v>180</v>
      </c>
      <c r="O127">
        <v>7408.8</v>
      </c>
      <c r="P127">
        <v>4830</v>
      </c>
      <c r="Q127">
        <v>2578.8000000000002</v>
      </c>
      <c r="R127">
        <v>0.02</v>
      </c>
      <c r="S127" t="s">
        <v>70</v>
      </c>
      <c r="T127">
        <v>331.11</v>
      </c>
    </row>
    <row r="128" spans="1:20" x14ac:dyDescent="0.25">
      <c r="A128">
        <v>100127</v>
      </c>
      <c r="B128" s="6">
        <v>45884</v>
      </c>
      <c r="C128">
        <v>2025</v>
      </c>
      <c r="D128" t="s">
        <v>39</v>
      </c>
      <c r="E128">
        <v>8</v>
      </c>
      <c r="F128" t="s">
        <v>58</v>
      </c>
      <c r="G128" t="s">
        <v>22</v>
      </c>
      <c r="H128" t="s">
        <v>23</v>
      </c>
      <c r="I128" t="s">
        <v>71</v>
      </c>
      <c r="J128" t="s">
        <v>42</v>
      </c>
      <c r="K128" t="s">
        <v>32</v>
      </c>
      <c r="L128" t="s">
        <v>37</v>
      </c>
      <c r="M128">
        <v>82</v>
      </c>
      <c r="N128">
        <v>120</v>
      </c>
      <c r="O128">
        <v>9840</v>
      </c>
      <c r="P128">
        <v>6396</v>
      </c>
      <c r="Q128">
        <v>3444</v>
      </c>
      <c r="R128">
        <v>0</v>
      </c>
      <c r="S128" t="s">
        <v>57</v>
      </c>
      <c r="T128">
        <v>541.70000000000005</v>
      </c>
    </row>
    <row r="129" spans="1:20" x14ac:dyDescent="0.25">
      <c r="A129">
        <v>100128</v>
      </c>
      <c r="B129" s="6">
        <v>44968</v>
      </c>
      <c r="C129">
        <v>2023</v>
      </c>
      <c r="D129" t="s">
        <v>63</v>
      </c>
      <c r="E129">
        <v>2</v>
      </c>
      <c r="F129" t="s">
        <v>81</v>
      </c>
      <c r="G129" t="s">
        <v>45</v>
      </c>
      <c r="H129" t="s">
        <v>23</v>
      </c>
      <c r="I129" t="s">
        <v>90</v>
      </c>
      <c r="J129" t="s">
        <v>68</v>
      </c>
      <c r="K129" t="s">
        <v>32</v>
      </c>
      <c r="L129" t="s">
        <v>33</v>
      </c>
      <c r="M129">
        <v>117</v>
      </c>
      <c r="N129">
        <v>60</v>
      </c>
      <c r="O129">
        <v>6669</v>
      </c>
      <c r="P129">
        <v>4446</v>
      </c>
      <c r="Q129">
        <v>2223</v>
      </c>
      <c r="R129">
        <v>0.05</v>
      </c>
      <c r="S129" t="s">
        <v>38</v>
      </c>
      <c r="T129">
        <v>199.86</v>
      </c>
    </row>
    <row r="130" spans="1:20" x14ac:dyDescent="0.25">
      <c r="A130">
        <v>100129</v>
      </c>
      <c r="B130" s="6">
        <v>45994</v>
      </c>
      <c r="C130">
        <v>2025</v>
      </c>
      <c r="D130" t="s">
        <v>43</v>
      </c>
      <c r="E130">
        <v>12</v>
      </c>
      <c r="F130" t="s">
        <v>83</v>
      </c>
      <c r="G130" t="s">
        <v>22</v>
      </c>
      <c r="H130" t="s">
        <v>23</v>
      </c>
      <c r="I130" t="s">
        <v>24</v>
      </c>
      <c r="J130" t="s">
        <v>50</v>
      </c>
      <c r="K130" t="s">
        <v>55</v>
      </c>
      <c r="L130" t="s">
        <v>93</v>
      </c>
      <c r="M130">
        <v>83</v>
      </c>
      <c r="N130">
        <v>60</v>
      </c>
      <c r="O130">
        <v>4731</v>
      </c>
      <c r="P130">
        <v>3486</v>
      </c>
      <c r="Q130">
        <v>1245</v>
      </c>
      <c r="R130">
        <v>0.05</v>
      </c>
      <c r="S130" t="s">
        <v>70</v>
      </c>
      <c r="T130">
        <v>206.61</v>
      </c>
    </row>
    <row r="131" spans="1:20" x14ac:dyDescent="0.25">
      <c r="A131">
        <v>100130</v>
      </c>
      <c r="B131" s="6">
        <v>45142</v>
      </c>
      <c r="C131">
        <v>2023</v>
      </c>
      <c r="D131" t="s">
        <v>39</v>
      </c>
      <c r="E131">
        <v>8</v>
      </c>
      <c r="F131" t="s">
        <v>58</v>
      </c>
      <c r="G131" t="s">
        <v>22</v>
      </c>
      <c r="H131" t="s">
        <v>23</v>
      </c>
      <c r="I131" t="s">
        <v>65</v>
      </c>
      <c r="J131" t="s">
        <v>68</v>
      </c>
      <c r="K131" t="s">
        <v>59</v>
      </c>
      <c r="L131" t="s">
        <v>60</v>
      </c>
      <c r="M131">
        <v>127</v>
      </c>
      <c r="N131">
        <v>45</v>
      </c>
      <c r="O131">
        <v>5429.25</v>
      </c>
      <c r="P131">
        <v>3429</v>
      </c>
      <c r="Q131">
        <v>2000.25</v>
      </c>
      <c r="R131">
        <v>0.05</v>
      </c>
      <c r="S131" t="s">
        <v>70</v>
      </c>
      <c r="T131">
        <v>374.25</v>
      </c>
    </row>
    <row r="132" spans="1:20" x14ac:dyDescent="0.25">
      <c r="A132">
        <v>100131</v>
      </c>
      <c r="B132" s="6">
        <v>45415</v>
      </c>
      <c r="C132">
        <v>2024</v>
      </c>
      <c r="D132" t="s">
        <v>20</v>
      </c>
      <c r="E132">
        <v>5</v>
      </c>
      <c r="F132" t="s">
        <v>21</v>
      </c>
      <c r="G132" t="s">
        <v>45</v>
      </c>
      <c r="H132" t="s">
        <v>23</v>
      </c>
      <c r="I132" t="s">
        <v>88</v>
      </c>
      <c r="J132" t="s">
        <v>61</v>
      </c>
      <c r="K132" t="s">
        <v>32</v>
      </c>
      <c r="L132" t="s">
        <v>33</v>
      </c>
      <c r="M132">
        <v>25</v>
      </c>
      <c r="N132">
        <v>60</v>
      </c>
      <c r="O132">
        <v>1350</v>
      </c>
      <c r="P132">
        <v>950</v>
      </c>
      <c r="Q132">
        <v>400</v>
      </c>
      <c r="R132">
        <v>0.1</v>
      </c>
      <c r="S132" t="s">
        <v>70</v>
      </c>
      <c r="T132">
        <v>33.659999999999997</v>
      </c>
    </row>
    <row r="133" spans="1:20" x14ac:dyDescent="0.25">
      <c r="A133">
        <v>100132</v>
      </c>
      <c r="B133" s="6">
        <v>45317</v>
      </c>
      <c r="C133">
        <v>2024</v>
      </c>
      <c r="D133" t="s">
        <v>63</v>
      </c>
      <c r="E133">
        <v>1</v>
      </c>
      <c r="F133" t="s">
        <v>79</v>
      </c>
      <c r="G133" t="s">
        <v>35</v>
      </c>
      <c r="H133" t="s">
        <v>23</v>
      </c>
      <c r="I133" t="s">
        <v>53</v>
      </c>
      <c r="J133" t="s">
        <v>54</v>
      </c>
      <c r="K133" t="s">
        <v>26</v>
      </c>
      <c r="L133" t="s">
        <v>27</v>
      </c>
      <c r="M133">
        <v>124</v>
      </c>
      <c r="N133">
        <v>110</v>
      </c>
      <c r="O133">
        <v>12276</v>
      </c>
      <c r="P133">
        <v>8432</v>
      </c>
      <c r="Q133">
        <v>3844</v>
      </c>
      <c r="R133">
        <v>0.1</v>
      </c>
      <c r="S133" t="s">
        <v>57</v>
      </c>
      <c r="T133">
        <v>839.78</v>
      </c>
    </row>
    <row r="134" spans="1:20" x14ac:dyDescent="0.25">
      <c r="A134">
        <v>100133</v>
      </c>
      <c r="B134" s="6">
        <v>45916</v>
      </c>
      <c r="C134">
        <v>2025</v>
      </c>
      <c r="D134" t="s">
        <v>39</v>
      </c>
      <c r="E134">
        <v>9</v>
      </c>
      <c r="F134" t="s">
        <v>40</v>
      </c>
      <c r="G134" t="s">
        <v>29</v>
      </c>
      <c r="H134" t="s">
        <v>23</v>
      </c>
      <c r="I134" t="s">
        <v>30</v>
      </c>
      <c r="J134" t="s">
        <v>25</v>
      </c>
      <c r="K134" t="s">
        <v>51</v>
      </c>
      <c r="L134" t="s">
        <v>52</v>
      </c>
      <c r="M134">
        <v>112</v>
      </c>
      <c r="N134">
        <v>75</v>
      </c>
      <c r="O134">
        <v>8400</v>
      </c>
      <c r="P134">
        <v>4928</v>
      </c>
      <c r="Q134">
        <v>3472</v>
      </c>
      <c r="R134">
        <v>0</v>
      </c>
      <c r="S134" t="s">
        <v>70</v>
      </c>
      <c r="T134">
        <v>401.48</v>
      </c>
    </row>
    <row r="135" spans="1:20" x14ac:dyDescent="0.25">
      <c r="A135">
        <v>100134</v>
      </c>
      <c r="B135" s="6">
        <v>45057</v>
      </c>
      <c r="C135">
        <v>2023</v>
      </c>
      <c r="D135" t="s">
        <v>20</v>
      </c>
      <c r="E135">
        <v>5</v>
      </c>
      <c r="F135" t="s">
        <v>21</v>
      </c>
      <c r="G135" t="s">
        <v>45</v>
      </c>
      <c r="H135" t="s">
        <v>23</v>
      </c>
      <c r="I135" t="s">
        <v>90</v>
      </c>
      <c r="J135" t="s">
        <v>50</v>
      </c>
      <c r="K135" t="s">
        <v>51</v>
      </c>
      <c r="L135" t="s">
        <v>52</v>
      </c>
      <c r="M135">
        <v>117</v>
      </c>
      <c r="N135">
        <v>75</v>
      </c>
      <c r="O135">
        <v>8336.25</v>
      </c>
      <c r="P135">
        <v>5148</v>
      </c>
      <c r="Q135">
        <v>3188.25</v>
      </c>
      <c r="R135">
        <v>0.05</v>
      </c>
      <c r="S135" t="s">
        <v>57</v>
      </c>
      <c r="T135">
        <v>493.66</v>
      </c>
    </row>
    <row r="136" spans="1:20" x14ac:dyDescent="0.25">
      <c r="A136">
        <v>100135</v>
      </c>
      <c r="B136" s="6">
        <v>45847</v>
      </c>
      <c r="C136">
        <v>2025</v>
      </c>
      <c r="D136" t="s">
        <v>39</v>
      </c>
      <c r="E136">
        <v>7</v>
      </c>
      <c r="F136" t="s">
        <v>75</v>
      </c>
      <c r="G136" t="s">
        <v>45</v>
      </c>
      <c r="H136" t="s">
        <v>23</v>
      </c>
      <c r="I136" t="s">
        <v>88</v>
      </c>
      <c r="J136" t="s">
        <v>68</v>
      </c>
      <c r="K136" t="s">
        <v>59</v>
      </c>
      <c r="L136" t="s">
        <v>60</v>
      </c>
      <c r="M136">
        <v>117</v>
      </c>
      <c r="N136">
        <v>45</v>
      </c>
      <c r="O136">
        <v>5159.7</v>
      </c>
      <c r="P136">
        <v>3159</v>
      </c>
      <c r="Q136">
        <v>2000.7</v>
      </c>
      <c r="R136">
        <v>0.02</v>
      </c>
      <c r="S136" t="s">
        <v>28</v>
      </c>
      <c r="T136">
        <v>84.32</v>
      </c>
    </row>
    <row r="137" spans="1:20" x14ac:dyDescent="0.25">
      <c r="A137">
        <v>100136</v>
      </c>
      <c r="B137" s="6">
        <v>45177</v>
      </c>
      <c r="C137">
        <v>2023</v>
      </c>
      <c r="D137" t="s">
        <v>39</v>
      </c>
      <c r="E137">
        <v>9</v>
      </c>
      <c r="F137" t="s">
        <v>40</v>
      </c>
      <c r="G137" t="s">
        <v>22</v>
      </c>
      <c r="H137" t="s">
        <v>23</v>
      </c>
      <c r="I137" t="s">
        <v>71</v>
      </c>
      <c r="J137" t="s">
        <v>50</v>
      </c>
      <c r="K137" t="s">
        <v>59</v>
      </c>
      <c r="L137" t="s">
        <v>91</v>
      </c>
      <c r="M137">
        <v>105</v>
      </c>
      <c r="N137">
        <v>140</v>
      </c>
      <c r="O137">
        <v>13965</v>
      </c>
      <c r="P137">
        <v>8610</v>
      </c>
      <c r="Q137">
        <v>5355</v>
      </c>
      <c r="R137">
        <v>0.05</v>
      </c>
      <c r="S137" t="s">
        <v>38</v>
      </c>
      <c r="T137">
        <v>975.96</v>
      </c>
    </row>
    <row r="138" spans="1:20" x14ac:dyDescent="0.25">
      <c r="A138">
        <v>100137</v>
      </c>
      <c r="B138" s="6">
        <v>45403</v>
      </c>
      <c r="C138">
        <v>2024</v>
      </c>
      <c r="D138" t="s">
        <v>20</v>
      </c>
      <c r="E138">
        <v>4</v>
      </c>
      <c r="F138" t="s">
        <v>34</v>
      </c>
      <c r="G138" t="s">
        <v>35</v>
      </c>
      <c r="H138" t="s">
        <v>23</v>
      </c>
      <c r="I138" t="s">
        <v>77</v>
      </c>
      <c r="J138" t="s">
        <v>54</v>
      </c>
      <c r="K138" t="s">
        <v>59</v>
      </c>
      <c r="L138" t="s">
        <v>91</v>
      </c>
      <c r="M138">
        <v>130</v>
      </c>
      <c r="N138">
        <v>140</v>
      </c>
      <c r="O138">
        <v>17290</v>
      </c>
      <c r="P138">
        <v>10660</v>
      </c>
      <c r="Q138">
        <v>6630</v>
      </c>
      <c r="R138">
        <v>0.05</v>
      </c>
      <c r="S138" t="s">
        <v>70</v>
      </c>
      <c r="T138">
        <v>656.63</v>
      </c>
    </row>
    <row r="139" spans="1:20" x14ac:dyDescent="0.25">
      <c r="A139">
        <v>100138</v>
      </c>
      <c r="B139" s="6">
        <v>45503</v>
      </c>
      <c r="C139">
        <v>2024</v>
      </c>
      <c r="D139" t="s">
        <v>39</v>
      </c>
      <c r="E139">
        <v>7</v>
      </c>
      <c r="F139" t="s">
        <v>75</v>
      </c>
      <c r="G139" t="s">
        <v>35</v>
      </c>
      <c r="H139" t="s">
        <v>23</v>
      </c>
      <c r="I139" t="s">
        <v>77</v>
      </c>
      <c r="J139" t="s">
        <v>66</v>
      </c>
      <c r="K139" t="s">
        <v>32</v>
      </c>
      <c r="L139" t="s">
        <v>33</v>
      </c>
      <c r="M139">
        <v>129</v>
      </c>
      <c r="N139">
        <v>60</v>
      </c>
      <c r="O139">
        <v>7585.2</v>
      </c>
      <c r="P139">
        <v>4902</v>
      </c>
      <c r="Q139">
        <v>2683.2</v>
      </c>
      <c r="R139">
        <v>0.02</v>
      </c>
      <c r="S139" t="s">
        <v>70</v>
      </c>
      <c r="T139">
        <v>237.39</v>
      </c>
    </row>
    <row r="140" spans="1:20" x14ac:dyDescent="0.25">
      <c r="A140">
        <v>100139</v>
      </c>
      <c r="B140" s="6">
        <v>45358</v>
      </c>
      <c r="C140">
        <v>2024</v>
      </c>
      <c r="D140" t="s">
        <v>63</v>
      </c>
      <c r="E140">
        <v>3</v>
      </c>
      <c r="F140" t="s">
        <v>64</v>
      </c>
      <c r="G140" t="s">
        <v>45</v>
      </c>
      <c r="H140" t="s">
        <v>23</v>
      </c>
      <c r="I140" t="s">
        <v>46</v>
      </c>
      <c r="J140" t="s">
        <v>25</v>
      </c>
      <c r="K140" t="s">
        <v>55</v>
      </c>
      <c r="L140" t="s">
        <v>93</v>
      </c>
      <c r="M140">
        <v>58</v>
      </c>
      <c r="N140">
        <v>60</v>
      </c>
      <c r="O140">
        <v>3375.6</v>
      </c>
      <c r="P140">
        <v>2436</v>
      </c>
      <c r="Q140">
        <v>939.6</v>
      </c>
      <c r="R140">
        <v>0.03</v>
      </c>
      <c r="S140" t="s">
        <v>28</v>
      </c>
      <c r="T140">
        <v>73.739999999999995</v>
      </c>
    </row>
    <row r="141" spans="1:20" x14ac:dyDescent="0.25">
      <c r="A141">
        <v>100140</v>
      </c>
      <c r="B141" s="6">
        <v>44987</v>
      </c>
      <c r="C141">
        <v>2023</v>
      </c>
      <c r="D141" t="s">
        <v>63</v>
      </c>
      <c r="E141">
        <v>3</v>
      </c>
      <c r="F141" t="s">
        <v>64</v>
      </c>
      <c r="G141" t="s">
        <v>45</v>
      </c>
      <c r="H141" t="s">
        <v>23</v>
      </c>
      <c r="I141" t="s">
        <v>90</v>
      </c>
      <c r="J141" t="s">
        <v>61</v>
      </c>
      <c r="K141" t="s">
        <v>59</v>
      </c>
      <c r="L141" t="s">
        <v>67</v>
      </c>
      <c r="M141">
        <v>72</v>
      </c>
      <c r="N141">
        <v>95</v>
      </c>
      <c r="O141">
        <v>6156</v>
      </c>
      <c r="P141">
        <v>4032</v>
      </c>
      <c r="Q141">
        <v>2124</v>
      </c>
      <c r="R141">
        <v>0.1</v>
      </c>
      <c r="S141" t="s">
        <v>28</v>
      </c>
      <c r="T141">
        <v>250.59</v>
      </c>
    </row>
    <row r="142" spans="1:20" x14ac:dyDescent="0.25">
      <c r="A142">
        <v>100141</v>
      </c>
      <c r="B142" s="6">
        <v>45490</v>
      </c>
      <c r="C142">
        <v>2024</v>
      </c>
      <c r="D142" t="s">
        <v>39</v>
      </c>
      <c r="E142">
        <v>7</v>
      </c>
      <c r="F142" t="s">
        <v>75</v>
      </c>
      <c r="G142" t="s">
        <v>29</v>
      </c>
      <c r="H142" t="s">
        <v>23</v>
      </c>
      <c r="I142" t="s">
        <v>30</v>
      </c>
      <c r="J142" t="s">
        <v>66</v>
      </c>
      <c r="K142" t="s">
        <v>51</v>
      </c>
      <c r="L142" t="s">
        <v>92</v>
      </c>
      <c r="M142">
        <v>72</v>
      </c>
      <c r="N142">
        <v>50</v>
      </c>
      <c r="O142">
        <v>3528</v>
      </c>
      <c r="P142">
        <v>2088</v>
      </c>
      <c r="Q142">
        <v>1440</v>
      </c>
      <c r="R142">
        <v>0.02</v>
      </c>
      <c r="S142" t="s">
        <v>38</v>
      </c>
      <c r="T142">
        <v>214.1</v>
      </c>
    </row>
    <row r="143" spans="1:20" x14ac:dyDescent="0.25">
      <c r="A143">
        <v>100142</v>
      </c>
      <c r="B143" s="6">
        <v>45152</v>
      </c>
      <c r="C143">
        <v>2023</v>
      </c>
      <c r="D143" t="s">
        <v>39</v>
      </c>
      <c r="E143">
        <v>8</v>
      </c>
      <c r="F143" t="s">
        <v>58</v>
      </c>
      <c r="G143" t="s">
        <v>45</v>
      </c>
      <c r="H143" t="s">
        <v>23</v>
      </c>
      <c r="I143" t="s">
        <v>88</v>
      </c>
      <c r="J143" t="s">
        <v>66</v>
      </c>
      <c r="K143" t="s">
        <v>32</v>
      </c>
      <c r="L143" t="s">
        <v>33</v>
      </c>
      <c r="M143">
        <v>12</v>
      </c>
      <c r="N143">
        <v>60</v>
      </c>
      <c r="O143">
        <v>662.4</v>
      </c>
      <c r="P143">
        <v>456</v>
      </c>
      <c r="Q143">
        <v>206.4</v>
      </c>
      <c r="R143">
        <v>0.08</v>
      </c>
      <c r="S143" t="s">
        <v>28</v>
      </c>
      <c r="T143">
        <v>39.11</v>
      </c>
    </row>
    <row r="144" spans="1:20" x14ac:dyDescent="0.25">
      <c r="A144">
        <v>100143</v>
      </c>
      <c r="B144" s="6">
        <v>45615</v>
      </c>
      <c r="C144">
        <v>2024</v>
      </c>
      <c r="D144" t="s">
        <v>43</v>
      </c>
      <c r="E144">
        <v>11</v>
      </c>
      <c r="F144" t="s">
        <v>87</v>
      </c>
      <c r="G144" t="s">
        <v>45</v>
      </c>
      <c r="H144" t="s">
        <v>23</v>
      </c>
      <c r="I144" t="s">
        <v>90</v>
      </c>
      <c r="J144" t="s">
        <v>68</v>
      </c>
      <c r="K144" t="s">
        <v>59</v>
      </c>
      <c r="L144" t="s">
        <v>60</v>
      </c>
      <c r="M144">
        <v>70</v>
      </c>
      <c r="N144">
        <v>45</v>
      </c>
      <c r="O144">
        <v>3087</v>
      </c>
      <c r="P144">
        <v>1890</v>
      </c>
      <c r="Q144">
        <v>1197</v>
      </c>
      <c r="R144">
        <v>0.02</v>
      </c>
      <c r="S144" t="s">
        <v>57</v>
      </c>
      <c r="T144">
        <v>133.79</v>
      </c>
    </row>
    <row r="145" spans="1:20" x14ac:dyDescent="0.25">
      <c r="A145">
        <v>100144</v>
      </c>
      <c r="B145" s="6">
        <v>45142</v>
      </c>
      <c r="C145">
        <v>2023</v>
      </c>
      <c r="D145" t="s">
        <v>39</v>
      </c>
      <c r="E145">
        <v>8</v>
      </c>
      <c r="F145" t="s">
        <v>58</v>
      </c>
      <c r="G145" t="s">
        <v>22</v>
      </c>
      <c r="H145" t="s">
        <v>23</v>
      </c>
      <c r="I145" t="s">
        <v>65</v>
      </c>
      <c r="J145" t="s">
        <v>50</v>
      </c>
      <c r="K145" t="s">
        <v>59</v>
      </c>
      <c r="L145" t="s">
        <v>60</v>
      </c>
      <c r="M145">
        <v>129</v>
      </c>
      <c r="N145">
        <v>45</v>
      </c>
      <c r="O145">
        <v>5514.75</v>
      </c>
      <c r="P145">
        <v>3483</v>
      </c>
      <c r="Q145">
        <v>2031.75</v>
      </c>
      <c r="R145">
        <v>0.05</v>
      </c>
      <c r="S145" t="s">
        <v>70</v>
      </c>
      <c r="T145">
        <v>93.3</v>
      </c>
    </row>
    <row r="146" spans="1:20" x14ac:dyDescent="0.25">
      <c r="A146">
        <v>100145</v>
      </c>
      <c r="B146" s="6">
        <v>45878</v>
      </c>
      <c r="C146">
        <v>2025</v>
      </c>
      <c r="D146" t="s">
        <v>39</v>
      </c>
      <c r="E146">
        <v>8</v>
      </c>
      <c r="F146" t="s">
        <v>58</v>
      </c>
      <c r="G146" t="s">
        <v>22</v>
      </c>
      <c r="H146" t="s">
        <v>23</v>
      </c>
      <c r="I146" t="s">
        <v>24</v>
      </c>
      <c r="J146" t="s">
        <v>42</v>
      </c>
      <c r="K146" t="s">
        <v>32</v>
      </c>
      <c r="L146" t="s">
        <v>37</v>
      </c>
      <c r="M146">
        <v>85</v>
      </c>
      <c r="N146">
        <v>120</v>
      </c>
      <c r="O146">
        <v>10200</v>
      </c>
      <c r="P146">
        <v>6630</v>
      </c>
      <c r="Q146">
        <v>3570</v>
      </c>
      <c r="R146">
        <v>0</v>
      </c>
      <c r="S146" t="s">
        <v>70</v>
      </c>
      <c r="T146">
        <v>337.6</v>
      </c>
    </row>
    <row r="147" spans="1:20" x14ac:dyDescent="0.25">
      <c r="A147">
        <v>100146</v>
      </c>
      <c r="B147" s="6">
        <v>45881</v>
      </c>
      <c r="C147">
        <v>2025</v>
      </c>
      <c r="D147" t="s">
        <v>39</v>
      </c>
      <c r="E147">
        <v>8</v>
      </c>
      <c r="F147" t="s">
        <v>58</v>
      </c>
      <c r="G147" t="s">
        <v>35</v>
      </c>
      <c r="H147" t="s">
        <v>23</v>
      </c>
      <c r="I147" t="s">
        <v>80</v>
      </c>
      <c r="J147" t="s">
        <v>68</v>
      </c>
      <c r="K147" t="s">
        <v>51</v>
      </c>
      <c r="L147" t="s">
        <v>76</v>
      </c>
      <c r="M147">
        <v>81</v>
      </c>
      <c r="N147">
        <v>40</v>
      </c>
      <c r="O147">
        <v>3078</v>
      </c>
      <c r="P147">
        <v>1863</v>
      </c>
      <c r="Q147">
        <v>1215</v>
      </c>
      <c r="R147">
        <v>0.05</v>
      </c>
      <c r="S147" t="s">
        <v>38</v>
      </c>
      <c r="T147">
        <v>54.43</v>
      </c>
    </row>
    <row r="148" spans="1:20" x14ac:dyDescent="0.25">
      <c r="A148">
        <v>100147</v>
      </c>
      <c r="B148" s="6">
        <v>45899</v>
      </c>
      <c r="C148">
        <v>2025</v>
      </c>
      <c r="D148" t="s">
        <v>39</v>
      </c>
      <c r="E148">
        <v>8</v>
      </c>
      <c r="F148" t="s">
        <v>58</v>
      </c>
      <c r="G148" t="s">
        <v>29</v>
      </c>
      <c r="H148" t="s">
        <v>23</v>
      </c>
      <c r="I148" t="s">
        <v>73</v>
      </c>
      <c r="J148" t="s">
        <v>25</v>
      </c>
      <c r="K148" t="s">
        <v>55</v>
      </c>
      <c r="L148" t="s">
        <v>84</v>
      </c>
      <c r="M148">
        <v>49</v>
      </c>
      <c r="N148">
        <v>55</v>
      </c>
      <c r="O148">
        <v>2479.4</v>
      </c>
      <c r="P148">
        <v>1813</v>
      </c>
      <c r="Q148">
        <v>666.4</v>
      </c>
      <c r="R148">
        <v>0.08</v>
      </c>
      <c r="S148" t="s">
        <v>57</v>
      </c>
      <c r="T148">
        <v>107.57</v>
      </c>
    </row>
    <row r="149" spans="1:20" x14ac:dyDescent="0.25">
      <c r="A149">
        <v>100148</v>
      </c>
      <c r="B149" s="6">
        <v>45990</v>
      </c>
      <c r="C149">
        <v>2025</v>
      </c>
      <c r="D149" t="s">
        <v>43</v>
      </c>
      <c r="E149">
        <v>11</v>
      </c>
      <c r="F149" t="s">
        <v>87</v>
      </c>
      <c r="G149" t="s">
        <v>35</v>
      </c>
      <c r="H149" t="s">
        <v>23</v>
      </c>
      <c r="I149" t="s">
        <v>80</v>
      </c>
      <c r="J149" t="s">
        <v>31</v>
      </c>
      <c r="K149" t="s">
        <v>59</v>
      </c>
      <c r="L149" t="s">
        <v>60</v>
      </c>
      <c r="M149">
        <v>42</v>
      </c>
      <c r="N149">
        <v>45</v>
      </c>
      <c r="O149">
        <v>1738.8</v>
      </c>
      <c r="P149">
        <v>1134</v>
      </c>
      <c r="Q149">
        <v>604.79999999999995</v>
      </c>
      <c r="R149">
        <v>0.08</v>
      </c>
      <c r="S149" t="s">
        <v>38</v>
      </c>
      <c r="T149">
        <v>102.34</v>
      </c>
    </row>
    <row r="150" spans="1:20" x14ac:dyDescent="0.25">
      <c r="A150">
        <v>100149</v>
      </c>
      <c r="B150" s="6">
        <v>45497</v>
      </c>
      <c r="C150">
        <v>2024</v>
      </c>
      <c r="D150" t="s">
        <v>39</v>
      </c>
      <c r="E150">
        <v>7</v>
      </c>
      <c r="F150" t="s">
        <v>75</v>
      </c>
      <c r="G150" t="s">
        <v>22</v>
      </c>
      <c r="H150" t="s">
        <v>23</v>
      </c>
      <c r="I150" t="s">
        <v>65</v>
      </c>
      <c r="J150" t="s">
        <v>54</v>
      </c>
      <c r="K150" t="s">
        <v>26</v>
      </c>
      <c r="L150" t="s">
        <v>69</v>
      </c>
      <c r="M150">
        <v>54</v>
      </c>
      <c r="N150">
        <v>130</v>
      </c>
      <c r="O150">
        <v>6669</v>
      </c>
      <c r="P150">
        <v>4104</v>
      </c>
      <c r="Q150">
        <v>2565</v>
      </c>
      <c r="R150">
        <v>0.05</v>
      </c>
      <c r="S150" t="s">
        <v>57</v>
      </c>
      <c r="T150">
        <v>349.51</v>
      </c>
    </row>
    <row r="151" spans="1:20" x14ac:dyDescent="0.25">
      <c r="A151">
        <v>100150</v>
      </c>
      <c r="B151" s="6">
        <v>45626</v>
      </c>
      <c r="C151">
        <v>2024</v>
      </c>
      <c r="D151" t="s">
        <v>43</v>
      </c>
      <c r="E151">
        <v>11</v>
      </c>
      <c r="F151" t="s">
        <v>87</v>
      </c>
      <c r="G151" t="s">
        <v>22</v>
      </c>
      <c r="H151" t="s">
        <v>23</v>
      </c>
      <c r="I151" t="s">
        <v>71</v>
      </c>
      <c r="J151" t="s">
        <v>25</v>
      </c>
      <c r="K151" t="s">
        <v>55</v>
      </c>
      <c r="L151" t="s">
        <v>84</v>
      </c>
      <c r="M151">
        <v>40</v>
      </c>
      <c r="N151">
        <v>55</v>
      </c>
      <c r="O151">
        <v>2024</v>
      </c>
      <c r="P151">
        <v>1480</v>
      </c>
      <c r="Q151">
        <v>544</v>
      </c>
      <c r="R151">
        <v>0.08</v>
      </c>
      <c r="S151" t="s">
        <v>38</v>
      </c>
      <c r="T151">
        <v>44.71</v>
      </c>
    </row>
    <row r="152" spans="1:20" x14ac:dyDescent="0.25">
      <c r="A152">
        <v>100151</v>
      </c>
      <c r="B152" s="6">
        <v>45008</v>
      </c>
      <c r="C152">
        <v>2023</v>
      </c>
      <c r="D152" t="s">
        <v>63</v>
      </c>
      <c r="E152">
        <v>3</v>
      </c>
      <c r="F152" t="s">
        <v>64</v>
      </c>
      <c r="G152" t="s">
        <v>29</v>
      </c>
      <c r="H152" t="s">
        <v>23</v>
      </c>
      <c r="I152" t="s">
        <v>85</v>
      </c>
      <c r="J152" t="s">
        <v>66</v>
      </c>
      <c r="K152" t="s">
        <v>26</v>
      </c>
      <c r="L152" t="s">
        <v>27</v>
      </c>
      <c r="M152">
        <v>21</v>
      </c>
      <c r="N152">
        <v>110</v>
      </c>
      <c r="O152">
        <v>2310</v>
      </c>
      <c r="P152">
        <v>1428</v>
      </c>
      <c r="Q152">
        <v>882</v>
      </c>
      <c r="R152">
        <v>0</v>
      </c>
      <c r="S152" t="s">
        <v>38</v>
      </c>
      <c r="T152">
        <v>71.12</v>
      </c>
    </row>
    <row r="153" spans="1:20" x14ac:dyDescent="0.25">
      <c r="A153">
        <v>100152</v>
      </c>
      <c r="B153" s="6">
        <v>44943</v>
      </c>
      <c r="C153">
        <v>2023</v>
      </c>
      <c r="D153" t="s">
        <v>63</v>
      </c>
      <c r="E153">
        <v>1</v>
      </c>
      <c r="F153" t="s">
        <v>79</v>
      </c>
      <c r="G153" t="s">
        <v>29</v>
      </c>
      <c r="H153" t="s">
        <v>23</v>
      </c>
      <c r="I153" t="s">
        <v>30</v>
      </c>
      <c r="J153" t="s">
        <v>25</v>
      </c>
      <c r="K153" t="s">
        <v>51</v>
      </c>
      <c r="L153" t="s">
        <v>72</v>
      </c>
      <c r="M153">
        <v>97</v>
      </c>
      <c r="N153">
        <v>90</v>
      </c>
      <c r="O153">
        <v>8031.6</v>
      </c>
      <c r="P153">
        <v>5044</v>
      </c>
      <c r="Q153">
        <v>2987.6</v>
      </c>
      <c r="R153">
        <v>0.08</v>
      </c>
      <c r="S153" t="s">
        <v>57</v>
      </c>
      <c r="T153">
        <v>177.21</v>
      </c>
    </row>
    <row r="154" spans="1:20" x14ac:dyDescent="0.25">
      <c r="A154">
        <v>100153</v>
      </c>
      <c r="B154" s="6">
        <v>45512</v>
      </c>
      <c r="C154">
        <v>2024</v>
      </c>
      <c r="D154" t="s">
        <v>39</v>
      </c>
      <c r="E154">
        <v>8</v>
      </c>
      <c r="F154" t="s">
        <v>58</v>
      </c>
      <c r="G154" t="s">
        <v>45</v>
      </c>
      <c r="H154" t="s">
        <v>23</v>
      </c>
      <c r="I154" t="s">
        <v>62</v>
      </c>
      <c r="J154" t="s">
        <v>66</v>
      </c>
      <c r="K154" t="s">
        <v>26</v>
      </c>
      <c r="L154" t="s">
        <v>82</v>
      </c>
      <c r="M154">
        <v>69</v>
      </c>
      <c r="N154">
        <v>105</v>
      </c>
      <c r="O154">
        <v>7245</v>
      </c>
      <c r="P154">
        <v>4209</v>
      </c>
      <c r="Q154">
        <v>3036</v>
      </c>
      <c r="R154">
        <v>0</v>
      </c>
      <c r="S154" t="s">
        <v>28</v>
      </c>
      <c r="T154">
        <v>409.01</v>
      </c>
    </row>
    <row r="155" spans="1:20" x14ac:dyDescent="0.25">
      <c r="A155">
        <v>100154</v>
      </c>
      <c r="B155" s="6">
        <v>45410</v>
      </c>
      <c r="C155">
        <v>2024</v>
      </c>
      <c r="D155" t="s">
        <v>20</v>
      </c>
      <c r="E155">
        <v>4</v>
      </c>
      <c r="F155" t="s">
        <v>34</v>
      </c>
      <c r="G155" t="s">
        <v>35</v>
      </c>
      <c r="H155" t="s">
        <v>23</v>
      </c>
      <c r="I155" t="s">
        <v>80</v>
      </c>
      <c r="J155" t="s">
        <v>42</v>
      </c>
      <c r="K155" t="s">
        <v>51</v>
      </c>
      <c r="L155" t="s">
        <v>92</v>
      </c>
      <c r="M155">
        <v>21</v>
      </c>
      <c r="N155">
        <v>50</v>
      </c>
      <c r="O155">
        <v>1050</v>
      </c>
      <c r="P155">
        <v>609</v>
      </c>
      <c r="Q155">
        <v>441</v>
      </c>
      <c r="R155">
        <v>0</v>
      </c>
      <c r="S155" t="s">
        <v>38</v>
      </c>
      <c r="T155">
        <v>49.37</v>
      </c>
    </row>
    <row r="156" spans="1:20" x14ac:dyDescent="0.25">
      <c r="A156">
        <v>100155</v>
      </c>
      <c r="B156" s="6">
        <v>45136</v>
      </c>
      <c r="C156">
        <v>2023</v>
      </c>
      <c r="D156" t="s">
        <v>39</v>
      </c>
      <c r="E156">
        <v>7</v>
      </c>
      <c r="F156" t="s">
        <v>75</v>
      </c>
      <c r="G156" t="s">
        <v>35</v>
      </c>
      <c r="H156" t="s">
        <v>23</v>
      </c>
      <c r="I156" t="s">
        <v>36</v>
      </c>
      <c r="J156" t="s">
        <v>42</v>
      </c>
      <c r="K156" t="s">
        <v>55</v>
      </c>
      <c r="L156" t="s">
        <v>93</v>
      </c>
      <c r="M156">
        <v>134</v>
      </c>
      <c r="N156">
        <v>60</v>
      </c>
      <c r="O156">
        <v>7798.8</v>
      </c>
      <c r="P156">
        <v>5628</v>
      </c>
      <c r="Q156">
        <v>2170.8000000000002</v>
      </c>
      <c r="R156">
        <v>0.03</v>
      </c>
      <c r="S156" t="s">
        <v>38</v>
      </c>
      <c r="T156">
        <v>145.13</v>
      </c>
    </row>
    <row r="157" spans="1:20" x14ac:dyDescent="0.25">
      <c r="A157">
        <v>100156</v>
      </c>
      <c r="B157" s="6">
        <v>45005</v>
      </c>
      <c r="C157">
        <v>2023</v>
      </c>
      <c r="D157" t="s">
        <v>63</v>
      </c>
      <c r="E157">
        <v>3</v>
      </c>
      <c r="F157" t="s">
        <v>64</v>
      </c>
      <c r="G157" t="s">
        <v>29</v>
      </c>
      <c r="H157" t="s">
        <v>23</v>
      </c>
      <c r="I157" t="s">
        <v>30</v>
      </c>
      <c r="J157" t="s">
        <v>50</v>
      </c>
      <c r="K157" t="s">
        <v>51</v>
      </c>
      <c r="L157" t="s">
        <v>52</v>
      </c>
      <c r="M157">
        <v>35</v>
      </c>
      <c r="N157">
        <v>75</v>
      </c>
      <c r="O157">
        <v>2625</v>
      </c>
      <c r="P157">
        <v>1540</v>
      </c>
      <c r="Q157">
        <v>1085</v>
      </c>
      <c r="R157">
        <v>0</v>
      </c>
      <c r="S157" t="s">
        <v>70</v>
      </c>
      <c r="T157">
        <v>107.02</v>
      </c>
    </row>
    <row r="158" spans="1:20" x14ac:dyDescent="0.25">
      <c r="A158">
        <v>100157</v>
      </c>
      <c r="B158" s="6">
        <v>45323</v>
      </c>
      <c r="C158">
        <v>2024</v>
      </c>
      <c r="D158" t="s">
        <v>63</v>
      </c>
      <c r="E158">
        <v>2</v>
      </c>
      <c r="F158" t="s">
        <v>81</v>
      </c>
      <c r="G158" t="s">
        <v>45</v>
      </c>
      <c r="H158" t="s">
        <v>23</v>
      </c>
      <c r="I158" t="s">
        <v>90</v>
      </c>
      <c r="J158" t="s">
        <v>66</v>
      </c>
      <c r="K158" t="s">
        <v>59</v>
      </c>
      <c r="L158" t="s">
        <v>60</v>
      </c>
      <c r="M158">
        <v>84</v>
      </c>
      <c r="N158">
        <v>45</v>
      </c>
      <c r="O158">
        <v>3704.4</v>
      </c>
      <c r="P158">
        <v>2268</v>
      </c>
      <c r="Q158">
        <v>1436.4</v>
      </c>
      <c r="R158">
        <v>0.02</v>
      </c>
      <c r="S158" t="s">
        <v>38</v>
      </c>
      <c r="T158">
        <v>72.349999999999994</v>
      </c>
    </row>
    <row r="159" spans="1:20" x14ac:dyDescent="0.25">
      <c r="A159">
        <v>100158</v>
      </c>
      <c r="B159" s="6">
        <v>45775</v>
      </c>
      <c r="C159">
        <v>2025</v>
      </c>
      <c r="D159" t="s">
        <v>20</v>
      </c>
      <c r="E159">
        <v>4</v>
      </c>
      <c r="F159" t="s">
        <v>34</v>
      </c>
      <c r="G159" t="s">
        <v>35</v>
      </c>
      <c r="H159" t="s">
        <v>23</v>
      </c>
      <c r="I159" t="s">
        <v>80</v>
      </c>
      <c r="J159" t="s">
        <v>50</v>
      </c>
      <c r="K159" t="s">
        <v>32</v>
      </c>
      <c r="L159" t="s">
        <v>37</v>
      </c>
      <c r="M159">
        <v>30</v>
      </c>
      <c r="N159">
        <v>120</v>
      </c>
      <c r="O159">
        <v>3312</v>
      </c>
      <c r="P159">
        <v>2340</v>
      </c>
      <c r="Q159">
        <v>972</v>
      </c>
      <c r="R159">
        <v>0.08</v>
      </c>
      <c r="S159" t="s">
        <v>38</v>
      </c>
      <c r="T159">
        <v>205.86</v>
      </c>
    </row>
    <row r="160" spans="1:20" x14ac:dyDescent="0.25">
      <c r="A160">
        <v>100159</v>
      </c>
      <c r="B160" s="6">
        <v>45496</v>
      </c>
      <c r="C160">
        <v>2024</v>
      </c>
      <c r="D160" t="s">
        <v>39</v>
      </c>
      <c r="E160">
        <v>7</v>
      </c>
      <c r="F160" t="s">
        <v>75</v>
      </c>
      <c r="G160" t="s">
        <v>29</v>
      </c>
      <c r="H160" t="s">
        <v>23</v>
      </c>
      <c r="I160" t="s">
        <v>85</v>
      </c>
      <c r="J160" t="s">
        <v>68</v>
      </c>
      <c r="K160" t="s">
        <v>51</v>
      </c>
      <c r="L160" t="s">
        <v>92</v>
      </c>
      <c r="M160">
        <v>73</v>
      </c>
      <c r="N160">
        <v>50</v>
      </c>
      <c r="O160">
        <v>3358</v>
      </c>
      <c r="P160">
        <v>2117</v>
      </c>
      <c r="Q160">
        <v>1241</v>
      </c>
      <c r="R160">
        <v>0.08</v>
      </c>
      <c r="S160" t="s">
        <v>28</v>
      </c>
      <c r="T160">
        <v>182.41</v>
      </c>
    </row>
    <row r="161" spans="1:20" x14ac:dyDescent="0.25">
      <c r="A161">
        <v>100160</v>
      </c>
      <c r="B161" s="6">
        <v>45134</v>
      </c>
      <c r="C161">
        <v>2023</v>
      </c>
      <c r="D161" t="s">
        <v>39</v>
      </c>
      <c r="E161">
        <v>7</v>
      </c>
      <c r="F161" t="s">
        <v>75</v>
      </c>
      <c r="G161" t="s">
        <v>22</v>
      </c>
      <c r="H161" t="s">
        <v>23</v>
      </c>
      <c r="I161" t="s">
        <v>65</v>
      </c>
      <c r="J161" t="s">
        <v>66</v>
      </c>
      <c r="K161" t="s">
        <v>32</v>
      </c>
      <c r="L161" t="s">
        <v>37</v>
      </c>
      <c r="M161">
        <v>102</v>
      </c>
      <c r="N161">
        <v>120</v>
      </c>
      <c r="O161">
        <v>11628</v>
      </c>
      <c r="P161">
        <v>7956</v>
      </c>
      <c r="Q161">
        <v>3672</v>
      </c>
      <c r="R161">
        <v>0.05</v>
      </c>
      <c r="S161" t="s">
        <v>70</v>
      </c>
      <c r="T161">
        <v>667.46</v>
      </c>
    </row>
    <row r="162" spans="1:20" x14ac:dyDescent="0.25">
      <c r="A162">
        <v>100161</v>
      </c>
      <c r="B162" s="6">
        <v>45125</v>
      </c>
      <c r="C162">
        <v>2023</v>
      </c>
      <c r="D162" t="s">
        <v>39</v>
      </c>
      <c r="E162">
        <v>7</v>
      </c>
      <c r="F162" t="s">
        <v>75</v>
      </c>
      <c r="G162" t="s">
        <v>22</v>
      </c>
      <c r="H162" t="s">
        <v>23</v>
      </c>
      <c r="I162" t="s">
        <v>71</v>
      </c>
      <c r="J162" t="s">
        <v>66</v>
      </c>
      <c r="K162" t="s">
        <v>32</v>
      </c>
      <c r="L162" t="s">
        <v>37</v>
      </c>
      <c r="M162">
        <v>33</v>
      </c>
      <c r="N162">
        <v>120</v>
      </c>
      <c r="O162">
        <v>3564</v>
      </c>
      <c r="P162">
        <v>2574</v>
      </c>
      <c r="Q162">
        <v>990</v>
      </c>
      <c r="R162">
        <v>0.1</v>
      </c>
      <c r="S162" t="s">
        <v>70</v>
      </c>
      <c r="T162">
        <v>174.34</v>
      </c>
    </row>
    <row r="163" spans="1:20" x14ac:dyDescent="0.25">
      <c r="A163">
        <v>100162</v>
      </c>
      <c r="B163" s="6">
        <v>45660</v>
      </c>
      <c r="C163">
        <v>2025</v>
      </c>
      <c r="D163" t="s">
        <v>63</v>
      </c>
      <c r="E163">
        <v>1</v>
      </c>
      <c r="F163" t="s">
        <v>79</v>
      </c>
      <c r="G163" t="s">
        <v>35</v>
      </c>
      <c r="H163" t="s">
        <v>23</v>
      </c>
      <c r="I163" t="s">
        <v>53</v>
      </c>
      <c r="J163" t="s">
        <v>42</v>
      </c>
      <c r="K163" t="s">
        <v>32</v>
      </c>
      <c r="L163" t="s">
        <v>47</v>
      </c>
      <c r="M163">
        <v>93</v>
      </c>
      <c r="N163">
        <v>180</v>
      </c>
      <c r="O163">
        <v>16237.8</v>
      </c>
      <c r="P163">
        <v>10695</v>
      </c>
      <c r="Q163">
        <v>5542.8</v>
      </c>
      <c r="R163">
        <v>0.03</v>
      </c>
      <c r="S163" t="s">
        <v>38</v>
      </c>
      <c r="T163">
        <v>422.65</v>
      </c>
    </row>
    <row r="164" spans="1:20" x14ac:dyDescent="0.25">
      <c r="A164">
        <v>100163</v>
      </c>
      <c r="B164" s="6">
        <v>45652</v>
      </c>
      <c r="C164">
        <v>2024</v>
      </c>
      <c r="D164" t="s">
        <v>43</v>
      </c>
      <c r="E164">
        <v>12</v>
      </c>
      <c r="F164" t="s">
        <v>83</v>
      </c>
      <c r="G164" t="s">
        <v>35</v>
      </c>
      <c r="H164" t="s">
        <v>23</v>
      </c>
      <c r="I164" t="s">
        <v>77</v>
      </c>
      <c r="J164" t="s">
        <v>31</v>
      </c>
      <c r="K164" t="s">
        <v>51</v>
      </c>
      <c r="L164" t="s">
        <v>72</v>
      </c>
      <c r="M164">
        <v>81</v>
      </c>
      <c r="N164">
        <v>90</v>
      </c>
      <c r="O164">
        <v>7144.2</v>
      </c>
      <c r="P164">
        <v>4212</v>
      </c>
      <c r="Q164">
        <v>2932.2</v>
      </c>
      <c r="R164">
        <v>0.02</v>
      </c>
      <c r="S164" t="s">
        <v>70</v>
      </c>
      <c r="T164">
        <v>286.02999999999997</v>
      </c>
    </row>
    <row r="165" spans="1:20" x14ac:dyDescent="0.25">
      <c r="A165">
        <v>100164</v>
      </c>
      <c r="B165" s="6">
        <v>45264</v>
      </c>
      <c r="C165">
        <v>2023</v>
      </c>
      <c r="D165" t="s">
        <v>43</v>
      </c>
      <c r="E165">
        <v>12</v>
      </c>
      <c r="F165" t="s">
        <v>83</v>
      </c>
      <c r="G165" t="s">
        <v>35</v>
      </c>
      <c r="H165" t="s">
        <v>23</v>
      </c>
      <c r="I165" t="s">
        <v>53</v>
      </c>
      <c r="J165" t="s">
        <v>66</v>
      </c>
      <c r="K165" t="s">
        <v>59</v>
      </c>
      <c r="L165" t="s">
        <v>91</v>
      </c>
      <c r="M165">
        <v>20</v>
      </c>
      <c r="N165">
        <v>140</v>
      </c>
      <c r="O165">
        <v>2660</v>
      </c>
      <c r="P165">
        <v>1640</v>
      </c>
      <c r="Q165">
        <v>1020</v>
      </c>
      <c r="R165">
        <v>0.05</v>
      </c>
      <c r="S165" t="s">
        <v>28</v>
      </c>
      <c r="T165">
        <v>165.74</v>
      </c>
    </row>
    <row r="166" spans="1:20" x14ac:dyDescent="0.25">
      <c r="A166">
        <v>100165</v>
      </c>
      <c r="B166" s="6">
        <v>45705</v>
      </c>
      <c r="C166">
        <v>2025</v>
      </c>
      <c r="D166" t="s">
        <v>63</v>
      </c>
      <c r="E166">
        <v>2</v>
      </c>
      <c r="F166" t="s">
        <v>81</v>
      </c>
      <c r="G166" t="s">
        <v>35</v>
      </c>
      <c r="H166" t="s">
        <v>23</v>
      </c>
      <c r="I166" t="s">
        <v>53</v>
      </c>
      <c r="J166" t="s">
        <v>31</v>
      </c>
      <c r="K166" t="s">
        <v>32</v>
      </c>
      <c r="L166" t="s">
        <v>37</v>
      </c>
      <c r="M166">
        <v>85</v>
      </c>
      <c r="N166">
        <v>120</v>
      </c>
      <c r="O166">
        <v>9180</v>
      </c>
      <c r="P166">
        <v>6630</v>
      </c>
      <c r="Q166">
        <v>2550</v>
      </c>
      <c r="R166">
        <v>0.1</v>
      </c>
      <c r="S166" t="s">
        <v>70</v>
      </c>
      <c r="T166">
        <v>209.65</v>
      </c>
    </row>
    <row r="167" spans="1:20" x14ac:dyDescent="0.25">
      <c r="A167">
        <v>100166</v>
      </c>
      <c r="B167" s="6">
        <v>45018</v>
      </c>
      <c r="C167">
        <v>2023</v>
      </c>
      <c r="D167" t="s">
        <v>20</v>
      </c>
      <c r="E167">
        <v>4</v>
      </c>
      <c r="F167" t="s">
        <v>34</v>
      </c>
      <c r="G167" t="s">
        <v>29</v>
      </c>
      <c r="H167" t="s">
        <v>23</v>
      </c>
      <c r="I167" t="s">
        <v>73</v>
      </c>
      <c r="J167" t="s">
        <v>61</v>
      </c>
      <c r="K167" t="s">
        <v>59</v>
      </c>
      <c r="L167" t="s">
        <v>91</v>
      </c>
      <c r="M167">
        <v>106</v>
      </c>
      <c r="N167">
        <v>140</v>
      </c>
      <c r="O167">
        <v>14394.8</v>
      </c>
      <c r="P167">
        <v>8692</v>
      </c>
      <c r="Q167">
        <v>5702.8</v>
      </c>
      <c r="R167">
        <v>0.03</v>
      </c>
      <c r="S167" t="s">
        <v>38</v>
      </c>
      <c r="T167">
        <v>285.49</v>
      </c>
    </row>
    <row r="168" spans="1:20" x14ac:dyDescent="0.25">
      <c r="A168">
        <v>100167</v>
      </c>
      <c r="B168" s="6">
        <v>45515</v>
      </c>
      <c r="C168">
        <v>2024</v>
      </c>
      <c r="D168" t="s">
        <v>39</v>
      </c>
      <c r="E168">
        <v>8</v>
      </c>
      <c r="F168" t="s">
        <v>58</v>
      </c>
      <c r="G168" t="s">
        <v>29</v>
      </c>
      <c r="H168" t="s">
        <v>23</v>
      </c>
      <c r="I168" t="s">
        <v>85</v>
      </c>
      <c r="J168" t="s">
        <v>54</v>
      </c>
      <c r="K168" t="s">
        <v>51</v>
      </c>
      <c r="L168" t="s">
        <v>76</v>
      </c>
      <c r="M168">
        <v>112</v>
      </c>
      <c r="N168">
        <v>40</v>
      </c>
      <c r="O168">
        <v>4390.3999999999996</v>
      </c>
      <c r="P168">
        <v>2576</v>
      </c>
      <c r="Q168">
        <v>1814.4</v>
      </c>
      <c r="R168">
        <v>0.02</v>
      </c>
      <c r="S168" t="s">
        <v>38</v>
      </c>
      <c r="T168">
        <v>233.24</v>
      </c>
    </row>
    <row r="169" spans="1:20" x14ac:dyDescent="0.25">
      <c r="A169">
        <v>100168</v>
      </c>
      <c r="B169" s="6">
        <v>45813</v>
      </c>
      <c r="C169">
        <v>2025</v>
      </c>
      <c r="D169" t="s">
        <v>20</v>
      </c>
      <c r="E169">
        <v>6</v>
      </c>
      <c r="F169" t="s">
        <v>48</v>
      </c>
      <c r="G169" t="s">
        <v>29</v>
      </c>
      <c r="H169" t="s">
        <v>23</v>
      </c>
      <c r="I169" t="s">
        <v>73</v>
      </c>
      <c r="J169" t="s">
        <v>54</v>
      </c>
      <c r="K169" t="s">
        <v>55</v>
      </c>
      <c r="L169" t="s">
        <v>93</v>
      </c>
      <c r="M169">
        <v>132</v>
      </c>
      <c r="N169">
        <v>60</v>
      </c>
      <c r="O169">
        <v>7920</v>
      </c>
      <c r="P169">
        <v>5544</v>
      </c>
      <c r="Q169">
        <v>2376</v>
      </c>
      <c r="R169">
        <v>0</v>
      </c>
      <c r="S169" t="s">
        <v>70</v>
      </c>
      <c r="T169">
        <v>526.61</v>
      </c>
    </row>
    <row r="170" spans="1:20" x14ac:dyDescent="0.25">
      <c r="A170">
        <v>100169</v>
      </c>
      <c r="B170" s="6">
        <v>45479</v>
      </c>
      <c r="C170">
        <v>2024</v>
      </c>
      <c r="D170" t="s">
        <v>39</v>
      </c>
      <c r="E170">
        <v>7</v>
      </c>
      <c r="F170" t="s">
        <v>75</v>
      </c>
      <c r="G170" t="s">
        <v>35</v>
      </c>
      <c r="H170" t="s">
        <v>23</v>
      </c>
      <c r="I170" t="s">
        <v>80</v>
      </c>
      <c r="J170" t="s">
        <v>25</v>
      </c>
      <c r="K170" t="s">
        <v>55</v>
      </c>
      <c r="L170" t="s">
        <v>84</v>
      </c>
      <c r="M170">
        <v>101</v>
      </c>
      <c r="N170">
        <v>55</v>
      </c>
      <c r="O170">
        <v>5110.6000000000004</v>
      </c>
      <c r="P170">
        <v>3737</v>
      </c>
      <c r="Q170">
        <v>1373.6</v>
      </c>
      <c r="R170">
        <v>0.08</v>
      </c>
      <c r="S170" t="s">
        <v>70</v>
      </c>
      <c r="T170">
        <v>172.07</v>
      </c>
    </row>
    <row r="171" spans="1:20" x14ac:dyDescent="0.25">
      <c r="A171">
        <v>100170</v>
      </c>
      <c r="B171" s="6">
        <v>45385</v>
      </c>
      <c r="C171">
        <v>2024</v>
      </c>
      <c r="D171" t="s">
        <v>20</v>
      </c>
      <c r="E171">
        <v>4</v>
      </c>
      <c r="F171" t="s">
        <v>34</v>
      </c>
      <c r="G171" t="s">
        <v>29</v>
      </c>
      <c r="H171" t="s">
        <v>23</v>
      </c>
      <c r="I171" t="s">
        <v>49</v>
      </c>
      <c r="J171" t="s">
        <v>42</v>
      </c>
      <c r="K171" t="s">
        <v>59</v>
      </c>
      <c r="L171" t="s">
        <v>86</v>
      </c>
      <c r="M171">
        <v>31</v>
      </c>
      <c r="N171">
        <v>160</v>
      </c>
      <c r="O171">
        <v>4811.2</v>
      </c>
      <c r="P171">
        <v>2945</v>
      </c>
      <c r="Q171">
        <v>1866.2</v>
      </c>
      <c r="R171">
        <v>0.03</v>
      </c>
      <c r="S171" t="s">
        <v>38</v>
      </c>
      <c r="T171">
        <v>242.47</v>
      </c>
    </row>
    <row r="172" spans="1:20" x14ac:dyDescent="0.25">
      <c r="A172">
        <v>100171</v>
      </c>
      <c r="B172" s="6">
        <v>44940</v>
      </c>
      <c r="C172">
        <v>2023</v>
      </c>
      <c r="D172" t="s">
        <v>63</v>
      </c>
      <c r="E172">
        <v>1</v>
      </c>
      <c r="F172" t="s">
        <v>79</v>
      </c>
      <c r="G172" t="s">
        <v>22</v>
      </c>
      <c r="H172" t="s">
        <v>23</v>
      </c>
      <c r="I172" t="s">
        <v>41</v>
      </c>
      <c r="J172" t="s">
        <v>68</v>
      </c>
      <c r="K172" t="s">
        <v>32</v>
      </c>
      <c r="L172" t="s">
        <v>74</v>
      </c>
      <c r="M172">
        <v>21</v>
      </c>
      <c r="N172">
        <v>25</v>
      </c>
      <c r="O172">
        <v>525</v>
      </c>
      <c r="P172">
        <v>294</v>
      </c>
      <c r="Q172">
        <v>231</v>
      </c>
      <c r="R172">
        <v>0</v>
      </c>
      <c r="S172" t="s">
        <v>38</v>
      </c>
      <c r="T172">
        <v>33.049999999999997</v>
      </c>
    </row>
    <row r="173" spans="1:20" x14ac:dyDescent="0.25">
      <c r="A173">
        <v>100172</v>
      </c>
      <c r="B173" s="6">
        <v>45676</v>
      </c>
      <c r="C173">
        <v>2025</v>
      </c>
      <c r="D173" t="s">
        <v>63</v>
      </c>
      <c r="E173">
        <v>1</v>
      </c>
      <c r="F173" t="s">
        <v>79</v>
      </c>
      <c r="G173" t="s">
        <v>29</v>
      </c>
      <c r="H173" t="s">
        <v>23</v>
      </c>
      <c r="I173" t="s">
        <v>73</v>
      </c>
      <c r="J173" t="s">
        <v>68</v>
      </c>
      <c r="K173" t="s">
        <v>32</v>
      </c>
      <c r="L173" t="s">
        <v>74</v>
      </c>
      <c r="M173">
        <v>62</v>
      </c>
      <c r="N173">
        <v>25</v>
      </c>
      <c r="O173">
        <v>1472.5</v>
      </c>
      <c r="P173">
        <v>868</v>
      </c>
      <c r="Q173">
        <v>604.5</v>
      </c>
      <c r="R173">
        <v>0.05</v>
      </c>
      <c r="S173" t="s">
        <v>38</v>
      </c>
      <c r="T173">
        <v>62.44</v>
      </c>
    </row>
    <row r="174" spans="1:20" x14ac:dyDescent="0.25">
      <c r="A174">
        <v>100173</v>
      </c>
      <c r="B174" s="6">
        <v>45588</v>
      </c>
      <c r="C174">
        <v>2024</v>
      </c>
      <c r="D174" t="s">
        <v>43</v>
      </c>
      <c r="E174">
        <v>10</v>
      </c>
      <c r="F174" t="s">
        <v>44</v>
      </c>
      <c r="G174" t="s">
        <v>45</v>
      </c>
      <c r="H174" t="s">
        <v>23</v>
      </c>
      <c r="I174" t="s">
        <v>62</v>
      </c>
      <c r="J174" t="s">
        <v>61</v>
      </c>
      <c r="K174" t="s">
        <v>59</v>
      </c>
      <c r="L174" t="s">
        <v>67</v>
      </c>
      <c r="M174">
        <v>140</v>
      </c>
      <c r="N174">
        <v>95</v>
      </c>
      <c r="O174">
        <v>13300</v>
      </c>
      <c r="P174">
        <v>7840</v>
      </c>
      <c r="Q174">
        <v>5460</v>
      </c>
      <c r="R174">
        <v>0</v>
      </c>
      <c r="S174" t="s">
        <v>38</v>
      </c>
      <c r="T174">
        <v>494.49</v>
      </c>
    </row>
    <row r="175" spans="1:20" x14ac:dyDescent="0.25">
      <c r="A175">
        <v>100174</v>
      </c>
      <c r="B175" s="6">
        <v>45279</v>
      </c>
      <c r="C175">
        <v>2023</v>
      </c>
      <c r="D175" t="s">
        <v>43</v>
      </c>
      <c r="E175">
        <v>12</v>
      </c>
      <c r="F175" t="s">
        <v>83</v>
      </c>
      <c r="G175" t="s">
        <v>22</v>
      </c>
      <c r="H175" t="s">
        <v>23</v>
      </c>
      <c r="I175" t="s">
        <v>65</v>
      </c>
      <c r="J175" t="s">
        <v>50</v>
      </c>
      <c r="K175" t="s">
        <v>32</v>
      </c>
      <c r="L175" t="s">
        <v>37</v>
      </c>
      <c r="M175">
        <v>33</v>
      </c>
      <c r="N175">
        <v>120</v>
      </c>
      <c r="O175">
        <v>3841.2</v>
      </c>
      <c r="P175">
        <v>2574</v>
      </c>
      <c r="Q175">
        <v>1267.2</v>
      </c>
      <c r="R175">
        <v>0.03</v>
      </c>
      <c r="S175" t="s">
        <v>57</v>
      </c>
      <c r="T175">
        <v>130.69999999999999</v>
      </c>
    </row>
    <row r="176" spans="1:20" x14ac:dyDescent="0.25">
      <c r="A176">
        <v>100175</v>
      </c>
      <c r="B176" s="6">
        <v>45882</v>
      </c>
      <c r="C176">
        <v>2025</v>
      </c>
      <c r="D176" t="s">
        <v>39</v>
      </c>
      <c r="E176">
        <v>8</v>
      </c>
      <c r="F176" t="s">
        <v>58</v>
      </c>
      <c r="G176" t="s">
        <v>29</v>
      </c>
      <c r="H176" t="s">
        <v>23</v>
      </c>
      <c r="I176" t="s">
        <v>85</v>
      </c>
      <c r="J176" t="s">
        <v>31</v>
      </c>
      <c r="K176" t="s">
        <v>55</v>
      </c>
      <c r="L176" t="s">
        <v>56</v>
      </c>
      <c r="M176">
        <v>114</v>
      </c>
      <c r="N176">
        <v>320</v>
      </c>
      <c r="O176">
        <v>35385.599999999999</v>
      </c>
      <c r="P176">
        <v>26790</v>
      </c>
      <c r="Q176">
        <v>8595.6</v>
      </c>
      <c r="R176">
        <v>0.03</v>
      </c>
      <c r="S176" t="s">
        <v>70</v>
      </c>
      <c r="T176">
        <v>1942.29</v>
      </c>
    </row>
    <row r="177" spans="1:20" x14ac:dyDescent="0.25">
      <c r="A177">
        <v>100176</v>
      </c>
      <c r="B177" s="6">
        <v>45261</v>
      </c>
      <c r="C177">
        <v>2023</v>
      </c>
      <c r="D177" t="s">
        <v>43</v>
      </c>
      <c r="E177">
        <v>12</v>
      </c>
      <c r="F177" t="s">
        <v>83</v>
      </c>
      <c r="G177" t="s">
        <v>35</v>
      </c>
      <c r="H177" t="s">
        <v>23</v>
      </c>
      <c r="I177" t="s">
        <v>80</v>
      </c>
      <c r="J177" t="s">
        <v>25</v>
      </c>
      <c r="K177" t="s">
        <v>51</v>
      </c>
      <c r="L177" t="s">
        <v>76</v>
      </c>
      <c r="M177">
        <v>124</v>
      </c>
      <c r="N177">
        <v>40</v>
      </c>
      <c r="O177">
        <v>4860.8</v>
      </c>
      <c r="P177">
        <v>2852</v>
      </c>
      <c r="Q177">
        <v>2008.8</v>
      </c>
      <c r="R177">
        <v>0.02</v>
      </c>
      <c r="S177" t="s">
        <v>70</v>
      </c>
      <c r="T177">
        <v>168.93</v>
      </c>
    </row>
    <row r="178" spans="1:20" x14ac:dyDescent="0.25">
      <c r="A178">
        <v>100177</v>
      </c>
      <c r="B178" s="6">
        <v>44947</v>
      </c>
      <c r="C178">
        <v>2023</v>
      </c>
      <c r="D178" t="s">
        <v>63</v>
      </c>
      <c r="E178">
        <v>1</v>
      </c>
      <c r="F178" t="s">
        <v>79</v>
      </c>
      <c r="G178" t="s">
        <v>22</v>
      </c>
      <c r="H178" t="s">
        <v>23</v>
      </c>
      <c r="I178" t="s">
        <v>71</v>
      </c>
      <c r="J178" t="s">
        <v>50</v>
      </c>
      <c r="K178" t="s">
        <v>32</v>
      </c>
      <c r="L178" t="s">
        <v>47</v>
      </c>
      <c r="M178">
        <v>109</v>
      </c>
      <c r="N178">
        <v>180</v>
      </c>
      <c r="O178">
        <v>18050.400000000001</v>
      </c>
      <c r="P178">
        <v>12535</v>
      </c>
      <c r="Q178">
        <v>5515.4</v>
      </c>
      <c r="R178">
        <v>0.08</v>
      </c>
      <c r="S178" t="s">
        <v>38</v>
      </c>
      <c r="T178">
        <v>449.14</v>
      </c>
    </row>
    <row r="179" spans="1:20" x14ac:dyDescent="0.25">
      <c r="A179">
        <v>100178</v>
      </c>
      <c r="B179" s="6">
        <v>44928</v>
      </c>
      <c r="C179">
        <v>2023</v>
      </c>
      <c r="D179" t="s">
        <v>63</v>
      </c>
      <c r="E179">
        <v>1</v>
      </c>
      <c r="F179" t="s">
        <v>79</v>
      </c>
      <c r="G179" t="s">
        <v>22</v>
      </c>
      <c r="H179" t="s">
        <v>23</v>
      </c>
      <c r="I179" t="s">
        <v>71</v>
      </c>
      <c r="J179" t="s">
        <v>54</v>
      </c>
      <c r="K179" t="s">
        <v>55</v>
      </c>
      <c r="L179" t="s">
        <v>93</v>
      </c>
      <c r="M179">
        <v>50</v>
      </c>
      <c r="N179">
        <v>60</v>
      </c>
      <c r="O179">
        <v>2940</v>
      </c>
      <c r="P179">
        <v>2100</v>
      </c>
      <c r="Q179">
        <v>840</v>
      </c>
      <c r="R179">
        <v>0.02</v>
      </c>
      <c r="S179" t="s">
        <v>70</v>
      </c>
      <c r="T179">
        <v>184.9</v>
      </c>
    </row>
    <row r="180" spans="1:20" x14ac:dyDescent="0.25">
      <c r="A180">
        <v>100179</v>
      </c>
      <c r="B180" s="6">
        <v>45157</v>
      </c>
      <c r="C180">
        <v>2023</v>
      </c>
      <c r="D180" t="s">
        <v>39</v>
      </c>
      <c r="E180">
        <v>8</v>
      </c>
      <c r="F180" t="s">
        <v>58</v>
      </c>
      <c r="G180" t="s">
        <v>45</v>
      </c>
      <c r="H180" t="s">
        <v>23</v>
      </c>
      <c r="I180" t="s">
        <v>62</v>
      </c>
      <c r="J180" t="s">
        <v>25</v>
      </c>
      <c r="K180" t="s">
        <v>59</v>
      </c>
      <c r="L180" t="s">
        <v>86</v>
      </c>
      <c r="M180">
        <v>132</v>
      </c>
      <c r="N180">
        <v>160</v>
      </c>
      <c r="O180">
        <v>20697.599999999999</v>
      </c>
      <c r="P180">
        <v>12540</v>
      </c>
      <c r="Q180">
        <v>8157.6</v>
      </c>
      <c r="R180">
        <v>0.02</v>
      </c>
      <c r="S180" t="s">
        <v>57</v>
      </c>
      <c r="T180">
        <v>764.73</v>
      </c>
    </row>
    <row r="181" spans="1:20" x14ac:dyDescent="0.25">
      <c r="A181">
        <v>100180</v>
      </c>
      <c r="B181" s="6">
        <v>45386</v>
      </c>
      <c r="C181">
        <v>2024</v>
      </c>
      <c r="D181" t="s">
        <v>20</v>
      </c>
      <c r="E181">
        <v>4</v>
      </c>
      <c r="F181" t="s">
        <v>34</v>
      </c>
      <c r="G181" t="s">
        <v>29</v>
      </c>
      <c r="H181" t="s">
        <v>23</v>
      </c>
      <c r="I181" t="s">
        <v>49</v>
      </c>
      <c r="J181" t="s">
        <v>66</v>
      </c>
      <c r="K181" t="s">
        <v>55</v>
      </c>
      <c r="L181" t="s">
        <v>89</v>
      </c>
      <c r="M181">
        <v>40</v>
      </c>
      <c r="N181">
        <v>280</v>
      </c>
      <c r="O181">
        <v>10976</v>
      </c>
      <c r="P181">
        <v>8200</v>
      </c>
      <c r="Q181">
        <v>2776</v>
      </c>
      <c r="R181">
        <v>0.02</v>
      </c>
      <c r="S181" t="s">
        <v>38</v>
      </c>
      <c r="T181">
        <v>209.01</v>
      </c>
    </row>
    <row r="182" spans="1:20" x14ac:dyDescent="0.25">
      <c r="A182">
        <v>100181</v>
      </c>
      <c r="B182" s="6">
        <v>45770</v>
      </c>
      <c r="C182">
        <v>2025</v>
      </c>
      <c r="D182" t="s">
        <v>20</v>
      </c>
      <c r="E182">
        <v>4</v>
      </c>
      <c r="F182" t="s">
        <v>34</v>
      </c>
      <c r="G182" t="s">
        <v>35</v>
      </c>
      <c r="H182" t="s">
        <v>23</v>
      </c>
      <c r="I182" t="s">
        <v>77</v>
      </c>
      <c r="J182" t="s">
        <v>31</v>
      </c>
      <c r="K182" t="s">
        <v>51</v>
      </c>
      <c r="L182" t="s">
        <v>72</v>
      </c>
      <c r="M182">
        <v>17</v>
      </c>
      <c r="N182">
        <v>90</v>
      </c>
      <c r="O182">
        <v>1453.5</v>
      </c>
      <c r="P182">
        <v>884</v>
      </c>
      <c r="Q182">
        <v>569.5</v>
      </c>
      <c r="R182">
        <v>0.05</v>
      </c>
      <c r="S182" t="s">
        <v>38</v>
      </c>
      <c r="T182">
        <v>78.3</v>
      </c>
    </row>
    <row r="183" spans="1:20" x14ac:dyDescent="0.25">
      <c r="A183">
        <v>100182</v>
      </c>
      <c r="B183" s="6">
        <v>45613</v>
      </c>
      <c r="C183">
        <v>2024</v>
      </c>
      <c r="D183" t="s">
        <v>43</v>
      </c>
      <c r="E183">
        <v>11</v>
      </c>
      <c r="F183" t="s">
        <v>87</v>
      </c>
      <c r="G183" t="s">
        <v>45</v>
      </c>
      <c r="H183" t="s">
        <v>23</v>
      </c>
      <c r="I183" t="s">
        <v>62</v>
      </c>
      <c r="J183" t="s">
        <v>54</v>
      </c>
      <c r="K183" t="s">
        <v>59</v>
      </c>
      <c r="L183" t="s">
        <v>60</v>
      </c>
      <c r="M183">
        <v>129</v>
      </c>
      <c r="N183">
        <v>45</v>
      </c>
      <c r="O183">
        <v>5340.6</v>
      </c>
      <c r="P183">
        <v>3483</v>
      </c>
      <c r="Q183">
        <v>1857.6</v>
      </c>
      <c r="R183">
        <v>0.08</v>
      </c>
      <c r="S183" t="s">
        <v>70</v>
      </c>
      <c r="T183">
        <v>252.05</v>
      </c>
    </row>
    <row r="184" spans="1:20" x14ac:dyDescent="0.25">
      <c r="A184">
        <v>100183</v>
      </c>
      <c r="B184" s="6">
        <v>45883</v>
      </c>
      <c r="C184">
        <v>2025</v>
      </c>
      <c r="D184" t="s">
        <v>39</v>
      </c>
      <c r="E184">
        <v>8</v>
      </c>
      <c r="F184" t="s">
        <v>58</v>
      </c>
      <c r="G184" t="s">
        <v>29</v>
      </c>
      <c r="H184" t="s">
        <v>23</v>
      </c>
      <c r="I184" t="s">
        <v>85</v>
      </c>
      <c r="J184" t="s">
        <v>54</v>
      </c>
      <c r="K184" t="s">
        <v>55</v>
      </c>
      <c r="L184" t="s">
        <v>93</v>
      </c>
      <c r="M184">
        <v>46</v>
      </c>
      <c r="N184">
        <v>60</v>
      </c>
      <c r="O184">
        <v>2484</v>
      </c>
      <c r="P184">
        <v>1932</v>
      </c>
      <c r="Q184">
        <v>552</v>
      </c>
      <c r="R184">
        <v>0.1</v>
      </c>
      <c r="S184" t="s">
        <v>38</v>
      </c>
      <c r="T184">
        <v>42.64</v>
      </c>
    </row>
    <row r="185" spans="1:20" x14ac:dyDescent="0.25">
      <c r="A185">
        <v>100184</v>
      </c>
      <c r="B185" s="6">
        <v>45411</v>
      </c>
      <c r="C185">
        <v>2024</v>
      </c>
      <c r="D185" t="s">
        <v>20</v>
      </c>
      <c r="E185">
        <v>4</v>
      </c>
      <c r="F185" t="s">
        <v>34</v>
      </c>
      <c r="G185" t="s">
        <v>45</v>
      </c>
      <c r="H185" t="s">
        <v>23</v>
      </c>
      <c r="I185" t="s">
        <v>90</v>
      </c>
      <c r="J185" t="s">
        <v>31</v>
      </c>
      <c r="K185" t="s">
        <v>51</v>
      </c>
      <c r="L185" t="s">
        <v>92</v>
      </c>
      <c r="M185">
        <v>21</v>
      </c>
      <c r="N185">
        <v>50</v>
      </c>
      <c r="O185">
        <v>1050</v>
      </c>
      <c r="P185">
        <v>609</v>
      </c>
      <c r="Q185">
        <v>441</v>
      </c>
      <c r="R185">
        <v>0</v>
      </c>
      <c r="S185" t="s">
        <v>57</v>
      </c>
      <c r="T185">
        <v>72.73</v>
      </c>
    </row>
    <row r="186" spans="1:20" x14ac:dyDescent="0.25">
      <c r="A186">
        <v>100185</v>
      </c>
      <c r="B186" s="6">
        <v>45052</v>
      </c>
      <c r="C186">
        <v>2023</v>
      </c>
      <c r="D186" t="s">
        <v>20</v>
      </c>
      <c r="E186">
        <v>5</v>
      </c>
      <c r="F186" t="s">
        <v>21</v>
      </c>
      <c r="G186" t="s">
        <v>35</v>
      </c>
      <c r="H186" t="s">
        <v>23</v>
      </c>
      <c r="I186" t="s">
        <v>77</v>
      </c>
      <c r="J186" t="s">
        <v>68</v>
      </c>
      <c r="K186" t="s">
        <v>59</v>
      </c>
      <c r="L186" t="s">
        <v>60</v>
      </c>
      <c r="M186">
        <v>48</v>
      </c>
      <c r="N186">
        <v>45</v>
      </c>
      <c r="O186">
        <v>2095.1999999999998</v>
      </c>
      <c r="P186">
        <v>1296</v>
      </c>
      <c r="Q186">
        <v>799.2</v>
      </c>
      <c r="R186">
        <v>0.03</v>
      </c>
      <c r="S186" t="s">
        <v>38</v>
      </c>
      <c r="T186">
        <v>90.84</v>
      </c>
    </row>
    <row r="187" spans="1:20" x14ac:dyDescent="0.25">
      <c r="A187">
        <v>100186</v>
      </c>
      <c r="B187" s="6">
        <v>45077</v>
      </c>
      <c r="C187">
        <v>2023</v>
      </c>
      <c r="D187" t="s">
        <v>20</v>
      </c>
      <c r="E187">
        <v>5</v>
      </c>
      <c r="F187" t="s">
        <v>21</v>
      </c>
      <c r="G187" t="s">
        <v>29</v>
      </c>
      <c r="H187" t="s">
        <v>23</v>
      </c>
      <c r="I187" t="s">
        <v>85</v>
      </c>
      <c r="J187" t="s">
        <v>42</v>
      </c>
      <c r="K187" t="s">
        <v>51</v>
      </c>
      <c r="L187" t="s">
        <v>72</v>
      </c>
      <c r="M187">
        <v>133</v>
      </c>
      <c r="N187">
        <v>90</v>
      </c>
      <c r="O187">
        <v>11371.5</v>
      </c>
      <c r="P187">
        <v>6916</v>
      </c>
      <c r="Q187">
        <v>4455.5</v>
      </c>
      <c r="R187">
        <v>0.05</v>
      </c>
      <c r="S187" t="s">
        <v>57</v>
      </c>
      <c r="T187">
        <v>777.19</v>
      </c>
    </row>
    <row r="188" spans="1:20" x14ac:dyDescent="0.25">
      <c r="A188">
        <v>100187</v>
      </c>
      <c r="B188" s="6">
        <v>45595</v>
      </c>
      <c r="C188">
        <v>2024</v>
      </c>
      <c r="D188" t="s">
        <v>43</v>
      </c>
      <c r="E188">
        <v>10</v>
      </c>
      <c r="F188" t="s">
        <v>44</v>
      </c>
      <c r="G188" t="s">
        <v>29</v>
      </c>
      <c r="H188" t="s">
        <v>23</v>
      </c>
      <c r="I188" t="s">
        <v>85</v>
      </c>
      <c r="J188" t="s">
        <v>25</v>
      </c>
      <c r="K188" t="s">
        <v>55</v>
      </c>
      <c r="L188" t="s">
        <v>84</v>
      </c>
      <c r="M188">
        <v>43</v>
      </c>
      <c r="N188">
        <v>55</v>
      </c>
      <c r="O188">
        <v>2246.75</v>
      </c>
      <c r="P188">
        <v>1591</v>
      </c>
      <c r="Q188">
        <v>655.75</v>
      </c>
      <c r="R188">
        <v>0.05</v>
      </c>
      <c r="S188" t="s">
        <v>57</v>
      </c>
      <c r="T188">
        <v>154.63</v>
      </c>
    </row>
    <row r="189" spans="1:20" x14ac:dyDescent="0.25">
      <c r="A189">
        <v>100188</v>
      </c>
      <c r="B189" s="6">
        <v>45040</v>
      </c>
      <c r="C189">
        <v>2023</v>
      </c>
      <c r="D189" t="s">
        <v>20</v>
      </c>
      <c r="E189">
        <v>4</v>
      </c>
      <c r="F189" t="s">
        <v>34</v>
      </c>
      <c r="G189" t="s">
        <v>35</v>
      </c>
      <c r="H189" t="s">
        <v>23</v>
      </c>
      <c r="I189" t="s">
        <v>77</v>
      </c>
      <c r="J189" t="s">
        <v>66</v>
      </c>
      <c r="K189" t="s">
        <v>26</v>
      </c>
      <c r="L189" t="s">
        <v>69</v>
      </c>
      <c r="M189">
        <v>122</v>
      </c>
      <c r="N189">
        <v>130</v>
      </c>
      <c r="O189">
        <v>15860</v>
      </c>
      <c r="P189">
        <v>9272</v>
      </c>
      <c r="Q189">
        <v>6588</v>
      </c>
      <c r="R189">
        <v>0</v>
      </c>
      <c r="S189" t="s">
        <v>28</v>
      </c>
      <c r="T189">
        <v>1049.97</v>
      </c>
    </row>
    <row r="190" spans="1:20" x14ac:dyDescent="0.25">
      <c r="A190">
        <v>100189</v>
      </c>
      <c r="B190" s="6">
        <v>45951</v>
      </c>
      <c r="C190">
        <v>2025</v>
      </c>
      <c r="D190" t="s">
        <v>43</v>
      </c>
      <c r="E190">
        <v>10</v>
      </c>
      <c r="F190" t="s">
        <v>44</v>
      </c>
      <c r="G190" t="s">
        <v>22</v>
      </c>
      <c r="H190" t="s">
        <v>23</v>
      </c>
      <c r="I190" t="s">
        <v>24</v>
      </c>
      <c r="J190" t="s">
        <v>50</v>
      </c>
      <c r="K190" t="s">
        <v>59</v>
      </c>
      <c r="L190" t="s">
        <v>60</v>
      </c>
      <c r="M190">
        <v>57</v>
      </c>
      <c r="N190">
        <v>45</v>
      </c>
      <c r="O190">
        <v>2436.75</v>
      </c>
      <c r="P190">
        <v>1539</v>
      </c>
      <c r="Q190">
        <v>897.75</v>
      </c>
      <c r="R190">
        <v>0.05</v>
      </c>
      <c r="S190" t="s">
        <v>38</v>
      </c>
      <c r="T190">
        <v>50.84</v>
      </c>
    </row>
    <row r="191" spans="1:20" x14ac:dyDescent="0.25">
      <c r="A191">
        <v>100190</v>
      </c>
      <c r="B191" s="6">
        <v>45630</v>
      </c>
      <c r="C191">
        <v>2024</v>
      </c>
      <c r="D191" t="s">
        <v>43</v>
      </c>
      <c r="E191">
        <v>12</v>
      </c>
      <c r="F191" t="s">
        <v>83</v>
      </c>
      <c r="G191" t="s">
        <v>35</v>
      </c>
      <c r="H191" t="s">
        <v>23</v>
      </c>
      <c r="I191" t="s">
        <v>53</v>
      </c>
      <c r="J191" t="s">
        <v>61</v>
      </c>
      <c r="K191" t="s">
        <v>55</v>
      </c>
      <c r="L191" t="s">
        <v>93</v>
      </c>
      <c r="M191">
        <v>98</v>
      </c>
      <c r="N191">
        <v>60</v>
      </c>
      <c r="O191">
        <v>5409.6</v>
      </c>
      <c r="P191">
        <v>4116</v>
      </c>
      <c r="Q191">
        <v>1293.5999999999999</v>
      </c>
      <c r="R191">
        <v>0.08</v>
      </c>
      <c r="S191" t="s">
        <v>38</v>
      </c>
      <c r="T191">
        <v>313.93</v>
      </c>
    </row>
    <row r="192" spans="1:20" x14ac:dyDescent="0.25">
      <c r="A192">
        <v>100191</v>
      </c>
      <c r="B192" s="6">
        <v>45897</v>
      </c>
      <c r="C192">
        <v>2025</v>
      </c>
      <c r="D192" t="s">
        <v>39</v>
      </c>
      <c r="E192">
        <v>8</v>
      </c>
      <c r="F192" t="s">
        <v>58</v>
      </c>
      <c r="G192" t="s">
        <v>29</v>
      </c>
      <c r="H192" t="s">
        <v>23</v>
      </c>
      <c r="I192" t="s">
        <v>85</v>
      </c>
      <c r="J192" t="s">
        <v>68</v>
      </c>
      <c r="K192" t="s">
        <v>51</v>
      </c>
      <c r="L192" t="s">
        <v>76</v>
      </c>
      <c r="M192">
        <v>141</v>
      </c>
      <c r="N192">
        <v>40</v>
      </c>
      <c r="O192">
        <v>5358</v>
      </c>
      <c r="P192">
        <v>3243</v>
      </c>
      <c r="Q192">
        <v>2115</v>
      </c>
      <c r="R192">
        <v>0.05</v>
      </c>
      <c r="S192" t="s">
        <v>28</v>
      </c>
      <c r="T192">
        <v>318.43</v>
      </c>
    </row>
    <row r="193" spans="1:20" x14ac:dyDescent="0.25">
      <c r="A193">
        <v>100192</v>
      </c>
      <c r="B193" s="6">
        <v>45777</v>
      </c>
      <c r="C193">
        <v>2025</v>
      </c>
      <c r="D193" t="s">
        <v>20</v>
      </c>
      <c r="E193">
        <v>4</v>
      </c>
      <c r="F193" t="s">
        <v>34</v>
      </c>
      <c r="G193" t="s">
        <v>45</v>
      </c>
      <c r="H193" t="s">
        <v>23</v>
      </c>
      <c r="I193" t="s">
        <v>90</v>
      </c>
      <c r="J193" t="s">
        <v>42</v>
      </c>
      <c r="K193" t="s">
        <v>51</v>
      </c>
      <c r="L193" t="s">
        <v>76</v>
      </c>
      <c r="M193">
        <v>63</v>
      </c>
      <c r="N193">
        <v>40</v>
      </c>
      <c r="O193">
        <v>2394</v>
      </c>
      <c r="P193">
        <v>1449</v>
      </c>
      <c r="Q193">
        <v>945</v>
      </c>
      <c r="R193">
        <v>0.05</v>
      </c>
      <c r="S193" t="s">
        <v>38</v>
      </c>
      <c r="T193">
        <v>79.150000000000006</v>
      </c>
    </row>
    <row r="194" spans="1:20" x14ac:dyDescent="0.25">
      <c r="A194">
        <v>100193</v>
      </c>
      <c r="B194" s="6">
        <v>45637</v>
      </c>
      <c r="C194">
        <v>2024</v>
      </c>
      <c r="D194" t="s">
        <v>43</v>
      </c>
      <c r="E194">
        <v>12</v>
      </c>
      <c r="F194" t="s">
        <v>83</v>
      </c>
      <c r="G194" t="s">
        <v>22</v>
      </c>
      <c r="H194" t="s">
        <v>23</v>
      </c>
      <c r="I194" t="s">
        <v>71</v>
      </c>
      <c r="J194" t="s">
        <v>66</v>
      </c>
      <c r="K194" t="s">
        <v>51</v>
      </c>
      <c r="L194" t="s">
        <v>92</v>
      </c>
      <c r="M194">
        <v>58</v>
      </c>
      <c r="N194">
        <v>50</v>
      </c>
      <c r="O194">
        <v>2813</v>
      </c>
      <c r="P194">
        <v>1682</v>
      </c>
      <c r="Q194">
        <v>1131</v>
      </c>
      <c r="R194">
        <v>0.03</v>
      </c>
      <c r="S194" t="s">
        <v>38</v>
      </c>
      <c r="T194">
        <v>110.95</v>
      </c>
    </row>
    <row r="195" spans="1:20" x14ac:dyDescent="0.25">
      <c r="A195">
        <v>100194</v>
      </c>
      <c r="B195" s="6">
        <v>45793</v>
      </c>
      <c r="C195">
        <v>2025</v>
      </c>
      <c r="D195" t="s">
        <v>20</v>
      </c>
      <c r="E195">
        <v>5</v>
      </c>
      <c r="F195" t="s">
        <v>21</v>
      </c>
      <c r="G195" t="s">
        <v>29</v>
      </c>
      <c r="H195" t="s">
        <v>23</v>
      </c>
      <c r="I195" t="s">
        <v>85</v>
      </c>
      <c r="J195" t="s">
        <v>31</v>
      </c>
      <c r="K195" t="s">
        <v>59</v>
      </c>
      <c r="L195" t="s">
        <v>86</v>
      </c>
      <c r="M195">
        <v>18</v>
      </c>
      <c r="N195">
        <v>160</v>
      </c>
      <c r="O195">
        <v>2793.6</v>
      </c>
      <c r="P195">
        <v>1710</v>
      </c>
      <c r="Q195">
        <v>1083.5999999999999</v>
      </c>
      <c r="R195">
        <v>0.03</v>
      </c>
      <c r="S195" t="s">
        <v>57</v>
      </c>
      <c r="T195">
        <v>174.55</v>
      </c>
    </row>
    <row r="196" spans="1:20" x14ac:dyDescent="0.25">
      <c r="A196">
        <v>100195</v>
      </c>
      <c r="B196" s="6">
        <v>45555</v>
      </c>
      <c r="C196">
        <v>2024</v>
      </c>
      <c r="D196" t="s">
        <v>39</v>
      </c>
      <c r="E196">
        <v>9</v>
      </c>
      <c r="F196" t="s">
        <v>40</v>
      </c>
      <c r="G196" t="s">
        <v>45</v>
      </c>
      <c r="H196" t="s">
        <v>23</v>
      </c>
      <c r="I196" t="s">
        <v>88</v>
      </c>
      <c r="J196" t="s">
        <v>54</v>
      </c>
      <c r="K196" t="s">
        <v>32</v>
      </c>
      <c r="L196" t="s">
        <v>37</v>
      </c>
      <c r="M196">
        <v>57</v>
      </c>
      <c r="N196">
        <v>120</v>
      </c>
      <c r="O196">
        <v>6498</v>
      </c>
      <c r="P196">
        <v>4446</v>
      </c>
      <c r="Q196">
        <v>2052</v>
      </c>
      <c r="R196">
        <v>0.05</v>
      </c>
      <c r="S196" t="s">
        <v>38</v>
      </c>
      <c r="T196">
        <v>288.17</v>
      </c>
    </row>
    <row r="197" spans="1:20" x14ac:dyDescent="0.25">
      <c r="A197">
        <v>100196</v>
      </c>
      <c r="B197" s="6">
        <v>45269</v>
      </c>
      <c r="C197">
        <v>2023</v>
      </c>
      <c r="D197" t="s">
        <v>43</v>
      </c>
      <c r="E197">
        <v>12</v>
      </c>
      <c r="F197" t="s">
        <v>83</v>
      </c>
      <c r="G197" t="s">
        <v>35</v>
      </c>
      <c r="H197" t="s">
        <v>23</v>
      </c>
      <c r="I197" t="s">
        <v>36</v>
      </c>
      <c r="J197" t="s">
        <v>54</v>
      </c>
      <c r="K197" t="s">
        <v>26</v>
      </c>
      <c r="L197" t="s">
        <v>69</v>
      </c>
      <c r="M197">
        <v>30</v>
      </c>
      <c r="N197">
        <v>130</v>
      </c>
      <c r="O197">
        <v>3822</v>
      </c>
      <c r="P197">
        <v>2280</v>
      </c>
      <c r="Q197">
        <v>1542</v>
      </c>
      <c r="R197">
        <v>0.02</v>
      </c>
      <c r="S197" t="s">
        <v>38</v>
      </c>
      <c r="T197">
        <v>58.92</v>
      </c>
    </row>
    <row r="198" spans="1:20" x14ac:dyDescent="0.25">
      <c r="A198">
        <v>100197</v>
      </c>
      <c r="B198" s="6">
        <v>45325</v>
      </c>
      <c r="C198">
        <v>2024</v>
      </c>
      <c r="D198" t="s">
        <v>63</v>
      </c>
      <c r="E198">
        <v>2</v>
      </c>
      <c r="F198" t="s">
        <v>81</v>
      </c>
      <c r="G198" t="s">
        <v>45</v>
      </c>
      <c r="H198" t="s">
        <v>23</v>
      </c>
      <c r="I198" t="s">
        <v>62</v>
      </c>
      <c r="J198" t="s">
        <v>68</v>
      </c>
      <c r="K198" t="s">
        <v>55</v>
      </c>
      <c r="L198" t="s">
        <v>89</v>
      </c>
      <c r="M198">
        <v>77</v>
      </c>
      <c r="N198">
        <v>280</v>
      </c>
      <c r="O198">
        <v>19404</v>
      </c>
      <c r="P198">
        <v>15785</v>
      </c>
      <c r="Q198">
        <v>3619</v>
      </c>
      <c r="R198">
        <v>0.1</v>
      </c>
      <c r="S198" t="s">
        <v>38</v>
      </c>
      <c r="T198">
        <v>666.32</v>
      </c>
    </row>
    <row r="199" spans="1:20" x14ac:dyDescent="0.25">
      <c r="A199">
        <v>100198</v>
      </c>
      <c r="B199" s="6">
        <v>45890</v>
      </c>
      <c r="C199">
        <v>2025</v>
      </c>
      <c r="D199" t="s">
        <v>39</v>
      </c>
      <c r="E199">
        <v>8</v>
      </c>
      <c r="F199" t="s">
        <v>58</v>
      </c>
      <c r="G199" t="s">
        <v>29</v>
      </c>
      <c r="H199" t="s">
        <v>23</v>
      </c>
      <c r="I199" t="s">
        <v>73</v>
      </c>
      <c r="J199" t="s">
        <v>66</v>
      </c>
      <c r="K199" t="s">
        <v>51</v>
      </c>
      <c r="L199" t="s">
        <v>52</v>
      </c>
      <c r="M199">
        <v>44</v>
      </c>
      <c r="N199">
        <v>75</v>
      </c>
      <c r="O199">
        <v>3135</v>
      </c>
      <c r="P199">
        <v>1936</v>
      </c>
      <c r="Q199">
        <v>1199</v>
      </c>
      <c r="R199">
        <v>0.05</v>
      </c>
      <c r="S199" t="s">
        <v>57</v>
      </c>
      <c r="T199">
        <v>62.48</v>
      </c>
    </row>
    <row r="200" spans="1:20" x14ac:dyDescent="0.25">
      <c r="A200">
        <v>100199</v>
      </c>
      <c r="B200" s="6">
        <v>45515</v>
      </c>
      <c r="C200">
        <v>2024</v>
      </c>
      <c r="D200" t="s">
        <v>39</v>
      </c>
      <c r="E200">
        <v>8</v>
      </c>
      <c r="F200" t="s">
        <v>58</v>
      </c>
      <c r="G200" t="s">
        <v>29</v>
      </c>
      <c r="H200" t="s">
        <v>23</v>
      </c>
      <c r="I200" t="s">
        <v>85</v>
      </c>
      <c r="J200" t="s">
        <v>61</v>
      </c>
      <c r="K200" t="s">
        <v>32</v>
      </c>
      <c r="L200" t="s">
        <v>74</v>
      </c>
      <c r="M200">
        <v>16</v>
      </c>
      <c r="N200">
        <v>25</v>
      </c>
      <c r="O200">
        <v>380</v>
      </c>
      <c r="P200">
        <v>224</v>
      </c>
      <c r="Q200">
        <v>156</v>
      </c>
      <c r="R200">
        <v>0.05</v>
      </c>
      <c r="S200" t="s">
        <v>38</v>
      </c>
      <c r="T200">
        <v>9.49</v>
      </c>
    </row>
    <row r="201" spans="1:20" x14ac:dyDescent="0.25">
      <c r="A201">
        <v>100200</v>
      </c>
      <c r="B201" s="6">
        <v>45885</v>
      </c>
      <c r="C201">
        <v>2025</v>
      </c>
      <c r="D201" t="s">
        <v>39</v>
      </c>
      <c r="E201">
        <v>8</v>
      </c>
      <c r="F201" t="s">
        <v>58</v>
      </c>
      <c r="G201" t="s">
        <v>29</v>
      </c>
      <c r="H201" t="s">
        <v>23</v>
      </c>
      <c r="I201" t="s">
        <v>73</v>
      </c>
      <c r="J201" t="s">
        <v>66</v>
      </c>
      <c r="K201" t="s">
        <v>59</v>
      </c>
      <c r="L201" t="s">
        <v>86</v>
      </c>
      <c r="M201">
        <v>45</v>
      </c>
      <c r="N201">
        <v>160</v>
      </c>
      <c r="O201">
        <v>6984</v>
      </c>
      <c r="P201">
        <v>4275</v>
      </c>
      <c r="Q201">
        <v>2709</v>
      </c>
      <c r="R201">
        <v>0.03</v>
      </c>
      <c r="S201" t="s">
        <v>70</v>
      </c>
      <c r="T201">
        <v>138.19</v>
      </c>
    </row>
    <row r="202" spans="1:20" x14ac:dyDescent="0.25">
      <c r="A202">
        <v>100201</v>
      </c>
      <c r="B202" s="6">
        <v>45485</v>
      </c>
      <c r="C202">
        <v>2024</v>
      </c>
      <c r="D202" t="s">
        <v>39</v>
      </c>
      <c r="E202">
        <v>7</v>
      </c>
      <c r="F202" t="s">
        <v>75</v>
      </c>
      <c r="G202" t="s">
        <v>22</v>
      </c>
      <c r="H202" t="s">
        <v>23</v>
      </c>
      <c r="I202" t="s">
        <v>71</v>
      </c>
      <c r="J202" t="s">
        <v>42</v>
      </c>
      <c r="K202" t="s">
        <v>59</v>
      </c>
      <c r="L202" t="s">
        <v>86</v>
      </c>
      <c r="M202">
        <v>30</v>
      </c>
      <c r="N202">
        <v>160</v>
      </c>
      <c r="O202">
        <v>4416</v>
      </c>
      <c r="P202">
        <v>2850</v>
      </c>
      <c r="Q202">
        <v>1566</v>
      </c>
      <c r="R202">
        <v>0.08</v>
      </c>
      <c r="S202" t="s">
        <v>70</v>
      </c>
      <c r="T202">
        <v>121.64</v>
      </c>
    </row>
    <row r="203" spans="1:20" x14ac:dyDescent="0.25">
      <c r="A203">
        <v>100202</v>
      </c>
      <c r="B203" s="6">
        <v>45910</v>
      </c>
      <c r="C203">
        <v>2025</v>
      </c>
      <c r="D203" t="s">
        <v>39</v>
      </c>
      <c r="E203">
        <v>9</v>
      </c>
      <c r="F203" t="s">
        <v>40</v>
      </c>
      <c r="G203" t="s">
        <v>35</v>
      </c>
      <c r="H203" t="s">
        <v>23</v>
      </c>
      <c r="I203" t="s">
        <v>77</v>
      </c>
      <c r="J203" t="s">
        <v>68</v>
      </c>
      <c r="K203" t="s">
        <v>26</v>
      </c>
      <c r="L203" t="s">
        <v>82</v>
      </c>
      <c r="M203">
        <v>58</v>
      </c>
      <c r="N203">
        <v>105</v>
      </c>
      <c r="O203">
        <v>5968.2</v>
      </c>
      <c r="P203">
        <v>3538</v>
      </c>
      <c r="Q203">
        <v>2430.1999999999998</v>
      </c>
      <c r="R203">
        <v>0.02</v>
      </c>
      <c r="S203" t="s">
        <v>57</v>
      </c>
      <c r="T203">
        <v>345.73</v>
      </c>
    </row>
    <row r="204" spans="1:20" x14ac:dyDescent="0.25">
      <c r="A204">
        <v>100203</v>
      </c>
      <c r="B204" s="6">
        <v>46010</v>
      </c>
      <c r="C204">
        <v>2025</v>
      </c>
      <c r="D204" t="s">
        <v>43</v>
      </c>
      <c r="E204">
        <v>12</v>
      </c>
      <c r="F204" t="s">
        <v>83</v>
      </c>
      <c r="G204" t="s">
        <v>22</v>
      </c>
      <c r="H204" t="s">
        <v>23</v>
      </c>
      <c r="I204" t="s">
        <v>41</v>
      </c>
      <c r="J204" t="s">
        <v>68</v>
      </c>
      <c r="K204" t="s">
        <v>26</v>
      </c>
      <c r="L204" t="s">
        <v>69</v>
      </c>
      <c r="M204">
        <v>78</v>
      </c>
      <c r="N204">
        <v>130</v>
      </c>
      <c r="O204">
        <v>10140</v>
      </c>
      <c r="P204">
        <v>5928</v>
      </c>
      <c r="Q204">
        <v>4212</v>
      </c>
      <c r="R204">
        <v>0</v>
      </c>
      <c r="S204" t="s">
        <v>70</v>
      </c>
      <c r="T204">
        <v>563.04999999999995</v>
      </c>
    </row>
    <row r="205" spans="1:20" x14ac:dyDescent="0.25">
      <c r="A205">
        <v>100204</v>
      </c>
      <c r="B205" s="6">
        <v>45587</v>
      </c>
      <c r="C205">
        <v>2024</v>
      </c>
      <c r="D205" t="s">
        <v>43</v>
      </c>
      <c r="E205">
        <v>10</v>
      </c>
      <c r="F205" t="s">
        <v>44</v>
      </c>
      <c r="G205" t="s">
        <v>45</v>
      </c>
      <c r="H205" t="s">
        <v>23</v>
      </c>
      <c r="I205" t="s">
        <v>88</v>
      </c>
      <c r="J205" t="s">
        <v>61</v>
      </c>
      <c r="K205" t="s">
        <v>32</v>
      </c>
      <c r="L205" t="s">
        <v>74</v>
      </c>
      <c r="M205">
        <v>20</v>
      </c>
      <c r="N205">
        <v>25</v>
      </c>
      <c r="O205">
        <v>490</v>
      </c>
      <c r="P205">
        <v>280</v>
      </c>
      <c r="Q205">
        <v>210</v>
      </c>
      <c r="R205">
        <v>0.02</v>
      </c>
      <c r="S205" t="s">
        <v>38</v>
      </c>
      <c r="T205">
        <v>17.88</v>
      </c>
    </row>
    <row r="206" spans="1:20" x14ac:dyDescent="0.25">
      <c r="A206">
        <v>100205</v>
      </c>
      <c r="B206" s="6">
        <v>45847</v>
      </c>
      <c r="C206">
        <v>2025</v>
      </c>
      <c r="D206" t="s">
        <v>39</v>
      </c>
      <c r="E206">
        <v>7</v>
      </c>
      <c r="F206" t="s">
        <v>75</v>
      </c>
      <c r="G206" t="s">
        <v>35</v>
      </c>
      <c r="H206" t="s">
        <v>23</v>
      </c>
      <c r="I206" t="s">
        <v>80</v>
      </c>
      <c r="J206" t="s">
        <v>42</v>
      </c>
      <c r="K206" t="s">
        <v>32</v>
      </c>
      <c r="L206" t="s">
        <v>37</v>
      </c>
      <c r="M206">
        <v>76</v>
      </c>
      <c r="N206">
        <v>120</v>
      </c>
      <c r="O206">
        <v>8846.4</v>
      </c>
      <c r="P206">
        <v>5928</v>
      </c>
      <c r="Q206">
        <v>2918.4</v>
      </c>
      <c r="R206">
        <v>0.03</v>
      </c>
      <c r="S206" t="s">
        <v>57</v>
      </c>
      <c r="T206">
        <v>349.6</v>
      </c>
    </row>
    <row r="207" spans="1:20" x14ac:dyDescent="0.25">
      <c r="A207">
        <v>100206</v>
      </c>
      <c r="B207" s="6">
        <v>45925</v>
      </c>
      <c r="C207">
        <v>2025</v>
      </c>
      <c r="D207" t="s">
        <v>39</v>
      </c>
      <c r="E207">
        <v>9</v>
      </c>
      <c r="F207" t="s">
        <v>40</v>
      </c>
      <c r="G207" t="s">
        <v>29</v>
      </c>
      <c r="H207" t="s">
        <v>23</v>
      </c>
      <c r="I207" t="s">
        <v>49</v>
      </c>
      <c r="J207" t="s">
        <v>66</v>
      </c>
      <c r="K207" t="s">
        <v>26</v>
      </c>
      <c r="L207" t="s">
        <v>82</v>
      </c>
      <c r="M207">
        <v>111</v>
      </c>
      <c r="N207">
        <v>105</v>
      </c>
      <c r="O207">
        <v>11072.25</v>
      </c>
      <c r="P207">
        <v>6771</v>
      </c>
      <c r="Q207">
        <v>4301.25</v>
      </c>
      <c r="R207">
        <v>0.05</v>
      </c>
      <c r="S207" t="s">
        <v>38</v>
      </c>
      <c r="T207">
        <v>333.04</v>
      </c>
    </row>
    <row r="208" spans="1:20" x14ac:dyDescent="0.25">
      <c r="A208">
        <v>100207</v>
      </c>
      <c r="B208" s="6">
        <v>45279</v>
      </c>
      <c r="C208">
        <v>2023</v>
      </c>
      <c r="D208" t="s">
        <v>43</v>
      </c>
      <c r="E208">
        <v>12</v>
      </c>
      <c r="F208" t="s">
        <v>83</v>
      </c>
      <c r="G208" t="s">
        <v>29</v>
      </c>
      <c r="H208" t="s">
        <v>23</v>
      </c>
      <c r="I208" t="s">
        <v>30</v>
      </c>
      <c r="J208" t="s">
        <v>61</v>
      </c>
      <c r="K208" t="s">
        <v>51</v>
      </c>
      <c r="L208" t="s">
        <v>92</v>
      </c>
      <c r="M208">
        <v>132</v>
      </c>
      <c r="N208">
        <v>50</v>
      </c>
      <c r="O208">
        <v>6468</v>
      </c>
      <c r="P208">
        <v>3828</v>
      </c>
      <c r="Q208">
        <v>2640</v>
      </c>
      <c r="R208">
        <v>0.02</v>
      </c>
      <c r="S208" t="s">
        <v>70</v>
      </c>
      <c r="T208">
        <v>316.57</v>
      </c>
    </row>
    <row r="209" spans="1:20" x14ac:dyDescent="0.25">
      <c r="A209">
        <v>100208</v>
      </c>
      <c r="B209" s="6">
        <v>45882</v>
      </c>
      <c r="C209">
        <v>2025</v>
      </c>
      <c r="D209" t="s">
        <v>39</v>
      </c>
      <c r="E209">
        <v>8</v>
      </c>
      <c r="F209" t="s">
        <v>58</v>
      </c>
      <c r="G209" t="s">
        <v>45</v>
      </c>
      <c r="H209" t="s">
        <v>23</v>
      </c>
      <c r="I209" t="s">
        <v>62</v>
      </c>
      <c r="J209" t="s">
        <v>66</v>
      </c>
      <c r="K209" t="s">
        <v>51</v>
      </c>
      <c r="L209" t="s">
        <v>92</v>
      </c>
      <c r="M209">
        <v>17</v>
      </c>
      <c r="N209">
        <v>50</v>
      </c>
      <c r="O209">
        <v>782</v>
      </c>
      <c r="P209">
        <v>493</v>
      </c>
      <c r="Q209">
        <v>289</v>
      </c>
      <c r="R209">
        <v>0.08</v>
      </c>
      <c r="S209" t="s">
        <v>38</v>
      </c>
      <c r="T209">
        <v>39.72</v>
      </c>
    </row>
    <row r="210" spans="1:20" x14ac:dyDescent="0.25">
      <c r="A210">
        <v>100209</v>
      </c>
      <c r="B210" s="6">
        <v>44984</v>
      </c>
      <c r="C210">
        <v>2023</v>
      </c>
      <c r="D210" t="s">
        <v>63</v>
      </c>
      <c r="E210">
        <v>2</v>
      </c>
      <c r="F210" t="s">
        <v>81</v>
      </c>
      <c r="G210" t="s">
        <v>22</v>
      </c>
      <c r="H210" t="s">
        <v>23</v>
      </c>
      <c r="I210" t="s">
        <v>41</v>
      </c>
      <c r="J210" t="s">
        <v>54</v>
      </c>
      <c r="K210" t="s">
        <v>26</v>
      </c>
      <c r="L210" t="s">
        <v>69</v>
      </c>
      <c r="M210">
        <v>11</v>
      </c>
      <c r="N210">
        <v>130</v>
      </c>
      <c r="O210">
        <v>1387.1</v>
      </c>
      <c r="P210">
        <v>836</v>
      </c>
      <c r="Q210">
        <v>551.1</v>
      </c>
      <c r="R210">
        <v>0.03</v>
      </c>
      <c r="S210" t="s">
        <v>70</v>
      </c>
      <c r="T210">
        <v>96.75</v>
      </c>
    </row>
    <row r="211" spans="1:20" x14ac:dyDescent="0.25">
      <c r="A211">
        <v>100210</v>
      </c>
      <c r="B211" s="6">
        <v>45588</v>
      </c>
      <c r="C211">
        <v>2024</v>
      </c>
      <c r="D211" t="s">
        <v>43</v>
      </c>
      <c r="E211">
        <v>10</v>
      </c>
      <c r="F211" t="s">
        <v>44</v>
      </c>
      <c r="G211" t="s">
        <v>29</v>
      </c>
      <c r="H211" t="s">
        <v>23</v>
      </c>
      <c r="I211" t="s">
        <v>85</v>
      </c>
      <c r="J211" t="s">
        <v>68</v>
      </c>
      <c r="K211" t="s">
        <v>55</v>
      </c>
      <c r="L211" t="s">
        <v>93</v>
      </c>
      <c r="M211">
        <v>40</v>
      </c>
      <c r="N211">
        <v>60</v>
      </c>
      <c r="O211">
        <v>2280</v>
      </c>
      <c r="P211">
        <v>1680</v>
      </c>
      <c r="Q211">
        <v>600</v>
      </c>
      <c r="R211">
        <v>0.05</v>
      </c>
      <c r="S211" t="s">
        <v>38</v>
      </c>
      <c r="T211">
        <v>55.58</v>
      </c>
    </row>
    <row r="212" spans="1:20" x14ac:dyDescent="0.25">
      <c r="A212">
        <v>100211</v>
      </c>
      <c r="B212" s="6">
        <v>45559</v>
      </c>
      <c r="C212">
        <v>2024</v>
      </c>
      <c r="D212" t="s">
        <v>39</v>
      </c>
      <c r="E212">
        <v>9</v>
      </c>
      <c r="F212" t="s">
        <v>40</v>
      </c>
      <c r="G212" t="s">
        <v>22</v>
      </c>
      <c r="H212" t="s">
        <v>23</v>
      </c>
      <c r="I212" t="s">
        <v>65</v>
      </c>
      <c r="J212" t="s">
        <v>66</v>
      </c>
      <c r="K212" t="s">
        <v>32</v>
      </c>
      <c r="L212" t="s">
        <v>47</v>
      </c>
      <c r="M212">
        <v>149</v>
      </c>
      <c r="N212">
        <v>180</v>
      </c>
      <c r="O212">
        <v>24138</v>
      </c>
      <c r="P212">
        <v>17135</v>
      </c>
      <c r="Q212">
        <v>7003</v>
      </c>
      <c r="R212">
        <v>0.1</v>
      </c>
      <c r="S212" t="s">
        <v>38</v>
      </c>
      <c r="T212">
        <v>992.52</v>
      </c>
    </row>
    <row r="213" spans="1:20" x14ac:dyDescent="0.25">
      <c r="A213">
        <v>100212</v>
      </c>
      <c r="B213" s="6">
        <v>45274</v>
      </c>
      <c r="C213">
        <v>2023</v>
      </c>
      <c r="D213" t="s">
        <v>43</v>
      </c>
      <c r="E213">
        <v>12</v>
      </c>
      <c r="F213" t="s">
        <v>83</v>
      </c>
      <c r="G213" t="s">
        <v>22</v>
      </c>
      <c r="H213" t="s">
        <v>23</v>
      </c>
      <c r="I213" t="s">
        <v>65</v>
      </c>
      <c r="J213" t="s">
        <v>66</v>
      </c>
      <c r="K213" t="s">
        <v>32</v>
      </c>
      <c r="L213" t="s">
        <v>47</v>
      </c>
      <c r="M213">
        <v>113</v>
      </c>
      <c r="N213">
        <v>180</v>
      </c>
      <c r="O213">
        <v>19323</v>
      </c>
      <c r="P213">
        <v>12995</v>
      </c>
      <c r="Q213">
        <v>6328</v>
      </c>
      <c r="R213">
        <v>0.05</v>
      </c>
      <c r="S213" t="s">
        <v>70</v>
      </c>
      <c r="T213">
        <v>548.79</v>
      </c>
    </row>
    <row r="214" spans="1:20" x14ac:dyDescent="0.25">
      <c r="A214">
        <v>100213</v>
      </c>
      <c r="B214" s="6">
        <v>45332</v>
      </c>
      <c r="C214">
        <v>2024</v>
      </c>
      <c r="D214" t="s">
        <v>63</v>
      </c>
      <c r="E214">
        <v>2</v>
      </c>
      <c r="F214" t="s">
        <v>81</v>
      </c>
      <c r="G214" t="s">
        <v>35</v>
      </c>
      <c r="H214" t="s">
        <v>23</v>
      </c>
      <c r="I214" t="s">
        <v>80</v>
      </c>
      <c r="J214" t="s">
        <v>61</v>
      </c>
      <c r="K214" t="s">
        <v>26</v>
      </c>
      <c r="L214" t="s">
        <v>27</v>
      </c>
      <c r="M214">
        <v>25</v>
      </c>
      <c r="N214">
        <v>110</v>
      </c>
      <c r="O214">
        <v>2667.5</v>
      </c>
      <c r="P214">
        <v>1700</v>
      </c>
      <c r="Q214">
        <v>967.5</v>
      </c>
      <c r="R214">
        <v>0.03</v>
      </c>
      <c r="S214" t="s">
        <v>38</v>
      </c>
      <c r="T214">
        <v>63.38</v>
      </c>
    </row>
    <row r="215" spans="1:20" x14ac:dyDescent="0.25">
      <c r="A215">
        <v>100214</v>
      </c>
      <c r="B215" s="6">
        <v>45407</v>
      </c>
      <c r="C215">
        <v>2024</v>
      </c>
      <c r="D215" t="s">
        <v>20</v>
      </c>
      <c r="E215">
        <v>4</v>
      </c>
      <c r="F215" t="s">
        <v>34</v>
      </c>
      <c r="G215" t="s">
        <v>22</v>
      </c>
      <c r="H215" t="s">
        <v>23</v>
      </c>
      <c r="I215" t="s">
        <v>41</v>
      </c>
      <c r="J215" t="s">
        <v>42</v>
      </c>
      <c r="K215" t="s">
        <v>51</v>
      </c>
      <c r="L215" t="s">
        <v>92</v>
      </c>
      <c r="M215">
        <v>94</v>
      </c>
      <c r="N215">
        <v>50</v>
      </c>
      <c r="O215">
        <v>4606</v>
      </c>
      <c r="P215">
        <v>2726</v>
      </c>
      <c r="Q215">
        <v>1880</v>
      </c>
      <c r="R215">
        <v>0.02</v>
      </c>
      <c r="S215" t="s">
        <v>38</v>
      </c>
      <c r="T215">
        <v>129.65</v>
      </c>
    </row>
    <row r="216" spans="1:20" x14ac:dyDescent="0.25">
      <c r="A216">
        <v>100215</v>
      </c>
      <c r="B216" s="6">
        <v>45237</v>
      </c>
      <c r="C216">
        <v>2023</v>
      </c>
      <c r="D216" t="s">
        <v>43</v>
      </c>
      <c r="E216">
        <v>11</v>
      </c>
      <c r="F216" t="s">
        <v>87</v>
      </c>
      <c r="G216" t="s">
        <v>35</v>
      </c>
      <c r="H216" t="s">
        <v>23</v>
      </c>
      <c r="I216" t="s">
        <v>53</v>
      </c>
      <c r="J216" t="s">
        <v>50</v>
      </c>
      <c r="K216" t="s">
        <v>26</v>
      </c>
      <c r="L216" t="s">
        <v>69</v>
      </c>
      <c r="M216">
        <v>95</v>
      </c>
      <c r="N216">
        <v>130</v>
      </c>
      <c r="O216">
        <v>11732.5</v>
      </c>
      <c r="P216">
        <v>7220</v>
      </c>
      <c r="Q216">
        <v>4512.5</v>
      </c>
      <c r="R216">
        <v>0.05</v>
      </c>
      <c r="S216" t="s">
        <v>28</v>
      </c>
      <c r="T216">
        <v>428.32</v>
      </c>
    </row>
    <row r="217" spans="1:20" x14ac:dyDescent="0.25">
      <c r="A217">
        <v>100216</v>
      </c>
      <c r="B217" s="6">
        <v>44968</v>
      </c>
      <c r="C217">
        <v>2023</v>
      </c>
      <c r="D217" t="s">
        <v>63</v>
      </c>
      <c r="E217">
        <v>2</v>
      </c>
      <c r="F217" t="s">
        <v>81</v>
      </c>
      <c r="G217" t="s">
        <v>35</v>
      </c>
      <c r="H217" t="s">
        <v>23</v>
      </c>
      <c r="I217" t="s">
        <v>36</v>
      </c>
      <c r="J217" t="s">
        <v>66</v>
      </c>
      <c r="K217" t="s">
        <v>59</v>
      </c>
      <c r="L217" t="s">
        <v>86</v>
      </c>
      <c r="M217">
        <v>143</v>
      </c>
      <c r="N217">
        <v>160</v>
      </c>
      <c r="O217">
        <v>22880</v>
      </c>
      <c r="P217">
        <v>13585</v>
      </c>
      <c r="Q217">
        <v>9295</v>
      </c>
      <c r="R217">
        <v>0</v>
      </c>
      <c r="S217" t="s">
        <v>38</v>
      </c>
      <c r="T217">
        <v>609.96</v>
      </c>
    </row>
    <row r="218" spans="1:20" x14ac:dyDescent="0.25">
      <c r="A218">
        <v>100217</v>
      </c>
      <c r="B218" s="6">
        <v>45504</v>
      </c>
      <c r="C218">
        <v>2024</v>
      </c>
      <c r="D218" t="s">
        <v>39</v>
      </c>
      <c r="E218">
        <v>7</v>
      </c>
      <c r="F218" t="s">
        <v>75</v>
      </c>
      <c r="G218" t="s">
        <v>22</v>
      </c>
      <c r="H218" t="s">
        <v>23</v>
      </c>
      <c r="I218" t="s">
        <v>41</v>
      </c>
      <c r="J218" t="s">
        <v>68</v>
      </c>
      <c r="K218" t="s">
        <v>51</v>
      </c>
      <c r="L218" t="s">
        <v>76</v>
      </c>
      <c r="M218">
        <v>29</v>
      </c>
      <c r="N218">
        <v>40</v>
      </c>
      <c r="O218">
        <v>1102</v>
      </c>
      <c r="P218">
        <v>667</v>
      </c>
      <c r="Q218">
        <v>435</v>
      </c>
      <c r="R218">
        <v>0.05</v>
      </c>
      <c r="S218" t="s">
        <v>38</v>
      </c>
      <c r="T218">
        <v>73.06</v>
      </c>
    </row>
    <row r="219" spans="1:20" x14ac:dyDescent="0.25">
      <c r="A219">
        <v>100218</v>
      </c>
      <c r="B219" s="6">
        <v>45748</v>
      </c>
      <c r="C219">
        <v>2025</v>
      </c>
      <c r="D219" t="s">
        <v>20</v>
      </c>
      <c r="E219">
        <v>4</v>
      </c>
      <c r="F219" t="s">
        <v>34</v>
      </c>
      <c r="G219" t="s">
        <v>45</v>
      </c>
      <c r="H219" t="s">
        <v>23</v>
      </c>
      <c r="I219" t="s">
        <v>62</v>
      </c>
      <c r="J219" t="s">
        <v>50</v>
      </c>
      <c r="K219" t="s">
        <v>59</v>
      </c>
      <c r="L219" t="s">
        <v>60</v>
      </c>
      <c r="M219">
        <v>119</v>
      </c>
      <c r="N219">
        <v>45</v>
      </c>
      <c r="O219">
        <v>4926.6000000000004</v>
      </c>
      <c r="P219">
        <v>3213</v>
      </c>
      <c r="Q219">
        <v>1713.6</v>
      </c>
      <c r="R219">
        <v>0.08</v>
      </c>
      <c r="S219" t="s">
        <v>70</v>
      </c>
      <c r="T219">
        <v>298.62</v>
      </c>
    </row>
    <row r="220" spans="1:20" x14ac:dyDescent="0.25">
      <c r="A220">
        <v>100219</v>
      </c>
      <c r="B220" s="6">
        <v>45828</v>
      </c>
      <c r="C220">
        <v>2025</v>
      </c>
      <c r="D220" t="s">
        <v>20</v>
      </c>
      <c r="E220">
        <v>6</v>
      </c>
      <c r="F220" t="s">
        <v>48</v>
      </c>
      <c r="G220" t="s">
        <v>45</v>
      </c>
      <c r="H220" t="s">
        <v>23</v>
      </c>
      <c r="I220" t="s">
        <v>46</v>
      </c>
      <c r="J220" t="s">
        <v>50</v>
      </c>
      <c r="K220" t="s">
        <v>51</v>
      </c>
      <c r="L220" t="s">
        <v>72</v>
      </c>
      <c r="M220">
        <v>34</v>
      </c>
      <c r="N220">
        <v>90</v>
      </c>
      <c r="O220">
        <v>2998.8</v>
      </c>
      <c r="P220">
        <v>1768</v>
      </c>
      <c r="Q220">
        <v>1230.8</v>
      </c>
      <c r="R220">
        <v>0.02</v>
      </c>
      <c r="S220" t="s">
        <v>28</v>
      </c>
      <c r="T220">
        <v>58.17</v>
      </c>
    </row>
    <row r="221" spans="1:20" x14ac:dyDescent="0.25">
      <c r="A221">
        <v>100220</v>
      </c>
      <c r="B221" s="6">
        <v>45018</v>
      </c>
      <c r="C221">
        <v>2023</v>
      </c>
      <c r="D221" t="s">
        <v>20</v>
      </c>
      <c r="E221">
        <v>4</v>
      </c>
      <c r="F221" t="s">
        <v>34</v>
      </c>
      <c r="G221" t="s">
        <v>45</v>
      </c>
      <c r="H221" t="s">
        <v>23</v>
      </c>
      <c r="I221" t="s">
        <v>90</v>
      </c>
      <c r="J221" t="s">
        <v>25</v>
      </c>
      <c r="K221" t="s">
        <v>59</v>
      </c>
      <c r="L221" t="s">
        <v>86</v>
      </c>
      <c r="M221">
        <v>69</v>
      </c>
      <c r="N221">
        <v>160</v>
      </c>
      <c r="O221">
        <v>10156.799999999999</v>
      </c>
      <c r="P221">
        <v>6555</v>
      </c>
      <c r="Q221">
        <v>3601.8</v>
      </c>
      <c r="R221">
        <v>0.08</v>
      </c>
      <c r="S221" t="s">
        <v>70</v>
      </c>
      <c r="T221">
        <v>152.54</v>
      </c>
    </row>
    <row r="222" spans="1:20" x14ac:dyDescent="0.25">
      <c r="A222">
        <v>100221</v>
      </c>
      <c r="B222" s="6">
        <v>46010</v>
      </c>
      <c r="C222">
        <v>2025</v>
      </c>
      <c r="D222" t="s">
        <v>43</v>
      </c>
      <c r="E222">
        <v>12</v>
      </c>
      <c r="F222" t="s">
        <v>83</v>
      </c>
      <c r="G222" t="s">
        <v>22</v>
      </c>
      <c r="H222" t="s">
        <v>23</v>
      </c>
      <c r="I222" t="s">
        <v>24</v>
      </c>
      <c r="J222" t="s">
        <v>68</v>
      </c>
      <c r="K222" t="s">
        <v>51</v>
      </c>
      <c r="L222" t="s">
        <v>92</v>
      </c>
      <c r="M222">
        <v>19</v>
      </c>
      <c r="N222">
        <v>50</v>
      </c>
      <c r="O222">
        <v>931</v>
      </c>
      <c r="P222">
        <v>551</v>
      </c>
      <c r="Q222">
        <v>380</v>
      </c>
      <c r="R222">
        <v>0.02</v>
      </c>
      <c r="S222" t="s">
        <v>38</v>
      </c>
      <c r="T222">
        <v>38.78</v>
      </c>
    </row>
    <row r="223" spans="1:20" x14ac:dyDescent="0.25">
      <c r="A223">
        <v>100222</v>
      </c>
      <c r="B223" s="6">
        <v>46006</v>
      </c>
      <c r="C223">
        <v>2025</v>
      </c>
      <c r="D223" t="s">
        <v>43</v>
      </c>
      <c r="E223">
        <v>12</v>
      </c>
      <c r="F223" t="s">
        <v>83</v>
      </c>
      <c r="G223" t="s">
        <v>22</v>
      </c>
      <c r="H223" t="s">
        <v>23</v>
      </c>
      <c r="I223" t="s">
        <v>71</v>
      </c>
      <c r="J223" t="s">
        <v>66</v>
      </c>
      <c r="K223" t="s">
        <v>51</v>
      </c>
      <c r="L223" t="s">
        <v>92</v>
      </c>
      <c r="M223">
        <v>108</v>
      </c>
      <c r="N223">
        <v>50</v>
      </c>
      <c r="O223">
        <v>5400</v>
      </c>
      <c r="P223">
        <v>3132</v>
      </c>
      <c r="Q223">
        <v>2268</v>
      </c>
      <c r="R223">
        <v>0</v>
      </c>
      <c r="S223" t="s">
        <v>38</v>
      </c>
      <c r="T223">
        <v>313.45999999999998</v>
      </c>
    </row>
    <row r="224" spans="1:20" x14ac:dyDescent="0.25">
      <c r="A224">
        <v>100223</v>
      </c>
      <c r="B224" s="6">
        <v>45326</v>
      </c>
      <c r="C224">
        <v>2024</v>
      </c>
      <c r="D224" t="s">
        <v>63</v>
      </c>
      <c r="E224">
        <v>2</v>
      </c>
      <c r="F224" t="s">
        <v>81</v>
      </c>
      <c r="G224" t="s">
        <v>29</v>
      </c>
      <c r="H224" t="s">
        <v>23</v>
      </c>
      <c r="I224" t="s">
        <v>73</v>
      </c>
      <c r="J224" t="s">
        <v>50</v>
      </c>
      <c r="K224" t="s">
        <v>59</v>
      </c>
      <c r="L224" t="s">
        <v>67</v>
      </c>
      <c r="M224">
        <v>49</v>
      </c>
      <c r="N224">
        <v>95</v>
      </c>
      <c r="O224">
        <v>4282.6000000000004</v>
      </c>
      <c r="P224">
        <v>2744</v>
      </c>
      <c r="Q224">
        <v>1538.6</v>
      </c>
      <c r="R224">
        <v>0.08</v>
      </c>
      <c r="S224" t="s">
        <v>38</v>
      </c>
      <c r="T224">
        <v>209.15</v>
      </c>
    </row>
    <row r="225" spans="1:20" x14ac:dyDescent="0.25">
      <c r="A225">
        <v>100224</v>
      </c>
      <c r="B225" s="6">
        <v>45346</v>
      </c>
      <c r="C225">
        <v>2024</v>
      </c>
      <c r="D225" t="s">
        <v>63</v>
      </c>
      <c r="E225">
        <v>2</v>
      </c>
      <c r="F225" t="s">
        <v>81</v>
      </c>
      <c r="G225" t="s">
        <v>29</v>
      </c>
      <c r="H225" t="s">
        <v>23</v>
      </c>
      <c r="I225" t="s">
        <v>85</v>
      </c>
      <c r="J225" t="s">
        <v>25</v>
      </c>
      <c r="K225" t="s">
        <v>51</v>
      </c>
      <c r="L225" t="s">
        <v>52</v>
      </c>
      <c r="M225">
        <v>125</v>
      </c>
      <c r="N225">
        <v>75</v>
      </c>
      <c r="O225">
        <v>9093.75</v>
      </c>
      <c r="P225">
        <v>5500</v>
      </c>
      <c r="Q225">
        <v>3593.75</v>
      </c>
      <c r="R225">
        <v>0.03</v>
      </c>
      <c r="S225" t="s">
        <v>38</v>
      </c>
      <c r="T225">
        <v>463.55</v>
      </c>
    </row>
    <row r="226" spans="1:20" x14ac:dyDescent="0.25">
      <c r="A226">
        <v>100225</v>
      </c>
      <c r="B226" s="6">
        <v>45018</v>
      </c>
      <c r="C226">
        <v>2023</v>
      </c>
      <c r="D226" t="s">
        <v>20</v>
      </c>
      <c r="E226">
        <v>4</v>
      </c>
      <c r="F226" t="s">
        <v>34</v>
      </c>
      <c r="G226" t="s">
        <v>35</v>
      </c>
      <c r="H226" t="s">
        <v>23</v>
      </c>
      <c r="I226" t="s">
        <v>36</v>
      </c>
      <c r="J226" t="s">
        <v>66</v>
      </c>
      <c r="K226" t="s">
        <v>32</v>
      </c>
      <c r="L226" t="s">
        <v>37</v>
      </c>
      <c r="M226">
        <v>95</v>
      </c>
      <c r="N226">
        <v>120</v>
      </c>
      <c r="O226">
        <v>10260</v>
      </c>
      <c r="P226">
        <v>7410</v>
      </c>
      <c r="Q226">
        <v>2850</v>
      </c>
      <c r="R226">
        <v>0.1</v>
      </c>
      <c r="S226" t="s">
        <v>70</v>
      </c>
      <c r="T226">
        <v>294.17</v>
      </c>
    </row>
    <row r="227" spans="1:20" x14ac:dyDescent="0.25">
      <c r="A227">
        <v>100226</v>
      </c>
      <c r="B227" s="6">
        <v>45172</v>
      </c>
      <c r="C227">
        <v>2023</v>
      </c>
      <c r="D227" t="s">
        <v>39</v>
      </c>
      <c r="E227">
        <v>9</v>
      </c>
      <c r="F227" t="s">
        <v>40</v>
      </c>
      <c r="G227" t="s">
        <v>35</v>
      </c>
      <c r="H227" t="s">
        <v>23</v>
      </c>
      <c r="I227" t="s">
        <v>53</v>
      </c>
      <c r="J227" t="s">
        <v>61</v>
      </c>
      <c r="K227" t="s">
        <v>59</v>
      </c>
      <c r="L227" t="s">
        <v>67</v>
      </c>
      <c r="M227">
        <v>67</v>
      </c>
      <c r="N227">
        <v>95</v>
      </c>
      <c r="O227">
        <v>6237.7</v>
      </c>
      <c r="P227">
        <v>3752</v>
      </c>
      <c r="Q227">
        <v>2485.6999999999998</v>
      </c>
      <c r="R227">
        <v>0.02</v>
      </c>
      <c r="S227" t="s">
        <v>38</v>
      </c>
      <c r="T227">
        <v>305.91000000000003</v>
      </c>
    </row>
    <row r="228" spans="1:20" x14ac:dyDescent="0.25">
      <c r="A228">
        <v>100227</v>
      </c>
      <c r="B228" s="6">
        <v>45168</v>
      </c>
      <c r="C228">
        <v>2023</v>
      </c>
      <c r="D228" t="s">
        <v>39</v>
      </c>
      <c r="E228">
        <v>8</v>
      </c>
      <c r="F228" t="s">
        <v>58</v>
      </c>
      <c r="G228" t="s">
        <v>45</v>
      </c>
      <c r="H228" t="s">
        <v>23</v>
      </c>
      <c r="I228" t="s">
        <v>46</v>
      </c>
      <c r="J228" t="s">
        <v>54</v>
      </c>
      <c r="K228" t="s">
        <v>32</v>
      </c>
      <c r="L228" t="s">
        <v>37</v>
      </c>
      <c r="M228">
        <v>148</v>
      </c>
      <c r="N228">
        <v>120</v>
      </c>
      <c r="O228">
        <v>17227.2</v>
      </c>
      <c r="P228">
        <v>11544</v>
      </c>
      <c r="Q228">
        <v>5683.2</v>
      </c>
      <c r="R228">
        <v>0.03</v>
      </c>
      <c r="S228" t="s">
        <v>38</v>
      </c>
      <c r="T228">
        <v>1058.43</v>
      </c>
    </row>
    <row r="229" spans="1:20" x14ac:dyDescent="0.25">
      <c r="A229">
        <v>100228</v>
      </c>
      <c r="B229" s="6">
        <v>45436</v>
      </c>
      <c r="C229">
        <v>2024</v>
      </c>
      <c r="D229" t="s">
        <v>20</v>
      </c>
      <c r="E229">
        <v>5</v>
      </c>
      <c r="F229" t="s">
        <v>21</v>
      </c>
      <c r="G229" t="s">
        <v>29</v>
      </c>
      <c r="H229" t="s">
        <v>23</v>
      </c>
      <c r="I229" t="s">
        <v>85</v>
      </c>
      <c r="J229" t="s">
        <v>50</v>
      </c>
      <c r="K229" t="s">
        <v>51</v>
      </c>
      <c r="L229" t="s">
        <v>72</v>
      </c>
      <c r="M229">
        <v>91</v>
      </c>
      <c r="N229">
        <v>90</v>
      </c>
      <c r="O229">
        <v>7944.3</v>
      </c>
      <c r="P229">
        <v>4732</v>
      </c>
      <c r="Q229">
        <v>3212.3</v>
      </c>
      <c r="R229">
        <v>0.03</v>
      </c>
      <c r="S229" t="s">
        <v>28</v>
      </c>
      <c r="T229">
        <v>283.39999999999998</v>
      </c>
    </row>
    <row r="230" spans="1:20" x14ac:dyDescent="0.25">
      <c r="A230">
        <v>100229</v>
      </c>
      <c r="B230" s="6">
        <v>45480</v>
      </c>
      <c r="C230">
        <v>2024</v>
      </c>
      <c r="D230" t="s">
        <v>39</v>
      </c>
      <c r="E230">
        <v>7</v>
      </c>
      <c r="F230" t="s">
        <v>75</v>
      </c>
      <c r="G230" t="s">
        <v>45</v>
      </c>
      <c r="H230" t="s">
        <v>23</v>
      </c>
      <c r="I230" t="s">
        <v>88</v>
      </c>
      <c r="J230" t="s">
        <v>68</v>
      </c>
      <c r="K230" t="s">
        <v>55</v>
      </c>
      <c r="L230" t="s">
        <v>93</v>
      </c>
      <c r="M230">
        <v>26</v>
      </c>
      <c r="N230">
        <v>60</v>
      </c>
      <c r="O230">
        <v>1482</v>
      </c>
      <c r="P230">
        <v>1092</v>
      </c>
      <c r="Q230">
        <v>390</v>
      </c>
      <c r="R230">
        <v>0.05</v>
      </c>
      <c r="S230" t="s">
        <v>70</v>
      </c>
      <c r="T230">
        <v>99.08</v>
      </c>
    </row>
    <row r="231" spans="1:20" x14ac:dyDescent="0.25">
      <c r="A231">
        <v>100230</v>
      </c>
      <c r="B231" s="6">
        <v>44955</v>
      </c>
      <c r="C231">
        <v>2023</v>
      </c>
      <c r="D231" t="s">
        <v>63</v>
      </c>
      <c r="E231">
        <v>1</v>
      </c>
      <c r="F231" t="s">
        <v>79</v>
      </c>
      <c r="G231" t="s">
        <v>45</v>
      </c>
      <c r="H231" t="s">
        <v>23</v>
      </c>
      <c r="I231" t="s">
        <v>88</v>
      </c>
      <c r="J231" t="s">
        <v>31</v>
      </c>
      <c r="K231" t="s">
        <v>55</v>
      </c>
      <c r="L231" t="s">
        <v>56</v>
      </c>
      <c r="M231">
        <v>30</v>
      </c>
      <c r="N231">
        <v>320</v>
      </c>
      <c r="O231">
        <v>8832</v>
      </c>
      <c r="P231">
        <v>7050</v>
      </c>
      <c r="Q231">
        <v>1782</v>
      </c>
      <c r="R231">
        <v>0.08</v>
      </c>
      <c r="S231" t="s">
        <v>28</v>
      </c>
      <c r="T231">
        <v>373.15</v>
      </c>
    </row>
    <row r="232" spans="1:20" x14ac:dyDescent="0.25">
      <c r="A232">
        <v>100231</v>
      </c>
      <c r="B232" s="6">
        <v>45126</v>
      </c>
      <c r="C232">
        <v>2023</v>
      </c>
      <c r="D232" t="s">
        <v>39</v>
      </c>
      <c r="E232">
        <v>7</v>
      </c>
      <c r="F232" t="s">
        <v>75</v>
      </c>
      <c r="G232" t="s">
        <v>45</v>
      </c>
      <c r="H232" t="s">
        <v>23</v>
      </c>
      <c r="I232" t="s">
        <v>90</v>
      </c>
      <c r="J232" t="s">
        <v>50</v>
      </c>
      <c r="K232" t="s">
        <v>55</v>
      </c>
      <c r="L232" t="s">
        <v>89</v>
      </c>
      <c r="M232">
        <v>97</v>
      </c>
      <c r="N232">
        <v>280</v>
      </c>
      <c r="O232">
        <v>24987.200000000001</v>
      </c>
      <c r="P232">
        <v>19885</v>
      </c>
      <c r="Q232">
        <v>5102.2</v>
      </c>
      <c r="R232">
        <v>0.08</v>
      </c>
      <c r="S232" t="s">
        <v>70</v>
      </c>
      <c r="T232">
        <v>520.05999999999995</v>
      </c>
    </row>
    <row r="233" spans="1:20" x14ac:dyDescent="0.25">
      <c r="A233">
        <v>100232</v>
      </c>
      <c r="B233" s="6">
        <v>45027</v>
      </c>
      <c r="C233">
        <v>2023</v>
      </c>
      <c r="D233" t="s">
        <v>20</v>
      </c>
      <c r="E233">
        <v>4</v>
      </c>
      <c r="F233" t="s">
        <v>34</v>
      </c>
      <c r="G233" t="s">
        <v>29</v>
      </c>
      <c r="H233" t="s">
        <v>23</v>
      </c>
      <c r="I233" t="s">
        <v>73</v>
      </c>
      <c r="J233" t="s">
        <v>25</v>
      </c>
      <c r="K233" t="s">
        <v>32</v>
      </c>
      <c r="L233" t="s">
        <v>74</v>
      </c>
      <c r="M233">
        <v>52</v>
      </c>
      <c r="N233">
        <v>25</v>
      </c>
      <c r="O233">
        <v>1235</v>
      </c>
      <c r="P233">
        <v>728</v>
      </c>
      <c r="Q233">
        <v>507</v>
      </c>
      <c r="R233">
        <v>0.05</v>
      </c>
      <c r="S233" t="s">
        <v>38</v>
      </c>
      <c r="T233">
        <v>73.010000000000005</v>
      </c>
    </row>
    <row r="234" spans="1:20" x14ac:dyDescent="0.25">
      <c r="A234">
        <v>100233</v>
      </c>
      <c r="B234" s="6">
        <v>45074</v>
      </c>
      <c r="C234">
        <v>2023</v>
      </c>
      <c r="D234" t="s">
        <v>20</v>
      </c>
      <c r="E234">
        <v>5</v>
      </c>
      <c r="F234" t="s">
        <v>21</v>
      </c>
      <c r="G234" t="s">
        <v>45</v>
      </c>
      <c r="H234" t="s">
        <v>23</v>
      </c>
      <c r="I234" t="s">
        <v>62</v>
      </c>
      <c r="J234" t="s">
        <v>25</v>
      </c>
      <c r="K234" t="s">
        <v>51</v>
      </c>
      <c r="L234" t="s">
        <v>76</v>
      </c>
      <c r="M234">
        <v>148</v>
      </c>
      <c r="N234">
        <v>40</v>
      </c>
      <c r="O234">
        <v>5328</v>
      </c>
      <c r="P234">
        <v>3404</v>
      </c>
      <c r="Q234">
        <v>1924</v>
      </c>
      <c r="R234">
        <v>0.1</v>
      </c>
      <c r="S234" t="s">
        <v>38</v>
      </c>
      <c r="T234">
        <v>356.06</v>
      </c>
    </row>
    <row r="235" spans="1:20" x14ac:dyDescent="0.25">
      <c r="A235">
        <v>100234</v>
      </c>
      <c r="B235" s="6">
        <v>45368</v>
      </c>
      <c r="C235">
        <v>2024</v>
      </c>
      <c r="D235" t="s">
        <v>63</v>
      </c>
      <c r="E235">
        <v>3</v>
      </c>
      <c r="F235" t="s">
        <v>64</v>
      </c>
      <c r="G235" t="s">
        <v>45</v>
      </c>
      <c r="H235" t="s">
        <v>23</v>
      </c>
      <c r="I235" t="s">
        <v>46</v>
      </c>
      <c r="J235" t="s">
        <v>31</v>
      </c>
      <c r="K235" t="s">
        <v>26</v>
      </c>
      <c r="L235" t="s">
        <v>82</v>
      </c>
      <c r="M235">
        <v>17</v>
      </c>
      <c r="N235">
        <v>105</v>
      </c>
      <c r="O235">
        <v>1749.3</v>
      </c>
      <c r="P235">
        <v>1037</v>
      </c>
      <c r="Q235">
        <v>712.3</v>
      </c>
      <c r="R235">
        <v>0.02</v>
      </c>
      <c r="S235" t="s">
        <v>70</v>
      </c>
      <c r="T235">
        <v>28.25</v>
      </c>
    </row>
    <row r="236" spans="1:20" x14ac:dyDescent="0.25">
      <c r="A236">
        <v>100235</v>
      </c>
      <c r="B236" s="6">
        <v>45286</v>
      </c>
      <c r="C236">
        <v>2023</v>
      </c>
      <c r="D236" t="s">
        <v>43</v>
      </c>
      <c r="E236">
        <v>12</v>
      </c>
      <c r="F236" t="s">
        <v>83</v>
      </c>
      <c r="G236" t="s">
        <v>45</v>
      </c>
      <c r="H236" t="s">
        <v>23</v>
      </c>
      <c r="I236" t="s">
        <v>46</v>
      </c>
      <c r="J236" t="s">
        <v>42</v>
      </c>
      <c r="K236" t="s">
        <v>51</v>
      </c>
      <c r="L236" t="s">
        <v>76</v>
      </c>
      <c r="M236">
        <v>58</v>
      </c>
      <c r="N236">
        <v>40</v>
      </c>
      <c r="O236">
        <v>2273.6</v>
      </c>
      <c r="P236">
        <v>1334</v>
      </c>
      <c r="Q236">
        <v>939.6</v>
      </c>
      <c r="R236">
        <v>0.02</v>
      </c>
      <c r="S236" t="s">
        <v>70</v>
      </c>
      <c r="T236">
        <v>66.709999999999994</v>
      </c>
    </row>
    <row r="237" spans="1:20" x14ac:dyDescent="0.25">
      <c r="A237">
        <v>100236</v>
      </c>
      <c r="B237" s="6">
        <v>45304</v>
      </c>
      <c r="C237">
        <v>2024</v>
      </c>
      <c r="D237" t="s">
        <v>63</v>
      </c>
      <c r="E237">
        <v>1</v>
      </c>
      <c r="F237" t="s">
        <v>79</v>
      </c>
      <c r="G237" t="s">
        <v>22</v>
      </c>
      <c r="H237" t="s">
        <v>23</v>
      </c>
      <c r="I237" t="s">
        <v>41</v>
      </c>
      <c r="J237" t="s">
        <v>61</v>
      </c>
      <c r="K237" t="s">
        <v>55</v>
      </c>
      <c r="L237" t="s">
        <v>84</v>
      </c>
      <c r="M237">
        <v>149</v>
      </c>
      <c r="N237">
        <v>55</v>
      </c>
      <c r="O237">
        <v>7949.15</v>
      </c>
      <c r="P237">
        <v>5513</v>
      </c>
      <c r="Q237">
        <v>2436.15</v>
      </c>
      <c r="R237">
        <v>0.03</v>
      </c>
      <c r="S237" t="s">
        <v>70</v>
      </c>
      <c r="T237">
        <v>169.06</v>
      </c>
    </row>
    <row r="238" spans="1:20" x14ac:dyDescent="0.25">
      <c r="A238">
        <v>100237</v>
      </c>
      <c r="B238" s="6">
        <v>45277</v>
      </c>
      <c r="C238">
        <v>2023</v>
      </c>
      <c r="D238" t="s">
        <v>43</v>
      </c>
      <c r="E238">
        <v>12</v>
      </c>
      <c r="F238" t="s">
        <v>83</v>
      </c>
      <c r="G238" t="s">
        <v>29</v>
      </c>
      <c r="H238" t="s">
        <v>23</v>
      </c>
      <c r="I238" t="s">
        <v>49</v>
      </c>
      <c r="J238" t="s">
        <v>68</v>
      </c>
      <c r="K238" t="s">
        <v>59</v>
      </c>
      <c r="L238" t="s">
        <v>86</v>
      </c>
      <c r="M238">
        <v>20</v>
      </c>
      <c r="N238">
        <v>160</v>
      </c>
      <c r="O238">
        <v>3200</v>
      </c>
      <c r="P238">
        <v>1900</v>
      </c>
      <c r="Q238">
        <v>1300</v>
      </c>
      <c r="R238">
        <v>0</v>
      </c>
      <c r="S238" t="s">
        <v>38</v>
      </c>
      <c r="T238">
        <v>67.5</v>
      </c>
    </row>
    <row r="239" spans="1:20" x14ac:dyDescent="0.25">
      <c r="A239">
        <v>100238</v>
      </c>
      <c r="B239" s="6">
        <v>45414</v>
      </c>
      <c r="C239">
        <v>2024</v>
      </c>
      <c r="D239" t="s">
        <v>20</v>
      </c>
      <c r="E239">
        <v>5</v>
      </c>
      <c r="F239" t="s">
        <v>21</v>
      </c>
      <c r="G239" t="s">
        <v>22</v>
      </c>
      <c r="H239" t="s">
        <v>23</v>
      </c>
      <c r="I239" t="s">
        <v>41</v>
      </c>
      <c r="J239" t="s">
        <v>61</v>
      </c>
      <c r="K239" t="s">
        <v>51</v>
      </c>
      <c r="L239" t="s">
        <v>92</v>
      </c>
      <c r="M239">
        <v>123</v>
      </c>
      <c r="N239">
        <v>50</v>
      </c>
      <c r="O239">
        <v>5535</v>
      </c>
      <c r="P239">
        <v>3567</v>
      </c>
      <c r="Q239">
        <v>1968</v>
      </c>
      <c r="R239">
        <v>0.1</v>
      </c>
      <c r="S239" t="s">
        <v>57</v>
      </c>
      <c r="T239">
        <v>156.30000000000001</v>
      </c>
    </row>
    <row r="240" spans="1:20" x14ac:dyDescent="0.25">
      <c r="A240">
        <v>100239</v>
      </c>
      <c r="B240" s="6">
        <v>45612</v>
      </c>
      <c r="C240">
        <v>2024</v>
      </c>
      <c r="D240" t="s">
        <v>43</v>
      </c>
      <c r="E240">
        <v>11</v>
      </c>
      <c r="F240" t="s">
        <v>87</v>
      </c>
      <c r="G240" t="s">
        <v>45</v>
      </c>
      <c r="H240" t="s">
        <v>23</v>
      </c>
      <c r="I240" t="s">
        <v>62</v>
      </c>
      <c r="J240" t="s">
        <v>50</v>
      </c>
      <c r="K240" t="s">
        <v>55</v>
      </c>
      <c r="L240" t="s">
        <v>84</v>
      </c>
      <c r="M240">
        <v>41</v>
      </c>
      <c r="N240">
        <v>55</v>
      </c>
      <c r="O240">
        <v>2209.9</v>
      </c>
      <c r="P240">
        <v>1517</v>
      </c>
      <c r="Q240">
        <v>692.9</v>
      </c>
      <c r="R240">
        <v>0.02</v>
      </c>
      <c r="S240" t="s">
        <v>28</v>
      </c>
      <c r="T240">
        <v>140.02000000000001</v>
      </c>
    </row>
    <row r="241" spans="1:20" x14ac:dyDescent="0.25">
      <c r="A241">
        <v>100240</v>
      </c>
      <c r="B241" s="6">
        <v>45075</v>
      </c>
      <c r="C241">
        <v>2023</v>
      </c>
      <c r="D241" t="s">
        <v>20</v>
      </c>
      <c r="E241">
        <v>5</v>
      </c>
      <c r="F241" t="s">
        <v>21</v>
      </c>
      <c r="G241" t="s">
        <v>45</v>
      </c>
      <c r="H241" t="s">
        <v>23</v>
      </c>
      <c r="I241" t="s">
        <v>88</v>
      </c>
      <c r="J241" t="s">
        <v>50</v>
      </c>
      <c r="K241" t="s">
        <v>59</v>
      </c>
      <c r="L241" t="s">
        <v>91</v>
      </c>
      <c r="M241">
        <v>55</v>
      </c>
      <c r="N241">
        <v>140</v>
      </c>
      <c r="O241">
        <v>7315</v>
      </c>
      <c r="P241">
        <v>4510</v>
      </c>
      <c r="Q241">
        <v>2805</v>
      </c>
      <c r="R241">
        <v>0.05</v>
      </c>
      <c r="S241" t="s">
        <v>38</v>
      </c>
      <c r="T241">
        <v>422.11</v>
      </c>
    </row>
    <row r="242" spans="1:20" x14ac:dyDescent="0.25">
      <c r="A242">
        <v>100241</v>
      </c>
      <c r="B242" s="6">
        <v>45182</v>
      </c>
      <c r="C242">
        <v>2023</v>
      </c>
      <c r="D242" t="s">
        <v>39</v>
      </c>
      <c r="E242">
        <v>9</v>
      </c>
      <c r="F242" t="s">
        <v>40</v>
      </c>
      <c r="G242" t="s">
        <v>35</v>
      </c>
      <c r="H242" t="s">
        <v>23</v>
      </c>
      <c r="I242" t="s">
        <v>36</v>
      </c>
      <c r="J242" t="s">
        <v>61</v>
      </c>
      <c r="K242" t="s">
        <v>55</v>
      </c>
      <c r="L242" t="s">
        <v>84</v>
      </c>
      <c r="M242">
        <v>101</v>
      </c>
      <c r="N242">
        <v>55</v>
      </c>
      <c r="O242">
        <v>5555</v>
      </c>
      <c r="P242">
        <v>3737</v>
      </c>
      <c r="Q242">
        <v>1818</v>
      </c>
      <c r="R242">
        <v>0</v>
      </c>
      <c r="S242" t="s">
        <v>57</v>
      </c>
      <c r="T242">
        <v>133.68</v>
      </c>
    </row>
    <row r="243" spans="1:20" x14ac:dyDescent="0.25">
      <c r="A243">
        <v>100242</v>
      </c>
      <c r="B243" s="6">
        <v>45362</v>
      </c>
      <c r="C243">
        <v>2024</v>
      </c>
      <c r="D243" t="s">
        <v>63</v>
      </c>
      <c r="E243">
        <v>3</v>
      </c>
      <c r="F243" t="s">
        <v>64</v>
      </c>
      <c r="G243" t="s">
        <v>22</v>
      </c>
      <c r="H243" t="s">
        <v>23</v>
      </c>
      <c r="I243" t="s">
        <v>41</v>
      </c>
      <c r="J243" t="s">
        <v>61</v>
      </c>
      <c r="K243" t="s">
        <v>32</v>
      </c>
      <c r="L243" t="s">
        <v>74</v>
      </c>
      <c r="M243">
        <v>97</v>
      </c>
      <c r="N243">
        <v>25</v>
      </c>
      <c r="O243">
        <v>2376.5</v>
      </c>
      <c r="P243">
        <v>1358</v>
      </c>
      <c r="Q243">
        <v>1018.5</v>
      </c>
      <c r="R243">
        <v>0.02</v>
      </c>
      <c r="S243" t="s">
        <v>70</v>
      </c>
      <c r="T243">
        <v>89.68</v>
      </c>
    </row>
    <row r="244" spans="1:20" x14ac:dyDescent="0.25">
      <c r="A244">
        <v>100243</v>
      </c>
      <c r="B244" s="6">
        <v>45622</v>
      </c>
      <c r="C244">
        <v>2024</v>
      </c>
      <c r="D244" t="s">
        <v>43</v>
      </c>
      <c r="E244">
        <v>11</v>
      </c>
      <c r="F244" t="s">
        <v>87</v>
      </c>
      <c r="G244" t="s">
        <v>22</v>
      </c>
      <c r="H244" t="s">
        <v>23</v>
      </c>
      <c r="I244" t="s">
        <v>24</v>
      </c>
      <c r="J244" t="s">
        <v>31</v>
      </c>
      <c r="K244" t="s">
        <v>32</v>
      </c>
      <c r="L244" t="s">
        <v>74</v>
      </c>
      <c r="M244">
        <v>39</v>
      </c>
      <c r="N244">
        <v>25</v>
      </c>
      <c r="O244">
        <v>897</v>
      </c>
      <c r="P244">
        <v>546</v>
      </c>
      <c r="Q244">
        <v>351</v>
      </c>
      <c r="R244">
        <v>0.08</v>
      </c>
      <c r="S244" t="s">
        <v>70</v>
      </c>
      <c r="T244">
        <v>44.85</v>
      </c>
    </row>
    <row r="245" spans="1:20" x14ac:dyDescent="0.25">
      <c r="A245">
        <v>100244</v>
      </c>
      <c r="B245" s="6">
        <v>45062</v>
      </c>
      <c r="C245">
        <v>2023</v>
      </c>
      <c r="D245" t="s">
        <v>20</v>
      </c>
      <c r="E245">
        <v>5</v>
      </c>
      <c r="F245" t="s">
        <v>21</v>
      </c>
      <c r="G245" t="s">
        <v>35</v>
      </c>
      <c r="H245" t="s">
        <v>23</v>
      </c>
      <c r="I245" t="s">
        <v>36</v>
      </c>
      <c r="J245" t="s">
        <v>31</v>
      </c>
      <c r="K245" t="s">
        <v>32</v>
      </c>
      <c r="L245" t="s">
        <v>37</v>
      </c>
      <c r="M245">
        <v>117</v>
      </c>
      <c r="N245">
        <v>120</v>
      </c>
      <c r="O245">
        <v>13338</v>
      </c>
      <c r="P245">
        <v>9126</v>
      </c>
      <c r="Q245">
        <v>4212</v>
      </c>
      <c r="R245">
        <v>0.05</v>
      </c>
      <c r="S245" t="s">
        <v>38</v>
      </c>
      <c r="T245">
        <v>927.65</v>
      </c>
    </row>
    <row r="246" spans="1:20" x14ac:dyDescent="0.25">
      <c r="A246">
        <v>100245</v>
      </c>
      <c r="B246" s="6">
        <v>45800</v>
      </c>
      <c r="C246">
        <v>2025</v>
      </c>
      <c r="D246" t="s">
        <v>20</v>
      </c>
      <c r="E246">
        <v>5</v>
      </c>
      <c r="F246" t="s">
        <v>21</v>
      </c>
      <c r="G246" t="s">
        <v>35</v>
      </c>
      <c r="H246" t="s">
        <v>23</v>
      </c>
      <c r="I246" t="s">
        <v>53</v>
      </c>
      <c r="J246" t="s">
        <v>68</v>
      </c>
      <c r="K246" t="s">
        <v>51</v>
      </c>
      <c r="L246" t="s">
        <v>92</v>
      </c>
      <c r="M246">
        <v>137</v>
      </c>
      <c r="N246">
        <v>50</v>
      </c>
      <c r="O246">
        <v>6302</v>
      </c>
      <c r="P246">
        <v>3973</v>
      </c>
      <c r="Q246">
        <v>2329</v>
      </c>
      <c r="R246">
        <v>0.08</v>
      </c>
      <c r="S246" t="s">
        <v>38</v>
      </c>
      <c r="T246">
        <v>307.69</v>
      </c>
    </row>
    <row r="247" spans="1:20" x14ac:dyDescent="0.25">
      <c r="A247">
        <v>100246</v>
      </c>
      <c r="B247" s="6">
        <v>45963</v>
      </c>
      <c r="C247">
        <v>2025</v>
      </c>
      <c r="D247" t="s">
        <v>43</v>
      </c>
      <c r="E247">
        <v>11</v>
      </c>
      <c r="F247" t="s">
        <v>87</v>
      </c>
      <c r="G247" t="s">
        <v>45</v>
      </c>
      <c r="H247" t="s">
        <v>23</v>
      </c>
      <c r="I247" t="s">
        <v>62</v>
      </c>
      <c r="J247" t="s">
        <v>66</v>
      </c>
      <c r="K247" t="s">
        <v>59</v>
      </c>
      <c r="L247" t="s">
        <v>86</v>
      </c>
      <c r="M247">
        <v>99</v>
      </c>
      <c r="N247">
        <v>160</v>
      </c>
      <c r="O247">
        <v>14572.8</v>
      </c>
      <c r="P247">
        <v>9405</v>
      </c>
      <c r="Q247">
        <v>5167.8</v>
      </c>
      <c r="R247">
        <v>0.08</v>
      </c>
      <c r="S247" t="s">
        <v>38</v>
      </c>
      <c r="T247">
        <v>885.99</v>
      </c>
    </row>
    <row r="248" spans="1:20" x14ac:dyDescent="0.25">
      <c r="A248">
        <v>100247</v>
      </c>
      <c r="B248" s="6">
        <v>45970</v>
      </c>
      <c r="C248">
        <v>2025</v>
      </c>
      <c r="D248" t="s">
        <v>43</v>
      </c>
      <c r="E248">
        <v>11</v>
      </c>
      <c r="F248" t="s">
        <v>87</v>
      </c>
      <c r="G248" t="s">
        <v>22</v>
      </c>
      <c r="H248" t="s">
        <v>23</v>
      </c>
      <c r="I248" t="s">
        <v>65</v>
      </c>
      <c r="J248" t="s">
        <v>50</v>
      </c>
      <c r="K248" t="s">
        <v>32</v>
      </c>
      <c r="L248" t="s">
        <v>74</v>
      </c>
      <c r="M248">
        <v>79</v>
      </c>
      <c r="N248">
        <v>25</v>
      </c>
      <c r="O248">
        <v>1817</v>
      </c>
      <c r="P248">
        <v>1106</v>
      </c>
      <c r="Q248">
        <v>711</v>
      </c>
      <c r="R248">
        <v>0.08</v>
      </c>
      <c r="S248" t="s">
        <v>38</v>
      </c>
      <c r="T248">
        <v>126.82</v>
      </c>
    </row>
    <row r="249" spans="1:20" x14ac:dyDescent="0.25">
      <c r="A249">
        <v>100248</v>
      </c>
      <c r="B249" s="6">
        <v>45970</v>
      </c>
      <c r="C249">
        <v>2025</v>
      </c>
      <c r="D249" t="s">
        <v>43</v>
      </c>
      <c r="E249">
        <v>11</v>
      </c>
      <c r="F249" t="s">
        <v>87</v>
      </c>
      <c r="G249" t="s">
        <v>35</v>
      </c>
      <c r="H249" t="s">
        <v>23</v>
      </c>
      <c r="I249" t="s">
        <v>80</v>
      </c>
      <c r="J249" t="s">
        <v>54</v>
      </c>
      <c r="K249" t="s">
        <v>32</v>
      </c>
      <c r="L249" t="s">
        <v>33</v>
      </c>
      <c r="M249">
        <v>46</v>
      </c>
      <c r="N249">
        <v>60</v>
      </c>
      <c r="O249">
        <v>2622</v>
      </c>
      <c r="P249">
        <v>1748</v>
      </c>
      <c r="Q249">
        <v>874</v>
      </c>
      <c r="R249">
        <v>0.05</v>
      </c>
      <c r="S249" t="s">
        <v>38</v>
      </c>
      <c r="T249">
        <v>39.6</v>
      </c>
    </row>
    <row r="250" spans="1:20" x14ac:dyDescent="0.25">
      <c r="A250">
        <v>100249</v>
      </c>
      <c r="B250" s="6">
        <v>44964</v>
      </c>
      <c r="C250">
        <v>2023</v>
      </c>
      <c r="D250" t="s">
        <v>63</v>
      </c>
      <c r="E250">
        <v>2</v>
      </c>
      <c r="F250" t="s">
        <v>81</v>
      </c>
      <c r="G250" t="s">
        <v>35</v>
      </c>
      <c r="H250" t="s">
        <v>23</v>
      </c>
      <c r="I250" t="s">
        <v>80</v>
      </c>
      <c r="J250" t="s">
        <v>61</v>
      </c>
      <c r="K250" t="s">
        <v>32</v>
      </c>
      <c r="L250" t="s">
        <v>37</v>
      </c>
      <c r="M250">
        <v>29</v>
      </c>
      <c r="N250">
        <v>120</v>
      </c>
      <c r="O250">
        <v>3375.6</v>
      </c>
      <c r="P250">
        <v>2262</v>
      </c>
      <c r="Q250">
        <v>1113.5999999999999</v>
      </c>
      <c r="R250">
        <v>0.03</v>
      </c>
      <c r="S250" t="s">
        <v>70</v>
      </c>
      <c r="T250">
        <v>212.95</v>
      </c>
    </row>
    <row r="251" spans="1:20" x14ac:dyDescent="0.25">
      <c r="A251">
        <v>100250</v>
      </c>
      <c r="B251" s="6">
        <v>45262</v>
      </c>
      <c r="C251">
        <v>2023</v>
      </c>
      <c r="D251" t="s">
        <v>43</v>
      </c>
      <c r="E251">
        <v>12</v>
      </c>
      <c r="F251" t="s">
        <v>83</v>
      </c>
      <c r="G251" t="s">
        <v>35</v>
      </c>
      <c r="H251" t="s">
        <v>23</v>
      </c>
      <c r="I251" t="s">
        <v>53</v>
      </c>
      <c r="J251" t="s">
        <v>54</v>
      </c>
      <c r="K251" t="s">
        <v>26</v>
      </c>
      <c r="L251" t="s">
        <v>82</v>
      </c>
      <c r="M251">
        <v>33</v>
      </c>
      <c r="N251">
        <v>105</v>
      </c>
      <c r="O251">
        <v>3291.75</v>
      </c>
      <c r="P251">
        <v>2013</v>
      </c>
      <c r="Q251">
        <v>1278.75</v>
      </c>
      <c r="R251">
        <v>0.05</v>
      </c>
      <c r="S251" t="s">
        <v>38</v>
      </c>
      <c r="T251">
        <v>195.12</v>
      </c>
    </row>
    <row r="252" spans="1:20" x14ac:dyDescent="0.25">
      <c r="A252">
        <v>100251</v>
      </c>
      <c r="B252" s="6">
        <v>45841</v>
      </c>
      <c r="C252">
        <v>2025</v>
      </c>
      <c r="D252" t="s">
        <v>39</v>
      </c>
      <c r="E252">
        <v>7</v>
      </c>
      <c r="F252" t="s">
        <v>75</v>
      </c>
      <c r="G252" t="s">
        <v>45</v>
      </c>
      <c r="H252" t="s">
        <v>23</v>
      </c>
      <c r="I252" t="s">
        <v>90</v>
      </c>
      <c r="J252" t="s">
        <v>61</v>
      </c>
      <c r="K252" t="s">
        <v>32</v>
      </c>
      <c r="L252" t="s">
        <v>33</v>
      </c>
      <c r="M252">
        <v>118</v>
      </c>
      <c r="N252">
        <v>60</v>
      </c>
      <c r="O252">
        <v>6726</v>
      </c>
      <c r="P252">
        <v>4484</v>
      </c>
      <c r="Q252">
        <v>2242</v>
      </c>
      <c r="R252">
        <v>0.05</v>
      </c>
      <c r="S252" t="s">
        <v>57</v>
      </c>
      <c r="T252">
        <v>464.15</v>
      </c>
    </row>
    <row r="253" spans="1:20" x14ac:dyDescent="0.25">
      <c r="A253">
        <v>100252</v>
      </c>
      <c r="B253" s="6">
        <v>44945</v>
      </c>
      <c r="C253">
        <v>2023</v>
      </c>
      <c r="D253" t="s">
        <v>63</v>
      </c>
      <c r="E253">
        <v>1</v>
      </c>
      <c r="F253" t="s">
        <v>79</v>
      </c>
      <c r="G253" t="s">
        <v>29</v>
      </c>
      <c r="H253" t="s">
        <v>23</v>
      </c>
      <c r="I253" t="s">
        <v>73</v>
      </c>
      <c r="J253" t="s">
        <v>50</v>
      </c>
      <c r="K253" t="s">
        <v>32</v>
      </c>
      <c r="L253" t="s">
        <v>74</v>
      </c>
      <c r="M253">
        <v>122</v>
      </c>
      <c r="N253">
        <v>25</v>
      </c>
      <c r="O253">
        <v>2958.5</v>
      </c>
      <c r="P253">
        <v>1708</v>
      </c>
      <c r="Q253">
        <v>1250.5</v>
      </c>
      <c r="R253">
        <v>0.03</v>
      </c>
      <c r="S253" t="s">
        <v>38</v>
      </c>
      <c r="T253">
        <v>58.79</v>
      </c>
    </row>
    <row r="254" spans="1:20" x14ac:dyDescent="0.25">
      <c r="A254">
        <v>100253</v>
      </c>
      <c r="B254" s="6">
        <v>45402</v>
      </c>
      <c r="C254">
        <v>2024</v>
      </c>
      <c r="D254" t="s">
        <v>20</v>
      </c>
      <c r="E254">
        <v>4</v>
      </c>
      <c r="F254" t="s">
        <v>34</v>
      </c>
      <c r="G254" t="s">
        <v>22</v>
      </c>
      <c r="H254" t="s">
        <v>23</v>
      </c>
      <c r="I254" t="s">
        <v>24</v>
      </c>
      <c r="J254" t="s">
        <v>50</v>
      </c>
      <c r="K254" t="s">
        <v>55</v>
      </c>
      <c r="L254" t="s">
        <v>56</v>
      </c>
      <c r="M254">
        <v>127</v>
      </c>
      <c r="N254">
        <v>320</v>
      </c>
      <c r="O254">
        <v>38608</v>
      </c>
      <c r="P254">
        <v>29845</v>
      </c>
      <c r="Q254">
        <v>8763</v>
      </c>
      <c r="R254">
        <v>0.05</v>
      </c>
      <c r="S254" t="s">
        <v>70</v>
      </c>
      <c r="T254">
        <v>1473.61</v>
      </c>
    </row>
    <row r="255" spans="1:20" x14ac:dyDescent="0.25">
      <c r="A255">
        <v>100254</v>
      </c>
      <c r="B255" s="6">
        <v>45997</v>
      </c>
      <c r="C255">
        <v>2025</v>
      </c>
      <c r="D255" t="s">
        <v>43</v>
      </c>
      <c r="E255">
        <v>12</v>
      </c>
      <c r="F255" t="s">
        <v>83</v>
      </c>
      <c r="G255" t="s">
        <v>22</v>
      </c>
      <c r="H255" t="s">
        <v>23</v>
      </c>
      <c r="I255" t="s">
        <v>24</v>
      </c>
      <c r="J255" t="s">
        <v>31</v>
      </c>
      <c r="K255" t="s">
        <v>51</v>
      </c>
      <c r="L255" t="s">
        <v>76</v>
      </c>
      <c r="M255">
        <v>133</v>
      </c>
      <c r="N255">
        <v>40</v>
      </c>
      <c r="O255">
        <v>5160.3999999999996</v>
      </c>
      <c r="P255">
        <v>3059</v>
      </c>
      <c r="Q255">
        <v>2101.4</v>
      </c>
      <c r="R255">
        <v>0.03</v>
      </c>
      <c r="S255" t="s">
        <v>38</v>
      </c>
      <c r="T255">
        <v>239.72</v>
      </c>
    </row>
    <row r="256" spans="1:20" x14ac:dyDescent="0.25">
      <c r="A256">
        <v>100255</v>
      </c>
      <c r="B256" s="6">
        <v>45426</v>
      </c>
      <c r="C256">
        <v>2024</v>
      </c>
      <c r="D256" t="s">
        <v>20</v>
      </c>
      <c r="E256">
        <v>5</v>
      </c>
      <c r="F256" t="s">
        <v>21</v>
      </c>
      <c r="G256" t="s">
        <v>45</v>
      </c>
      <c r="H256" t="s">
        <v>23</v>
      </c>
      <c r="I256" t="s">
        <v>88</v>
      </c>
      <c r="J256" t="s">
        <v>61</v>
      </c>
      <c r="K256" t="s">
        <v>51</v>
      </c>
      <c r="L256" t="s">
        <v>92</v>
      </c>
      <c r="M256">
        <v>116</v>
      </c>
      <c r="N256">
        <v>50</v>
      </c>
      <c r="O256">
        <v>5800</v>
      </c>
      <c r="P256">
        <v>3364</v>
      </c>
      <c r="Q256">
        <v>2436</v>
      </c>
      <c r="R256">
        <v>0</v>
      </c>
      <c r="S256" t="s">
        <v>57</v>
      </c>
      <c r="T256">
        <v>352.31</v>
      </c>
    </row>
    <row r="257" spans="1:20" x14ac:dyDescent="0.25">
      <c r="A257">
        <v>100256</v>
      </c>
      <c r="B257" s="6">
        <v>45489</v>
      </c>
      <c r="C257">
        <v>2024</v>
      </c>
      <c r="D257" t="s">
        <v>39</v>
      </c>
      <c r="E257">
        <v>7</v>
      </c>
      <c r="F257" t="s">
        <v>75</v>
      </c>
      <c r="G257" t="s">
        <v>45</v>
      </c>
      <c r="H257" t="s">
        <v>23</v>
      </c>
      <c r="I257" t="s">
        <v>90</v>
      </c>
      <c r="J257" t="s">
        <v>42</v>
      </c>
      <c r="K257" t="s">
        <v>51</v>
      </c>
      <c r="L257" t="s">
        <v>76</v>
      </c>
      <c r="M257">
        <v>78</v>
      </c>
      <c r="N257">
        <v>40</v>
      </c>
      <c r="O257">
        <v>2870.4</v>
      </c>
      <c r="P257">
        <v>1794</v>
      </c>
      <c r="Q257">
        <v>1076.4000000000001</v>
      </c>
      <c r="R257">
        <v>0.08</v>
      </c>
      <c r="S257" t="s">
        <v>70</v>
      </c>
      <c r="T257">
        <v>72.44</v>
      </c>
    </row>
    <row r="258" spans="1:20" x14ac:dyDescent="0.25">
      <c r="A258">
        <v>100257</v>
      </c>
      <c r="B258" s="6">
        <v>45630</v>
      </c>
      <c r="C258">
        <v>2024</v>
      </c>
      <c r="D258" t="s">
        <v>43</v>
      </c>
      <c r="E258">
        <v>12</v>
      </c>
      <c r="F258" t="s">
        <v>83</v>
      </c>
      <c r="G258" t="s">
        <v>45</v>
      </c>
      <c r="H258" t="s">
        <v>23</v>
      </c>
      <c r="I258" t="s">
        <v>62</v>
      </c>
      <c r="J258" t="s">
        <v>42</v>
      </c>
      <c r="K258" t="s">
        <v>32</v>
      </c>
      <c r="L258" t="s">
        <v>47</v>
      </c>
      <c r="M258">
        <v>135</v>
      </c>
      <c r="N258">
        <v>180</v>
      </c>
      <c r="O258">
        <v>23085</v>
      </c>
      <c r="P258">
        <v>15525</v>
      </c>
      <c r="Q258">
        <v>7560</v>
      </c>
      <c r="R258">
        <v>0.05</v>
      </c>
      <c r="S258" t="s">
        <v>57</v>
      </c>
      <c r="T258">
        <v>976.62</v>
      </c>
    </row>
    <row r="259" spans="1:20" x14ac:dyDescent="0.25">
      <c r="A259">
        <v>100258</v>
      </c>
      <c r="B259" s="6">
        <v>45538</v>
      </c>
      <c r="C259">
        <v>2024</v>
      </c>
      <c r="D259" t="s">
        <v>39</v>
      </c>
      <c r="E259">
        <v>9</v>
      </c>
      <c r="F259" t="s">
        <v>40</v>
      </c>
      <c r="G259" t="s">
        <v>35</v>
      </c>
      <c r="H259" t="s">
        <v>23</v>
      </c>
      <c r="I259" t="s">
        <v>77</v>
      </c>
      <c r="J259" t="s">
        <v>31</v>
      </c>
      <c r="K259" t="s">
        <v>32</v>
      </c>
      <c r="L259" t="s">
        <v>47</v>
      </c>
      <c r="M259">
        <v>117</v>
      </c>
      <c r="N259">
        <v>180</v>
      </c>
      <c r="O259">
        <v>21060</v>
      </c>
      <c r="P259">
        <v>13455</v>
      </c>
      <c r="Q259">
        <v>7605</v>
      </c>
      <c r="R259">
        <v>0</v>
      </c>
      <c r="S259" t="s">
        <v>70</v>
      </c>
      <c r="T259">
        <v>1186.22</v>
      </c>
    </row>
    <row r="260" spans="1:20" x14ac:dyDescent="0.25">
      <c r="A260">
        <v>100259</v>
      </c>
      <c r="B260" s="6">
        <v>45651</v>
      </c>
      <c r="C260">
        <v>2024</v>
      </c>
      <c r="D260" t="s">
        <v>43</v>
      </c>
      <c r="E260">
        <v>12</v>
      </c>
      <c r="F260" t="s">
        <v>83</v>
      </c>
      <c r="G260" t="s">
        <v>35</v>
      </c>
      <c r="H260" t="s">
        <v>23</v>
      </c>
      <c r="I260" t="s">
        <v>80</v>
      </c>
      <c r="J260" t="s">
        <v>50</v>
      </c>
      <c r="K260" t="s">
        <v>32</v>
      </c>
      <c r="L260" t="s">
        <v>33</v>
      </c>
      <c r="M260">
        <v>95</v>
      </c>
      <c r="N260">
        <v>60</v>
      </c>
      <c r="O260">
        <v>5586</v>
      </c>
      <c r="P260">
        <v>3610</v>
      </c>
      <c r="Q260">
        <v>1976</v>
      </c>
      <c r="R260">
        <v>0.02</v>
      </c>
      <c r="S260" t="s">
        <v>57</v>
      </c>
      <c r="T260">
        <v>159.66999999999999</v>
      </c>
    </row>
    <row r="261" spans="1:20" x14ac:dyDescent="0.25">
      <c r="A261">
        <v>100260</v>
      </c>
      <c r="B261" s="6">
        <v>45832</v>
      </c>
      <c r="C261">
        <v>2025</v>
      </c>
      <c r="D261" t="s">
        <v>20</v>
      </c>
      <c r="E261">
        <v>6</v>
      </c>
      <c r="F261" t="s">
        <v>48</v>
      </c>
      <c r="G261" t="s">
        <v>29</v>
      </c>
      <c r="H261" t="s">
        <v>23</v>
      </c>
      <c r="I261" t="s">
        <v>49</v>
      </c>
      <c r="J261" t="s">
        <v>31</v>
      </c>
      <c r="K261" t="s">
        <v>26</v>
      </c>
      <c r="L261" t="s">
        <v>78</v>
      </c>
      <c r="M261">
        <v>79</v>
      </c>
      <c r="N261">
        <v>95</v>
      </c>
      <c r="O261">
        <v>7505</v>
      </c>
      <c r="P261">
        <v>4582</v>
      </c>
      <c r="Q261">
        <v>2923</v>
      </c>
      <c r="R261">
        <v>0</v>
      </c>
      <c r="S261" t="s">
        <v>38</v>
      </c>
      <c r="T261">
        <v>313.83</v>
      </c>
    </row>
    <row r="262" spans="1:20" x14ac:dyDescent="0.25">
      <c r="A262">
        <v>100261</v>
      </c>
      <c r="B262" s="6">
        <v>45176</v>
      </c>
      <c r="C262">
        <v>2023</v>
      </c>
      <c r="D262" t="s">
        <v>39</v>
      </c>
      <c r="E262">
        <v>9</v>
      </c>
      <c r="F262" t="s">
        <v>40</v>
      </c>
      <c r="G262" t="s">
        <v>22</v>
      </c>
      <c r="H262" t="s">
        <v>23</v>
      </c>
      <c r="I262" t="s">
        <v>71</v>
      </c>
      <c r="J262" t="s">
        <v>31</v>
      </c>
      <c r="K262" t="s">
        <v>51</v>
      </c>
      <c r="L262" t="s">
        <v>76</v>
      </c>
      <c r="M262">
        <v>16</v>
      </c>
      <c r="N262">
        <v>40</v>
      </c>
      <c r="O262">
        <v>640</v>
      </c>
      <c r="P262">
        <v>368</v>
      </c>
      <c r="Q262">
        <v>272</v>
      </c>
      <c r="R262">
        <v>0</v>
      </c>
      <c r="S262" t="s">
        <v>57</v>
      </c>
      <c r="T262">
        <v>17.93</v>
      </c>
    </row>
    <row r="263" spans="1:20" x14ac:dyDescent="0.25">
      <c r="A263">
        <v>100262</v>
      </c>
      <c r="B263" s="6">
        <v>45870</v>
      </c>
      <c r="C263">
        <v>2025</v>
      </c>
      <c r="D263" t="s">
        <v>39</v>
      </c>
      <c r="E263">
        <v>8</v>
      </c>
      <c r="F263" t="s">
        <v>58</v>
      </c>
      <c r="G263" t="s">
        <v>22</v>
      </c>
      <c r="H263" t="s">
        <v>23</v>
      </c>
      <c r="I263" t="s">
        <v>71</v>
      </c>
      <c r="J263" t="s">
        <v>68</v>
      </c>
      <c r="K263" t="s">
        <v>32</v>
      </c>
      <c r="L263" t="s">
        <v>47</v>
      </c>
      <c r="M263">
        <v>129</v>
      </c>
      <c r="N263">
        <v>180</v>
      </c>
      <c r="O263">
        <v>22755.599999999999</v>
      </c>
      <c r="P263">
        <v>14835</v>
      </c>
      <c r="Q263">
        <v>7920.6</v>
      </c>
      <c r="R263">
        <v>0.02</v>
      </c>
      <c r="S263" t="s">
        <v>28</v>
      </c>
      <c r="T263">
        <v>1256</v>
      </c>
    </row>
    <row r="264" spans="1:20" x14ac:dyDescent="0.25">
      <c r="A264">
        <v>100263</v>
      </c>
      <c r="B264" s="6">
        <v>45910</v>
      </c>
      <c r="C264">
        <v>2025</v>
      </c>
      <c r="D264" t="s">
        <v>39</v>
      </c>
      <c r="E264">
        <v>9</v>
      </c>
      <c r="F264" t="s">
        <v>40</v>
      </c>
      <c r="G264" t="s">
        <v>45</v>
      </c>
      <c r="H264" t="s">
        <v>23</v>
      </c>
      <c r="I264" t="s">
        <v>90</v>
      </c>
      <c r="J264" t="s">
        <v>42</v>
      </c>
      <c r="K264" t="s">
        <v>51</v>
      </c>
      <c r="L264" t="s">
        <v>92</v>
      </c>
      <c r="M264">
        <v>137</v>
      </c>
      <c r="N264">
        <v>50</v>
      </c>
      <c r="O264">
        <v>6165</v>
      </c>
      <c r="P264">
        <v>3973</v>
      </c>
      <c r="Q264">
        <v>2192</v>
      </c>
      <c r="R264">
        <v>0.1</v>
      </c>
      <c r="S264" t="s">
        <v>38</v>
      </c>
      <c r="T264">
        <v>154.53</v>
      </c>
    </row>
    <row r="265" spans="1:20" x14ac:dyDescent="0.25">
      <c r="A265">
        <v>100264</v>
      </c>
      <c r="B265" s="6">
        <v>45821</v>
      </c>
      <c r="C265">
        <v>2025</v>
      </c>
      <c r="D265" t="s">
        <v>20</v>
      </c>
      <c r="E265">
        <v>6</v>
      </c>
      <c r="F265" t="s">
        <v>48</v>
      </c>
      <c r="G265" t="s">
        <v>35</v>
      </c>
      <c r="H265" t="s">
        <v>23</v>
      </c>
      <c r="I265" t="s">
        <v>77</v>
      </c>
      <c r="J265" t="s">
        <v>68</v>
      </c>
      <c r="K265" t="s">
        <v>55</v>
      </c>
      <c r="L265" t="s">
        <v>89</v>
      </c>
      <c r="M265">
        <v>42</v>
      </c>
      <c r="N265">
        <v>280</v>
      </c>
      <c r="O265">
        <v>11407.2</v>
      </c>
      <c r="P265">
        <v>8610</v>
      </c>
      <c r="Q265">
        <v>2797.2</v>
      </c>
      <c r="R265">
        <v>0.03</v>
      </c>
      <c r="S265" t="s">
        <v>70</v>
      </c>
      <c r="T265">
        <v>243.11</v>
      </c>
    </row>
    <row r="266" spans="1:20" x14ac:dyDescent="0.25">
      <c r="A266">
        <v>100265</v>
      </c>
      <c r="B266" s="6">
        <v>44969</v>
      </c>
      <c r="C266">
        <v>2023</v>
      </c>
      <c r="D266" t="s">
        <v>63</v>
      </c>
      <c r="E266">
        <v>2</v>
      </c>
      <c r="F266" t="s">
        <v>81</v>
      </c>
      <c r="G266" t="s">
        <v>45</v>
      </c>
      <c r="H266" t="s">
        <v>23</v>
      </c>
      <c r="I266" t="s">
        <v>90</v>
      </c>
      <c r="J266" t="s">
        <v>42</v>
      </c>
      <c r="K266" t="s">
        <v>26</v>
      </c>
      <c r="L266" t="s">
        <v>27</v>
      </c>
      <c r="M266">
        <v>107</v>
      </c>
      <c r="N266">
        <v>110</v>
      </c>
      <c r="O266">
        <v>11770</v>
      </c>
      <c r="P266">
        <v>7276</v>
      </c>
      <c r="Q266">
        <v>4494</v>
      </c>
      <c r="R266">
        <v>0</v>
      </c>
      <c r="S266" t="s">
        <v>70</v>
      </c>
      <c r="T266">
        <v>473.23</v>
      </c>
    </row>
    <row r="267" spans="1:20" x14ac:dyDescent="0.25">
      <c r="A267">
        <v>100266</v>
      </c>
      <c r="B267" s="6">
        <v>44948</v>
      </c>
      <c r="C267">
        <v>2023</v>
      </c>
      <c r="D267" t="s">
        <v>63</v>
      </c>
      <c r="E267">
        <v>1</v>
      </c>
      <c r="F267" t="s">
        <v>79</v>
      </c>
      <c r="G267" t="s">
        <v>29</v>
      </c>
      <c r="H267" t="s">
        <v>23</v>
      </c>
      <c r="I267" t="s">
        <v>73</v>
      </c>
      <c r="J267" t="s">
        <v>50</v>
      </c>
      <c r="K267" t="s">
        <v>26</v>
      </c>
      <c r="L267" t="s">
        <v>78</v>
      </c>
      <c r="M267">
        <v>121</v>
      </c>
      <c r="N267">
        <v>95</v>
      </c>
      <c r="O267">
        <v>11150.15</v>
      </c>
      <c r="P267">
        <v>7018</v>
      </c>
      <c r="Q267">
        <v>4132.1499999999996</v>
      </c>
      <c r="R267">
        <v>0.03</v>
      </c>
      <c r="S267" t="s">
        <v>38</v>
      </c>
      <c r="T267">
        <v>626.76</v>
      </c>
    </row>
    <row r="268" spans="1:20" x14ac:dyDescent="0.25">
      <c r="A268">
        <v>100267</v>
      </c>
      <c r="B268" s="6">
        <v>45497</v>
      </c>
      <c r="C268">
        <v>2024</v>
      </c>
      <c r="D268" t="s">
        <v>39</v>
      </c>
      <c r="E268">
        <v>7</v>
      </c>
      <c r="F268" t="s">
        <v>75</v>
      </c>
      <c r="G268" t="s">
        <v>35</v>
      </c>
      <c r="H268" t="s">
        <v>23</v>
      </c>
      <c r="I268" t="s">
        <v>53</v>
      </c>
      <c r="J268" t="s">
        <v>50</v>
      </c>
      <c r="K268" t="s">
        <v>32</v>
      </c>
      <c r="L268" t="s">
        <v>74</v>
      </c>
      <c r="M268">
        <v>58</v>
      </c>
      <c r="N268">
        <v>25</v>
      </c>
      <c r="O268">
        <v>1421</v>
      </c>
      <c r="P268">
        <v>812</v>
      </c>
      <c r="Q268">
        <v>609</v>
      </c>
      <c r="R268">
        <v>0.02</v>
      </c>
      <c r="S268" t="s">
        <v>70</v>
      </c>
      <c r="T268">
        <v>41.53</v>
      </c>
    </row>
    <row r="269" spans="1:20" x14ac:dyDescent="0.25">
      <c r="A269">
        <v>100268</v>
      </c>
      <c r="B269" s="6">
        <v>46018</v>
      </c>
      <c r="C269">
        <v>2025</v>
      </c>
      <c r="D269" t="s">
        <v>43</v>
      </c>
      <c r="E269">
        <v>12</v>
      </c>
      <c r="F269" t="s">
        <v>83</v>
      </c>
      <c r="G269" t="s">
        <v>35</v>
      </c>
      <c r="H269" t="s">
        <v>23</v>
      </c>
      <c r="I269" t="s">
        <v>80</v>
      </c>
      <c r="J269" t="s">
        <v>25</v>
      </c>
      <c r="K269" t="s">
        <v>59</v>
      </c>
      <c r="L269" t="s">
        <v>91</v>
      </c>
      <c r="M269">
        <v>88</v>
      </c>
      <c r="N269">
        <v>140</v>
      </c>
      <c r="O269">
        <v>11334.4</v>
      </c>
      <c r="P269">
        <v>7216</v>
      </c>
      <c r="Q269">
        <v>4118.3999999999996</v>
      </c>
      <c r="R269">
        <v>0.08</v>
      </c>
      <c r="S269" t="s">
        <v>28</v>
      </c>
      <c r="T269">
        <v>712.73</v>
      </c>
    </row>
    <row r="270" spans="1:20" x14ac:dyDescent="0.25">
      <c r="A270">
        <v>100269</v>
      </c>
      <c r="B270" s="6">
        <v>45606</v>
      </c>
      <c r="C270">
        <v>2024</v>
      </c>
      <c r="D270" t="s">
        <v>43</v>
      </c>
      <c r="E270">
        <v>11</v>
      </c>
      <c r="F270" t="s">
        <v>87</v>
      </c>
      <c r="G270" t="s">
        <v>35</v>
      </c>
      <c r="H270" t="s">
        <v>23</v>
      </c>
      <c r="I270" t="s">
        <v>80</v>
      </c>
      <c r="J270" t="s">
        <v>31</v>
      </c>
      <c r="K270" t="s">
        <v>26</v>
      </c>
      <c r="L270" t="s">
        <v>69</v>
      </c>
      <c r="M270">
        <v>75</v>
      </c>
      <c r="N270">
        <v>130</v>
      </c>
      <c r="O270">
        <v>9750</v>
      </c>
      <c r="P270">
        <v>5700</v>
      </c>
      <c r="Q270">
        <v>4050</v>
      </c>
      <c r="R270">
        <v>0</v>
      </c>
      <c r="S270" t="s">
        <v>38</v>
      </c>
      <c r="T270">
        <v>395.03</v>
      </c>
    </row>
    <row r="271" spans="1:20" x14ac:dyDescent="0.25">
      <c r="A271">
        <v>100270</v>
      </c>
      <c r="B271" s="6">
        <v>45938</v>
      </c>
      <c r="C271">
        <v>2025</v>
      </c>
      <c r="D271" t="s">
        <v>43</v>
      </c>
      <c r="E271">
        <v>10</v>
      </c>
      <c r="F271" t="s">
        <v>44</v>
      </c>
      <c r="G271" t="s">
        <v>22</v>
      </c>
      <c r="H271" t="s">
        <v>23</v>
      </c>
      <c r="I271" t="s">
        <v>41</v>
      </c>
      <c r="J271" t="s">
        <v>61</v>
      </c>
      <c r="K271" t="s">
        <v>51</v>
      </c>
      <c r="L271" t="s">
        <v>52</v>
      </c>
      <c r="M271">
        <v>98</v>
      </c>
      <c r="N271">
        <v>75</v>
      </c>
      <c r="O271">
        <v>7129.5</v>
      </c>
      <c r="P271">
        <v>4312</v>
      </c>
      <c r="Q271">
        <v>2817.5</v>
      </c>
      <c r="R271">
        <v>0.03</v>
      </c>
      <c r="S271" t="s">
        <v>28</v>
      </c>
      <c r="T271">
        <v>143.57</v>
      </c>
    </row>
    <row r="272" spans="1:20" x14ac:dyDescent="0.25">
      <c r="A272">
        <v>100271</v>
      </c>
      <c r="B272" s="6">
        <v>45430</v>
      </c>
      <c r="C272">
        <v>2024</v>
      </c>
      <c r="D272" t="s">
        <v>20</v>
      </c>
      <c r="E272">
        <v>5</v>
      </c>
      <c r="F272" t="s">
        <v>21</v>
      </c>
      <c r="G272" t="s">
        <v>29</v>
      </c>
      <c r="H272" t="s">
        <v>23</v>
      </c>
      <c r="I272" t="s">
        <v>85</v>
      </c>
      <c r="J272" t="s">
        <v>54</v>
      </c>
      <c r="K272" t="s">
        <v>32</v>
      </c>
      <c r="L272" t="s">
        <v>47</v>
      </c>
      <c r="M272">
        <v>50</v>
      </c>
      <c r="N272">
        <v>180</v>
      </c>
      <c r="O272">
        <v>8550</v>
      </c>
      <c r="P272">
        <v>5750</v>
      </c>
      <c r="Q272">
        <v>2800</v>
      </c>
      <c r="R272">
        <v>0.05</v>
      </c>
      <c r="S272" t="s">
        <v>70</v>
      </c>
      <c r="T272">
        <v>426.66</v>
      </c>
    </row>
    <row r="273" spans="1:20" x14ac:dyDescent="0.25">
      <c r="A273">
        <v>100272</v>
      </c>
      <c r="B273" s="6">
        <v>45164</v>
      </c>
      <c r="C273">
        <v>2023</v>
      </c>
      <c r="D273" t="s">
        <v>39</v>
      </c>
      <c r="E273">
        <v>8</v>
      </c>
      <c r="F273" t="s">
        <v>58</v>
      </c>
      <c r="G273" t="s">
        <v>29</v>
      </c>
      <c r="H273" t="s">
        <v>23</v>
      </c>
      <c r="I273" t="s">
        <v>85</v>
      </c>
      <c r="J273" t="s">
        <v>61</v>
      </c>
      <c r="K273" t="s">
        <v>32</v>
      </c>
      <c r="L273" t="s">
        <v>47</v>
      </c>
      <c r="M273">
        <v>21</v>
      </c>
      <c r="N273">
        <v>180</v>
      </c>
      <c r="O273">
        <v>3780</v>
      </c>
      <c r="P273">
        <v>2415</v>
      </c>
      <c r="Q273">
        <v>1365</v>
      </c>
      <c r="R273">
        <v>0</v>
      </c>
      <c r="S273" t="s">
        <v>28</v>
      </c>
      <c r="T273">
        <v>184.24</v>
      </c>
    </row>
    <row r="274" spans="1:20" x14ac:dyDescent="0.25">
      <c r="A274">
        <v>100273</v>
      </c>
      <c r="B274" s="6">
        <v>44966</v>
      </c>
      <c r="C274">
        <v>2023</v>
      </c>
      <c r="D274" t="s">
        <v>63</v>
      </c>
      <c r="E274">
        <v>2</v>
      </c>
      <c r="F274" t="s">
        <v>81</v>
      </c>
      <c r="G274" t="s">
        <v>35</v>
      </c>
      <c r="H274" t="s">
        <v>23</v>
      </c>
      <c r="I274" t="s">
        <v>77</v>
      </c>
      <c r="J274" t="s">
        <v>25</v>
      </c>
      <c r="K274" t="s">
        <v>59</v>
      </c>
      <c r="L274" t="s">
        <v>67</v>
      </c>
      <c r="M274">
        <v>17</v>
      </c>
      <c r="N274">
        <v>95</v>
      </c>
      <c r="O274">
        <v>1485.8</v>
      </c>
      <c r="P274">
        <v>952</v>
      </c>
      <c r="Q274">
        <v>533.79999999999995</v>
      </c>
      <c r="R274">
        <v>0.08</v>
      </c>
      <c r="S274" t="s">
        <v>38</v>
      </c>
      <c r="T274">
        <v>75.760000000000005</v>
      </c>
    </row>
    <row r="275" spans="1:20" x14ac:dyDescent="0.25">
      <c r="A275">
        <v>100274</v>
      </c>
      <c r="B275" s="6">
        <v>45916</v>
      </c>
      <c r="C275">
        <v>2025</v>
      </c>
      <c r="D275" t="s">
        <v>39</v>
      </c>
      <c r="E275">
        <v>9</v>
      </c>
      <c r="F275" t="s">
        <v>40</v>
      </c>
      <c r="G275" t="s">
        <v>35</v>
      </c>
      <c r="H275" t="s">
        <v>23</v>
      </c>
      <c r="I275" t="s">
        <v>36</v>
      </c>
      <c r="J275" t="s">
        <v>31</v>
      </c>
      <c r="K275" t="s">
        <v>32</v>
      </c>
      <c r="L275" t="s">
        <v>47</v>
      </c>
      <c r="M275">
        <v>146</v>
      </c>
      <c r="N275">
        <v>180</v>
      </c>
      <c r="O275">
        <v>24177.599999999999</v>
      </c>
      <c r="P275">
        <v>16790</v>
      </c>
      <c r="Q275">
        <v>7387.6</v>
      </c>
      <c r="R275">
        <v>0.08</v>
      </c>
      <c r="S275" t="s">
        <v>28</v>
      </c>
      <c r="T275">
        <v>1034.47</v>
      </c>
    </row>
    <row r="276" spans="1:20" x14ac:dyDescent="0.25">
      <c r="A276">
        <v>100275</v>
      </c>
      <c r="B276" s="6">
        <v>45939</v>
      </c>
      <c r="C276">
        <v>2025</v>
      </c>
      <c r="D276" t="s">
        <v>43</v>
      </c>
      <c r="E276">
        <v>10</v>
      </c>
      <c r="F276" t="s">
        <v>44</v>
      </c>
      <c r="G276" t="s">
        <v>45</v>
      </c>
      <c r="H276" t="s">
        <v>23</v>
      </c>
      <c r="I276" t="s">
        <v>88</v>
      </c>
      <c r="J276" t="s">
        <v>31</v>
      </c>
      <c r="K276" t="s">
        <v>59</v>
      </c>
      <c r="L276" t="s">
        <v>91</v>
      </c>
      <c r="M276">
        <v>111</v>
      </c>
      <c r="N276">
        <v>140</v>
      </c>
      <c r="O276">
        <v>13986</v>
      </c>
      <c r="P276">
        <v>9102</v>
      </c>
      <c r="Q276">
        <v>4884</v>
      </c>
      <c r="R276">
        <v>0.1</v>
      </c>
      <c r="S276" t="s">
        <v>38</v>
      </c>
      <c r="T276">
        <v>714.51</v>
      </c>
    </row>
    <row r="277" spans="1:20" x14ac:dyDescent="0.25">
      <c r="A277">
        <v>100276</v>
      </c>
      <c r="B277" s="6">
        <v>45057</v>
      </c>
      <c r="C277">
        <v>2023</v>
      </c>
      <c r="D277" t="s">
        <v>20</v>
      </c>
      <c r="E277">
        <v>5</v>
      </c>
      <c r="F277" t="s">
        <v>21</v>
      </c>
      <c r="G277" t="s">
        <v>45</v>
      </c>
      <c r="H277" t="s">
        <v>23</v>
      </c>
      <c r="I277" t="s">
        <v>62</v>
      </c>
      <c r="J277" t="s">
        <v>50</v>
      </c>
      <c r="K277" t="s">
        <v>26</v>
      </c>
      <c r="L277" t="s">
        <v>78</v>
      </c>
      <c r="M277">
        <v>135</v>
      </c>
      <c r="N277">
        <v>95</v>
      </c>
      <c r="O277">
        <v>12440.25</v>
      </c>
      <c r="P277">
        <v>7830</v>
      </c>
      <c r="Q277">
        <v>4610.25</v>
      </c>
      <c r="R277">
        <v>0.03</v>
      </c>
      <c r="S277" t="s">
        <v>28</v>
      </c>
      <c r="T277">
        <v>852.66</v>
      </c>
    </row>
    <row r="278" spans="1:20" x14ac:dyDescent="0.25">
      <c r="A278">
        <v>100277</v>
      </c>
      <c r="B278" s="6">
        <v>45572</v>
      </c>
      <c r="C278">
        <v>2024</v>
      </c>
      <c r="D278" t="s">
        <v>43</v>
      </c>
      <c r="E278">
        <v>10</v>
      </c>
      <c r="F278" t="s">
        <v>44</v>
      </c>
      <c r="G278" t="s">
        <v>22</v>
      </c>
      <c r="H278" t="s">
        <v>23</v>
      </c>
      <c r="I278" t="s">
        <v>65</v>
      </c>
      <c r="J278" t="s">
        <v>68</v>
      </c>
      <c r="K278" t="s">
        <v>51</v>
      </c>
      <c r="L278" t="s">
        <v>52</v>
      </c>
      <c r="M278">
        <v>117</v>
      </c>
      <c r="N278">
        <v>75</v>
      </c>
      <c r="O278">
        <v>8511.75</v>
      </c>
      <c r="P278">
        <v>5148</v>
      </c>
      <c r="Q278">
        <v>3363.75</v>
      </c>
      <c r="R278">
        <v>0.03</v>
      </c>
      <c r="S278" t="s">
        <v>57</v>
      </c>
      <c r="T278">
        <v>295.18</v>
      </c>
    </row>
    <row r="279" spans="1:20" x14ac:dyDescent="0.25">
      <c r="A279">
        <v>100278</v>
      </c>
      <c r="B279" s="6">
        <v>45514</v>
      </c>
      <c r="C279">
        <v>2024</v>
      </c>
      <c r="D279" t="s">
        <v>39</v>
      </c>
      <c r="E279">
        <v>8</v>
      </c>
      <c r="F279" t="s">
        <v>58</v>
      </c>
      <c r="G279" t="s">
        <v>29</v>
      </c>
      <c r="H279" t="s">
        <v>23</v>
      </c>
      <c r="I279" t="s">
        <v>85</v>
      </c>
      <c r="J279" t="s">
        <v>68</v>
      </c>
      <c r="K279" t="s">
        <v>32</v>
      </c>
      <c r="L279" t="s">
        <v>37</v>
      </c>
      <c r="M279">
        <v>43</v>
      </c>
      <c r="N279">
        <v>120</v>
      </c>
      <c r="O279">
        <v>5056.8</v>
      </c>
      <c r="P279">
        <v>3354</v>
      </c>
      <c r="Q279">
        <v>1702.8</v>
      </c>
      <c r="R279">
        <v>0.02</v>
      </c>
      <c r="S279" t="s">
        <v>70</v>
      </c>
      <c r="T279">
        <v>201.11</v>
      </c>
    </row>
    <row r="280" spans="1:20" x14ac:dyDescent="0.25">
      <c r="A280">
        <v>100279</v>
      </c>
      <c r="B280" s="6">
        <v>45205</v>
      </c>
      <c r="C280">
        <v>2023</v>
      </c>
      <c r="D280" t="s">
        <v>43</v>
      </c>
      <c r="E280">
        <v>10</v>
      </c>
      <c r="F280" t="s">
        <v>44</v>
      </c>
      <c r="G280" t="s">
        <v>29</v>
      </c>
      <c r="H280" t="s">
        <v>23</v>
      </c>
      <c r="I280" t="s">
        <v>49</v>
      </c>
      <c r="J280" t="s">
        <v>25</v>
      </c>
      <c r="K280" t="s">
        <v>51</v>
      </c>
      <c r="L280" t="s">
        <v>92</v>
      </c>
      <c r="M280">
        <v>117</v>
      </c>
      <c r="N280">
        <v>50</v>
      </c>
      <c r="O280">
        <v>5674.5</v>
      </c>
      <c r="P280">
        <v>3393</v>
      </c>
      <c r="Q280">
        <v>2281.5</v>
      </c>
      <c r="R280">
        <v>0.03</v>
      </c>
      <c r="S280" t="s">
        <v>38</v>
      </c>
      <c r="T280">
        <v>390.69</v>
      </c>
    </row>
    <row r="281" spans="1:20" x14ac:dyDescent="0.25">
      <c r="A281">
        <v>100280</v>
      </c>
      <c r="B281" s="6">
        <v>45819</v>
      </c>
      <c r="C281">
        <v>2025</v>
      </c>
      <c r="D281" t="s">
        <v>20</v>
      </c>
      <c r="E281">
        <v>6</v>
      </c>
      <c r="F281" t="s">
        <v>48</v>
      </c>
      <c r="G281" t="s">
        <v>29</v>
      </c>
      <c r="H281" t="s">
        <v>23</v>
      </c>
      <c r="I281" t="s">
        <v>85</v>
      </c>
      <c r="J281" t="s">
        <v>50</v>
      </c>
      <c r="K281" t="s">
        <v>51</v>
      </c>
      <c r="L281" t="s">
        <v>72</v>
      </c>
      <c r="M281">
        <v>56</v>
      </c>
      <c r="N281">
        <v>90</v>
      </c>
      <c r="O281">
        <v>5040</v>
      </c>
      <c r="P281">
        <v>2912</v>
      </c>
      <c r="Q281">
        <v>2128</v>
      </c>
      <c r="R281">
        <v>0</v>
      </c>
      <c r="S281" t="s">
        <v>28</v>
      </c>
      <c r="T281">
        <v>312.81</v>
      </c>
    </row>
    <row r="282" spans="1:20" x14ac:dyDescent="0.25">
      <c r="A282">
        <v>100281</v>
      </c>
      <c r="B282" s="6">
        <v>45781</v>
      </c>
      <c r="C282">
        <v>2025</v>
      </c>
      <c r="D282" t="s">
        <v>20</v>
      </c>
      <c r="E282">
        <v>5</v>
      </c>
      <c r="F282" t="s">
        <v>21</v>
      </c>
      <c r="G282" t="s">
        <v>29</v>
      </c>
      <c r="H282" t="s">
        <v>23</v>
      </c>
      <c r="I282" t="s">
        <v>30</v>
      </c>
      <c r="J282" t="s">
        <v>25</v>
      </c>
      <c r="K282" t="s">
        <v>51</v>
      </c>
      <c r="L282" t="s">
        <v>76</v>
      </c>
      <c r="M282">
        <v>56</v>
      </c>
      <c r="N282">
        <v>40</v>
      </c>
      <c r="O282">
        <v>2195.1999999999998</v>
      </c>
      <c r="P282">
        <v>1288</v>
      </c>
      <c r="Q282">
        <v>907.2</v>
      </c>
      <c r="R282">
        <v>0.02</v>
      </c>
      <c r="S282" t="s">
        <v>57</v>
      </c>
      <c r="T282">
        <v>58.6</v>
      </c>
    </row>
    <row r="283" spans="1:20" x14ac:dyDescent="0.25">
      <c r="A283">
        <v>100282</v>
      </c>
      <c r="B283" s="6">
        <v>45875</v>
      </c>
      <c r="C283">
        <v>2025</v>
      </c>
      <c r="D283" t="s">
        <v>39</v>
      </c>
      <c r="E283">
        <v>8</v>
      </c>
      <c r="F283" t="s">
        <v>58</v>
      </c>
      <c r="G283" t="s">
        <v>35</v>
      </c>
      <c r="H283" t="s">
        <v>23</v>
      </c>
      <c r="I283" t="s">
        <v>80</v>
      </c>
      <c r="J283" t="s">
        <v>54</v>
      </c>
      <c r="K283" t="s">
        <v>55</v>
      </c>
      <c r="L283" t="s">
        <v>56</v>
      </c>
      <c r="M283">
        <v>48</v>
      </c>
      <c r="N283">
        <v>320</v>
      </c>
      <c r="O283">
        <v>14131.2</v>
      </c>
      <c r="P283">
        <v>11280</v>
      </c>
      <c r="Q283">
        <v>2851.2</v>
      </c>
      <c r="R283">
        <v>0.08</v>
      </c>
      <c r="S283" t="s">
        <v>38</v>
      </c>
      <c r="T283">
        <v>257.89999999999998</v>
      </c>
    </row>
    <row r="284" spans="1:20" x14ac:dyDescent="0.25">
      <c r="A284">
        <v>100283</v>
      </c>
      <c r="B284" s="6">
        <v>45572</v>
      </c>
      <c r="C284">
        <v>2024</v>
      </c>
      <c r="D284" t="s">
        <v>43</v>
      </c>
      <c r="E284">
        <v>10</v>
      </c>
      <c r="F284" t="s">
        <v>44</v>
      </c>
      <c r="G284" t="s">
        <v>22</v>
      </c>
      <c r="H284" t="s">
        <v>23</v>
      </c>
      <c r="I284" t="s">
        <v>24</v>
      </c>
      <c r="J284" t="s">
        <v>50</v>
      </c>
      <c r="K284" t="s">
        <v>59</v>
      </c>
      <c r="L284" t="s">
        <v>67</v>
      </c>
      <c r="M284">
        <v>107</v>
      </c>
      <c r="N284">
        <v>95</v>
      </c>
      <c r="O284">
        <v>9860.0499999999993</v>
      </c>
      <c r="P284">
        <v>5992</v>
      </c>
      <c r="Q284">
        <v>3868.05</v>
      </c>
      <c r="R284">
        <v>0.03</v>
      </c>
      <c r="S284" t="s">
        <v>38</v>
      </c>
      <c r="T284">
        <v>397.55</v>
      </c>
    </row>
    <row r="285" spans="1:20" x14ac:dyDescent="0.25">
      <c r="A285">
        <v>100284</v>
      </c>
      <c r="B285" s="6">
        <v>45628</v>
      </c>
      <c r="C285">
        <v>2024</v>
      </c>
      <c r="D285" t="s">
        <v>43</v>
      </c>
      <c r="E285">
        <v>12</v>
      </c>
      <c r="F285" t="s">
        <v>83</v>
      </c>
      <c r="G285" t="s">
        <v>22</v>
      </c>
      <c r="H285" t="s">
        <v>23</v>
      </c>
      <c r="I285" t="s">
        <v>24</v>
      </c>
      <c r="J285" t="s">
        <v>66</v>
      </c>
      <c r="K285" t="s">
        <v>55</v>
      </c>
      <c r="L285" t="s">
        <v>84</v>
      </c>
      <c r="M285">
        <v>93</v>
      </c>
      <c r="N285">
        <v>55</v>
      </c>
      <c r="O285">
        <v>5115</v>
      </c>
      <c r="P285">
        <v>3441</v>
      </c>
      <c r="Q285">
        <v>1674</v>
      </c>
      <c r="R285">
        <v>0</v>
      </c>
      <c r="S285" t="s">
        <v>28</v>
      </c>
      <c r="T285">
        <v>195.29</v>
      </c>
    </row>
    <row r="286" spans="1:20" x14ac:dyDescent="0.25">
      <c r="A286">
        <v>100285</v>
      </c>
      <c r="B286" s="6">
        <v>45588</v>
      </c>
      <c r="C286">
        <v>2024</v>
      </c>
      <c r="D286" t="s">
        <v>43</v>
      </c>
      <c r="E286">
        <v>10</v>
      </c>
      <c r="F286" t="s">
        <v>44</v>
      </c>
      <c r="G286" t="s">
        <v>29</v>
      </c>
      <c r="H286" t="s">
        <v>23</v>
      </c>
      <c r="I286" t="s">
        <v>73</v>
      </c>
      <c r="J286" t="s">
        <v>50</v>
      </c>
      <c r="K286" t="s">
        <v>51</v>
      </c>
      <c r="L286" t="s">
        <v>52</v>
      </c>
      <c r="M286">
        <v>140</v>
      </c>
      <c r="N286">
        <v>75</v>
      </c>
      <c r="O286">
        <v>9975</v>
      </c>
      <c r="P286">
        <v>6160</v>
      </c>
      <c r="Q286">
        <v>3815</v>
      </c>
      <c r="R286">
        <v>0.05</v>
      </c>
      <c r="S286" t="s">
        <v>28</v>
      </c>
      <c r="T286">
        <v>591.22</v>
      </c>
    </row>
    <row r="287" spans="1:20" x14ac:dyDescent="0.25">
      <c r="A287">
        <v>100286</v>
      </c>
      <c r="B287" s="6">
        <v>46013</v>
      </c>
      <c r="C287">
        <v>2025</v>
      </c>
      <c r="D287" t="s">
        <v>43</v>
      </c>
      <c r="E287">
        <v>12</v>
      </c>
      <c r="F287" t="s">
        <v>83</v>
      </c>
      <c r="G287" t="s">
        <v>45</v>
      </c>
      <c r="H287" t="s">
        <v>23</v>
      </c>
      <c r="I287" t="s">
        <v>90</v>
      </c>
      <c r="J287" t="s">
        <v>66</v>
      </c>
      <c r="K287" t="s">
        <v>59</v>
      </c>
      <c r="L287" t="s">
        <v>60</v>
      </c>
      <c r="M287">
        <v>28</v>
      </c>
      <c r="N287">
        <v>45</v>
      </c>
      <c r="O287">
        <v>1159.2</v>
      </c>
      <c r="P287">
        <v>756</v>
      </c>
      <c r="Q287">
        <v>403.2</v>
      </c>
      <c r="R287">
        <v>0.08</v>
      </c>
      <c r="S287" t="s">
        <v>38</v>
      </c>
      <c r="T287">
        <v>24.57</v>
      </c>
    </row>
    <row r="288" spans="1:20" x14ac:dyDescent="0.25">
      <c r="A288">
        <v>100287</v>
      </c>
      <c r="B288" s="6">
        <v>45602</v>
      </c>
      <c r="C288">
        <v>2024</v>
      </c>
      <c r="D288" t="s">
        <v>43</v>
      </c>
      <c r="E288">
        <v>11</v>
      </c>
      <c r="F288" t="s">
        <v>87</v>
      </c>
      <c r="G288" t="s">
        <v>29</v>
      </c>
      <c r="H288" t="s">
        <v>23</v>
      </c>
      <c r="I288" t="s">
        <v>73</v>
      </c>
      <c r="J288" t="s">
        <v>61</v>
      </c>
      <c r="K288" t="s">
        <v>51</v>
      </c>
      <c r="L288" t="s">
        <v>72</v>
      </c>
      <c r="M288">
        <v>129</v>
      </c>
      <c r="N288">
        <v>90</v>
      </c>
      <c r="O288">
        <v>11377.8</v>
      </c>
      <c r="P288">
        <v>6708</v>
      </c>
      <c r="Q288">
        <v>4669.8</v>
      </c>
      <c r="R288">
        <v>0.02</v>
      </c>
      <c r="S288" t="s">
        <v>38</v>
      </c>
      <c r="T288">
        <v>686.64</v>
      </c>
    </row>
    <row r="289" spans="1:20" x14ac:dyDescent="0.25">
      <c r="A289">
        <v>100288</v>
      </c>
      <c r="B289" s="6">
        <v>45260</v>
      </c>
      <c r="C289">
        <v>2023</v>
      </c>
      <c r="D289" t="s">
        <v>43</v>
      </c>
      <c r="E289">
        <v>11</v>
      </c>
      <c r="F289" t="s">
        <v>87</v>
      </c>
      <c r="G289" t="s">
        <v>35</v>
      </c>
      <c r="H289" t="s">
        <v>23</v>
      </c>
      <c r="I289" t="s">
        <v>77</v>
      </c>
      <c r="J289" t="s">
        <v>66</v>
      </c>
      <c r="K289" t="s">
        <v>32</v>
      </c>
      <c r="L289" t="s">
        <v>47</v>
      </c>
      <c r="M289">
        <v>17</v>
      </c>
      <c r="N289">
        <v>180</v>
      </c>
      <c r="O289">
        <v>2815.2</v>
      </c>
      <c r="P289">
        <v>1955</v>
      </c>
      <c r="Q289">
        <v>860.2</v>
      </c>
      <c r="R289">
        <v>0.08</v>
      </c>
      <c r="S289" t="s">
        <v>28</v>
      </c>
      <c r="T289">
        <v>93.39</v>
      </c>
    </row>
    <row r="290" spans="1:20" x14ac:dyDescent="0.25">
      <c r="A290">
        <v>100289</v>
      </c>
      <c r="B290" s="6">
        <v>45621</v>
      </c>
      <c r="C290">
        <v>2024</v>
      </c>
      <c r="D290" t="s">
        <v>43</v>
      </c>
      <c r="E290">
        <v>11</v>
      </c>
      <c r="F290" t="s">
        <v>87</v>
      </c>
      <c r="G290" t="s">
        <v>29</v>
      </c>
      <c r="H290" t="s">
        <v>23</v>
      </c>
      <c r="I290" t="s">
        <v>73</v>
      </c>
      <c r="J290" t="s">
        <v>68</v>
      </c>
      <c r="K290" t="s">
        <v>26</v>
      </c>
      <c r="L290" t="s">
        <v>82</v>
      </c>
      <c r="M290">
        <v>21</v>
      </c>
      <c r="N290">
        <v>105</v>
      </c>
      <c r="O290">
        <v>2094.75</v>
      </c>
      <c r="P290">
        <v>1281</v>
      </c>
      <c r="Q290">
        <v>813.75</v>
      </c>
      <c r="R290">
        <v>0.05</v>
      </c>
      <c r="S290" t="s">
        <v>70</v>
      </c>
      <c r="T290">
        <v>146.11000000000001</v>
      </c>
    </row>
    <row r="291" spans="1:20" x14ac:dyDescent="0.25">
      <c r="A291">
        <v>100290</v>
      </c>
      <c r="B291" s="6">
        <v>45587</v>
      </c>
      <c r="C291">
        <v>2024</v>
      </c>
      <c r="D291" t="s">
        <v>43</v>
      </c>
      <c r="E291">
        <v>10</v>
      </c>
      <c r="F291" t="s">
        <v>44</v>
      </c>
      <c r="G291" t="s">
        <v>45</v>
      </c>
      <c r="H291" t="s">
        <v>23</v>
      </c>
      <c r="I291" t="s">
        <v>62</v>
      </c>
      <c r="J291" t="s">
        <v>31</v>
      </c>
      <c r="K291" t="s">
        <v>26</v>
      </c>
      <c r="L291" t="s">
        <v>69</v>
      </c>
      <c r="M291">
        <v>146</v>
      </c>
      <c r="N291">
        <v>130</v>
      </c>
      <c r="O291">
        <v>18031</v>
      </c>
      <c r="P291">
        <v>11096</v>
      </c>
      <c r="Q291">
        <v>6935</v>
      </c>
      <c r="R291">
        <v>0.05</v>
      </c>
      <c r="S291" t="s">
        <v>28</v>
      </c>
      <c r="T291">
        <v>1092.8699999999999</v>
      </c>
    </row>
    <row r="292" spans="1:20" x14ac:dyDescent="0.25">
      <c r="A292">
        <v>100291</v>
      </c>
      <c r="B292" s="6">
        <v>45958</v>
      </c>
      <c r="C292">
        <v>2025</v>
      </c>
      <c r="D292" t="s">
        <v>43</v>
      </c>
      <c r="E292">
        <v>10</v>
      </c>
      <c r="F292" t="s">
        <v>44</v>
      </c>
      <c r="G292" t="s">
        <v>45</v>
      </c>
      <c r="H292" t="s">
        <v>23</v>
      </c>
      <c r="I292" t="s">
        <v>90</v>
      </c>
      <c r="J292" t="s">
        <v>25</v>
      </c>
      <c r="K292" t="s">
        <v>51</v>
      </c>
      <c r="L292" t="s">
        <v>72</v>
      </c>
      <c r="M292">
        <v>85</v>
      </c>
      <c r="N292">
        <v>90</v>
      </c>
      <c r="O292">
        <v>7420.5</v>
      </c>
      <c r="P292">
        <v>4420</v>
      </c>
      <c r="Q292">
        <v>3000.5</v>
      </c>
      <c r="R292">
        <v>0.03</v>
      </c>
      <c r="S292" t="s">
        <v>28</v>
      </c>
      <c r="T292">
        <v>167.43</v>
      </c>
    </row>
    <row r="293" spans="1:20" x14ac:dyDescent="0.25">
      <c r="A293">
        <v>100292</v>
      </c>
      <c r="B293" s="6">
        <v>45531</v>
      </c>
      <c r="C293">
        <v>2024</v>
      </c>
      <c r="D293" t="s">
        <v>39</v>
      </c>
      <c r="E293">
        <v>8</v>
      </c>
      <c r="F293" t="s">
        <v>58</v>
      </c>
      <c r="G293" t="s">
        <v>35</v>
      </c>
      <c r="H293" t="s">
        <v>23</v>
      </c>
      <c r="I293" t="s">
        <v>80</v>
      </c>
      <c r="J293" t="s">
        <v>54</v>
      </c>
      <c r="K293" t="s">
        <v>55</v>
      </c>
      <c r="L293" t="s">
        <v>84</v>
      </c>
      <c r="M293">
        <v>29</v>
      </c>
      <c r="N293">
        <v>55</v>
      </c>
      <c r="O293">
        <v>1515.25</v>
      </c>
      <c r="P293">
        <v>1073</v>
      </c>
      <c r="Q293">
        <v>442.25</v>
      </c>
      <c r="R293">
        <v>0.05</v>
      </c>
      <c r="S293" t="s">
        <v>70</v>
      </c>
      <c r="T293">
        <v>76.03</v>
      </c>
    </row>
    <row r="294" spans="1:20" x14ac:dyDescent="0.25">
      <c r="A294">
        <v>100293</v>
      </c>
      <c r="B294" s="6">
        <v>45466</v>
      </c>
      <c r="C294">
        <v>2024</v>
      </c>
      <c r="D294" t="s">
        <v>20</v>
      </c>
      <c r="E294">
        <v>6</v>
      </c>
      <c r="F294" t="s">
        <v>48</v>
      </c>
      <c r="G294" t="s">
        <v>29</v>
      </c>
      <c r="H294" t="s">
        <v>23</v>
      </c>
      <c r="I294" t="s">
        <v>85</v>
      </c>
      <c r="J294" t="s">
        <v>25</v>
      </c>
      <c r="K294" t="s">
        <v>26</v>
      </c>
      <c r="L294" t="s">
        <v>69</v>
      </c>
      <c r="M294">
        <v>95</v>
      </c>
      <c r="N294">
        <v>130</v>
      </c>
      <c r="O294">
        <v>12103</v>
      </c>
      <c r="P294">
        <v>7220</v>
      </c>
      <c r="Q294">
        <v>4883</v>
      </c>
      <c r="R294">
        <v>0.02</v>
      </c>
      <c r="S294" t="s">
        <v>57</v>
      </c>
      <c r="T294">
        <v>362.32</v>
      </c>
    </row>
    <row r="295" spans="1:20" x14ac:dyDescent="0.25">
      <c r="A295">
        <v>100294</v>
      </c>
      <c r="B295" s="6">
        <v>45140</v>
      </c>
      <c r="C295">
        <v>2023</v>
      </c>
      <c r="D295" t="s">
        <v>39</v>
      </c>
      <c r="E295">
        <v>8</v>
      </c>
      <c r="F295" t="s">
        <v>58</v>
      </c>
      <c r="G295" t="s">
        <v>45</v>
      </c>
      <c r="H295" t="s">
        <v>23</v>
      </c>
      <c r="I295" t="s">
        <v>88</v>
      </c>
      <c r="J295" t="s">
        <v>50</v>
      </c>
      <c r="K295" t="s">
        <v>51</v>
      </c>
      <c r="L295" t="s">
        <v>72</v>
      </c>
      <c r="M295">
        <v>15</v>
      </c>
      <c r="N295">
        <v>90</v>
      </c>
      <c r="O295">
        <v>1350</v>
      </c>
      <c r="P295">
        <v>780</v>
      </c>
      <c r="Q295">
        <v>570</v>
      </c>
      <c r="R295">
        <v>0</v>
      </c>
      <c r="S295" t="s">
        <v>70</v>
      </c>
      <c r="T295">
        <v>30.65</v>
      </c>
    </row>
    <row r="296" spans="1:20" x14ac:dyDescent="0.25">
      <c r="A296">
        <v>100295</v>
      </c>
      <c r="B296" s="6">
        <v>45367</v>
      </c>
      <c r="C296">
        <v>2024</v>
      </c>
      <c r="D296" t="s">
        <v>63</v>
      </c>
      <c r="E296">
        <v>3</v>
      </c>
      <c r="F296" t="s">
        <v>64</v>
      </c>
      <c r="G296" t="s">
        <v>45</v>
      </c>
      <c r="H296" t="s">
        <v>23</v>
      </c>
      <c r="I296" t="s">
        <v>46</v>
      </c>
      <c r="J296" t="s">
        <v>42</v>
      </c>
      <c r="K296" t="s">
        <v>59</v>
      </c>
      <c r="L296" t="s">
        <v>91</v>
      </c>
      <c r="M296">
        <v>44</v>
      </c>
      <c r="N296">
        <v>140</v>
      </c>
      <c r="O296">
        <v>5975.2</v>
      </c>
      <c r="P296">
        <v>3608</v>
      </c>
      <c r="Q296">
        <v>2367.1999999999998</v>
      </c>
      <c r="R296">
        <v>0.03</v>
      </c>
      <c r="S296" t="s">
        <v>70</v>
      </c>
      <c r="T296">
        <v>245.5</v>
      </c>
    </row>
    <row r="297" spans="1:20" x14ac:dyDescent="0.25">
      <c r="A297">
        <v>100296</v>
      </c>
      <c r="B297" s="6">
        <v>45924</v>
      </c>
      <c r="C297">
        <v>2025</v>
      </c>
      <c r="D297" t="s">
        <v>39</v>
      </c>
      <c r="E297">
        <v>9</v>
      </c>
      <c r="F297" t="s">
        <v>40</v>
      </c>
      <c r="G297" t="s">
        <v>45</v>
      </c>
      <c r="H297" t="s">
        <v>23</v>
      </c>
      <c r="I297" t="s">
        <v>88</v>
      </c>
      <c r="J297" t="s">
        <v>54</v>
      </c>
      <c r="K297" t="s">
        <v>32</v>
      </c>
      <c r="L297" t="s">
        <v>47</v>
      </c>
      <c r="M297">
        <v>52</v>
      </c>
      <c r="N297">
        <v>180</v>
      </c>
      <c r="O297">
        <v>8611.2000000000007</v>
      </c>
      <c r="P297">
        <v>5980</v>
      </c>
      <c r="Q297">
        <v>2631.2</v>
      </c>
      <c r="R297">
        <v>0.08</v>
      </c>
      <c r="S297" t="s">
        <v>57</v>
      </c>
      <c r="T297">
        <v>264.10000000000002</v>
      </c>
    </row>
    <row r="298" spans="1:20" x14ac:dyDescent="0.25">
      <c r="A298">
        <v>100297</v>
      </c>
      <c r="B298" s="6">
        <v>45630</v>
      </c>
      <c r="C298">
        <v>2024</v>
      </c>
      <c r="D298" t="s">
        <v>43</v>
      </c>
      <c r="E298">
        <v>12</v>
      </c>
      <c r="F298" t="s">
        <v>83</v>
      </c>
      <c r="G298" t="s">
        <v>35</v>
      </c>
      <c r="H298" t="s">
        <v>23</v>
      </c>
      <c r="I298" t="s">
        <v>36</v>
      </c>
      <c r="J298" t="s">
        <v>42</v>
      </c>
      <c r="K298" t="s">
        <v>51</v>
      </c>
      <c r="L298" t="s">
        <v>76</v>
      </c>
      <c r="M298">
        <v>18</v>
      </c>
      <c r="N298">
        <v>40</v>
      </c>
      <c r="O298">
        <v>662.4</v>
      </c>
      <c r="P298">
        <v>414</v>
      </c>
      <c r="Q298">
        <v>248.4</v>
      </c>
      <c r="R298">
        <v>0.08</v>
      </c>
      <c r="S298" t="s">
        <v>38</v>
      </c>
      <c r="T298">
        <v>20.3</v>
      </c>
    </row>
    <row r="299" spans="1:20" x14ac:dyDescent="0.25">
      <c r="A299">
        <v>100298</v>
      </c>
      <c r="B299" s="6">
        <v>45745</v>
      </c>
      <c r="C299">
        <v>2025</v>
      </c>
      <c r="D299" t="s">
        <v>63</v>
      </c>
      <c r="E299">
        <v>3</v>
      </c>
      <c r="F299" t="s">
        <v>64</v>
      </c>
      <c r="G299" t="s">
        <v>22</v>
      </c>
      <c r="H299" t="s">
        <v>23</v>
      </c>
      <c r="I299" t="s">
        <v>24</v>
      </c>
      <c r="J299" t="s">
        <v>25</v>
      </c>
      <c r="K299" t="s">
        <v>59</v>
      </c>
      <c r="L299" t="s">
        <v>67</v>
      </c>
      <c r="M299">
        <v>150</v>
      </c>
      <c r="N299">
        <v>95</v>
      </c>
      <c r="O299">
        <v>13537.5</v>
      </c>
      <c r="P299">
        <v>8400</v>
      </c>
      <c r="Q299">
        <v>5137.5</v>
      </c>
      <c r="R299">
        <v>0.05</v>
      </c>
      <c r="S299" t="s">
        <v>38</v>
      </c>
      <c r="T299">
        <v>236.46</v>
      </c>
    </row>
    <row r="300" spans="1:20" x14ac:dyDescent="0.25">
      <c r="A300">
        <v>100299</v>
      </c>
      <c r="B300" s="6">
        <v>44927</v>
      </c>
      <c r="C300">
        <v>2023</v>
      </c>
      <c r="D300" t="s">
        <v>63</v>
      </c>
      <c r="E300">
        <v>1</v>
      </c>
      <c r="F300" t="s">
        <v>79</v>
      </c>
      <c r="G300" t="s">
        <v>29</v>
      </c>
      <c r="H300" t="s">
        <v>23</v>
      </c>
      <c r="I300" t="s">
        <v>49</v>
      </c>
      <c r="J300" t="s">
        <v>61</v>
      </c>
      <c r="K300" t="s">
        <v>26</v>
      </c>
      <c r="L300" t="s">
        <v>82</v>
      </c>
      <c r="M300">
        <v>118</v>
      </c>
      <c r="N300">
        <v>105</v>
      </c>
      <c r="O300">
        <v>11770.5</v>
      </c>
      <c r="P300">
        <v>7198</v>
      </c>
      <c r="Q300">
        <v>4572.5</v>
      </c>
      <c r="R300">
        <v>0.05</v>
      </c>
      <c r="S300" t="s">
        <v>57</v>
      </c>
      <c r="T300">
        <v>376.84</v>
      </c>
    </row>
    <row r="301" spans="1:20" x14ac:dyDescent="0.25">
      <c r="A301">
        <v>100300</v>
      </c>
      <c r="B301" s="6">
        <v>45914</v>
      </c>
      <c r="C301">
        <v>2025</v>
      </c>
      <c r="D301" t="s">
        <v>39</v>
      </c>
      <c r="E301">
        <v>9</v>
      </c>
      <c r="F301" t="s">
        <v>40</v>
      </c>
      <c r="G301" t="s">
        <v>35</v>
      </c>
      <c r="H301" t="s">
        <v>23</v>
      </c>
      <c r="I301" t="s">
        <v>77</v>
      </c>
      <c r="J301" t="s">
        <v>42</v>
      </c>
      <c r="K301" t="s">
        <v>32</v>
      </c>
      <c r="L301" t="s">
        <v>74</v>
      </c>
      <c r="M301">
        <v>96</v>
      </c>
      <c r="N301">
        <v>25</v>
      </c>
      <c r="O301">
        <v>2280</v>
      </c>
      <c r="P301">
        <v>1344</v>
      </c>
      <c r="Q301">
        <v>936</v>
      </c>
      <c r="R301">
        <v>0.05</v>
      </c>
      <c r="S301" t="s">
        <v>70</v>
      </c>
      <c r="T301">
        <v>138.22999999999999</v>
      </c>
    </row>
    <row r="302" spans="1:20" x14ac:dyDescent="0.25">
      <c r="A302">
        <v>100301</v>
      </c>
      <c r="B302" s="6">
        <v>45776</v>
      </c>
      <c r="C302">
        <v>2025</v>
      </c>
      <c r="D302" t="s">
        <v>20</v>
      </c>
      <c r="E302">
        <v>4</v>
      </c>
      <c r="F302" t="s">
        <v>34</v>
      </c>
      <c r="G302" t="s">
        <v>35</v>
      </c>
      <c r="H302" t="s">
        <v>23</v>
      </c>
      <c r="I302" t="s">
        <v>36</v>
      </c>
      <c r="J302" t="s">
        <v>54</v>
      </c>
      <c r="K302" t="s">
        <v>26</v>
      </c>
      <c r="L302" t="s">
        <v>27</v>
      </c>
      <c r="M302">
        <v>136</v>
      </c>
      <c r="N302">
        <v>110</v>
      </c>
      <c r="O302">
        <v>14212</v>
      </c>
      <c r="P302">
        <v>9248</v>
      </c>
      <c r="Q302">
        <v>4964</v>
      </c>
      <c r="R302">
        <v>0.05</v>
      </c>
      <c r="S302" t="s">
        <v>70</v>
      </c>
      <c r="T302">
        <v>285.32</v>
      </c>
    </row>
    <row r="303" spans="1:20" x14ac:dyDescent="0.25">
      <c r="A303">
        <v>100302</v>
      </c>
      <c r="B303" s="6">
        <v>45258</v>
      </c>
      <c r="C303">
        <v>2023</v>
      </c>
      <c r="D303" t="s">
        <v>43</v>
      </c>
      <c r="E303">
        <v>11</v>
      </c>
      <c r="F303" t="s">
        <v>87</v>
      </c>
      <c r="G303" t="s">
        <v>35</v>
      </c>
      <c r="H303" t="s">
        <v>23</v>
      </c>
      <c r="I303" t="s">
        <v>53</v>
      </c>
      <c r="J303" t="s">
        <v>68</v>
      </c>
      <c r="K303" t="s">
        <v>51</v>
      </c>
      <c r="L303" t="s">
        <v>52</v>
      </c>
      <c r="M303">
        <v>11</v>
      </c>
      <c r="N303">
        <v>75</v>
      </c>
      <c r="O303">
        <v>783.75</v>
      </c>
      <c r="P303">
        <v>484</v>
      </c>
      <c r="Q303">
        <v>299.75</v>
      </c>
      <c r="R303">
        <v>0.05</v>
      </c>
      <c r="S303" t="s">
        <v>28</v>
      </c>
      <c r="T303">
        <v>41.01</v>
      </c>
    </row>
    <row r="304" spans="1:20" x14ac:dyDescent="0.25">
      <c r="A304">
        <v>100303</v>
      </c>
      <c r="B304" s="6">
        <v>45836</v>
      </c>
      <c r="C304">
        <v>2025</v>
      </c>
      <c r="D304" t="s">
        <v>20</v>
      </c>
      <c r="E304">
        <v>6</v>
      </c>
      <c r="F304" t="s">
        <v>48</v>
      </c>
      <c r="G304" t="s">
        <v>35</v>
      </c>
      <c r="H304" t="s">
        <v>23</v>
      </c>
      <c r="I304" t="s">
        <v>53</v>
      </c>
      <c r="J304" t="s">
        <v>25</v>
      </c>
      <c r="K304" t="s">
        <v>55</v>
      </c>
      <c r="L304" t="s">
        <v>93</v>
      </c>
      <c r="M304">
        <v>48</v>
      </c>
      <c r="N304">
        <v>60</v>
      </c>
      <c r="O304">
        <v>2649.6</v>
      </c>
      <c r="P304">
        <v>2016</v>
      </c>
      <c r="Q304">
        <v>633.6</v>
      </c>
      <c r="R304">
        <v>0.08</v>
      </c>
      <c r="S304" t="s">
        <v>57</v>
      </c>
      <c r="T304">
        <v>145.25</v>
      </c>
    </row>
    <row r="305" spans="1:20" x14ac:dyDescent="0.25">
      <c r="A305">
        <v>100304</v>
      </c>
      <c r="B305" s="6">
        <v>45313</v>
      </c>
      <c r="C305">
        <v>2024</v>
      </c>
      <c r="D305" t="s">
        <v>63</v>
      </c>
      <c r="E305">
        <v>1</v>
      </c>
      <c r="F305" t="s">
        <v>79</v>
      </c>
      <c r="G305" t="s">
        <v>29</v>
      </c>
      <c r="H305" t="s">
        <v>23</v>
      </c>
      <c r="I305" t="s">
        <v>85</v>
      </c>
      <c r="J305" t="s">
        <v>61</v>
      </c>
      <c r="K305" t="s">
        <v>32</v>
      </c>
      <c r="L305" t="s">
        <v>37</v>
      </c>
      <c r="M305">
        <v>21</v>
      </c>
      <c r="N305">
        <v>120</v>
      </c>
      <c r="O305">
        <v>2469.6</v>
      </c>
      <c r="P305">
        <v>1638</v>
      </c>
      <c r="Q305">
        <v>831.6</v>
      </c>
      <c r="R305">
        <v>0.02</v>
      </c>
      <c r="S305" t="s">
        <v>38</v>
      </c>
      <c r="T305">
        <v>103.06</v>
      </c>
    </row>
    <row r="306" spans="1:20" x14ac:dyDescent="0.25">
      <c r="A306">
        <v>100305</v>
      </c>
      <c r="B306" s="6">
        <v>45500</v>
      </c>
      <c r="C306">
        <v>2024</v>
      </c>
      <c r="D306" t="s">
        <v>39</v>
      </c>
      <c r="E306">
        <v>7</v>
      </c>
      <c r="F306" t="s">
        <v>75</v>
      </c>
      <c r="G306" t="s">
        <v>45</v>
      </c>
      <c r="H306" t="s">
        <v>23</v>
      </c>
      <c r="I306" t="s">
        <v>90</v>
      </c>
      <c r="J306" t="s">
        <v>68</v>
      </c>
      <c r="K306" t="s">
        <v>51</v>
      </c>
      <c r="L306" t="s">
        <v>52</v>
      </c>
      <c r="M306">
        <v>47</v>
      </c>
      <c r="N306">
        <v>75</v>
      </c>
      <c r="O306">
        <v>3243</v>
      </c>
      <c r="P306">
        <v>2068</v>
      </c>
      <c r="Q306">
        <v>1175</v>
      </c>
      <c r="R306">
        <v>0.08</v>
      </c>
      <c r="S306" t="s">
        <v>70</v>
      </c>
      <c r="T306">
        <v>172.16</v>
      </c>
    </row>
    <row r="307" spans="1:20" x14ac:dyDescent="0.25">
      <c r="A307">
        <v>100306</v>
      </c>
      <c r="B307" s="6">
        <v>45301</v>
      </c>
      <c r="C307">
        <v>2024</v>
      </c>
      <c r="D307" t="s">
        <v>63</v>
      </c>
      <c r="E307">
        <v>1</v>
      </c>
      <c r="F307" t="s">
        <v>79</v>
      </c>
      <c r="G307" t="s">
        <v>45</v>
      </c>
      <c r="H307" t="s">
        <v>23</v>
      </c>
      <c r="I307" t="s">
        <v>46</v>
      </c>
      <c r="J307" t="s">
        <v>50</v>
      </c>
      <c r="K307" t="s">
        <v>55</v>
      </c>
      <c r="L307" t="s">
        <v>84</v>
      </c>
      <c r="M307">
        <v>117</v>
      </c>
      <c r="N307">
        <v>55</v>
      </c>
      <c r="O307">
        <v>6113.25</v>
      </c>
      <c r="P307">
        <v>4329</v>
      </c>
      <c r="Q307">
        <v>1784.25</v>
      </c>
      <c r="R307">
        <v>0.05</v>
      </c>
      <c r="S307" t="s">
        <v>70</v>
      </c>
      <c r="T307">
        <v>368.22</v>
      </c>
    </row>
    <row r="308" spans="1:20" x14ac:dyDescent="0.25">
      <c r="A308">
        <v>100307</v>
      </c>
      <c r="B308" s="6">
        <v>45991</v>
      </c>
      <c r="C308">
        <v>2025</v>
      </c>
      <c r="D308" t="s">
        <v>43</v>
      </c>
      <c r="E308">
        <v>11</v>
      </c>
      <c r="F308" t="s">
        <v>87</v>
      </c>
      <c r="G308" t="s">
        <v>22</v>
      </c>
      <c r="H308" t="s">
        <v>23</v>
      </c>
      <c r="I308" t="s">
        <v>24</v>
      </c>
      <c r="J308" t="s">
        <v>31</v>
      </c>
      <c r="K308" t="s">
        <v>51</v>
      </c>
      <c r="L308" t="s">
        <v>72</v>
      </c>
      <c r="M308">
        <v>66</v>
      </c>
      <c r="N308">
        <v>90</v>
      </c>
      <c r="O308">
        <v>5940</v>
      </c>
      <c r="P308">
        <v>3432</v>
      </c>
      <c r="Q308">
        <v>2508</v>
      </c>
      <c r="R308">
        <v>0</v>
      </c>
      <c r="S308" t="s">
        <v>38</v>
      </c>
      <c r="T308">
        <v>217.48</v>
      </c>
    </row>
    <row r="309" spans="1:20" x14ac:dyDescent="0.25">
      <c r="A309">
        <v>100308</v>
      </c>
      <c r="B309" s="6">
        <v>45366</v>
      </c>
      <c r="C309">
        <v>2024</v>
      </c>
      <c r="D309" t="s">
        <v>63</v>
      </c>
      <c r="E309">
        <v>3</v>
      </c>
      <c r="F309" t="s">
        <v>64</v>
      </c>
      <c r="G309" t="s">
        <v>29</v>
      </c>
      <c r="H309" t="s">
        <v>23</v>
      </c>
      <c r="I309" t="s">
        <v>73</v>
      </c>
      <c r="J309" t="s">
        <v>25</v>
      </c>
      <c r="K309" t="s">
        <v>59</v>
      </c>
      <c r="L309" t="s">
        <v>60</v>
      </c>
      <c r="M309">
        <v>65</v>
      </c>
      <c r="N309">
        <v>45</v>
      </c>
      <c r="O309">
        <v>2778.75</v>
      </c>
      <c r="P309">
        <v>1755</v>
      </c>
      <c r="Q309">
        <v>1023.75</v>
      </c>
      <c r="R309">
        <v>0.05</v>
      </c>
      <c r="S309" t="s">
        <v>38</v>
      </c>
      <c r="T309">
        <v>186.36</v>
      </c>
    </row>
    <row r="310" spans="1:20" x14ac:dyDescent="0.25">
      <c r="A310">
        <v>100309</v>
      </c>
      <c r="B310" s="6">
        <v>45840</v>
      </c>
      <c r="C310">
        <v>2025</v>
      </c>
      <c r="D310" t="s">
        <v>39</v>
      </c>
      <c r="E310">
        <v>7</v>
      </c>
      <c r="F310" t="s">
        <v>75</v>
      </c>
      <c r="G310" t="s">
        <v>29</v>
      </c>
      <c r="H310" t="s">
        <v>23</v>
      </c>
      <c r="I310" t="s">
        <v>30</v>
      </c>
      <c r="J310" t="s">
        <v>31</v>
      </c>
      <c r="K310" t="s">
        <v>51</v>
      </c>
      <c r="L310" t="s">
        <v>52</v>
      </c>
      <c r="M310">
        <v>135</v>
      </c>
      <c r="N310">
        <v>75</v>
      </c>
      <c r="O310">
        <v>9618.75</v>
      </c>
      <c r="P310">
        <v>5940</v>
      </c>
      <c r="Q310">
        <v>3678.75</v>
      </c>
      <c r="R310">
        <v>0.05</v>
      </c>
      <c r="S310" t="s">
        <v>70</v>
      </c>
      <c r="T310">
        <v>197.85</v>
      </c>
    </row>
    <row r="311" spans="1:20" x14ac:dyDescent="0.25">
      <c r="A311">
        <v>100310</v>
      </c>
      <c r="B311" s="6">
        <v>45856</v>
      </c>
      <c r="C311">
        <v>2025</v>
      </c>
      <c r="D311" t="s">
        <v>39</v>
      </c>
      <c r="E311">
        <v>7</v>
      </c>
      <c r="F311" t="s">
        <v>75</v>
      </c>
      <c r="G311" t="s">
        <v>29</v>
      </c>
      <c r="H311" t="s">
        <v>23</v>
      </c>
      <c r="I311" t="s">
        <v>49</v>
      </c>
      <c r="J311" t="s">
        <v>68</v>
      </c>
      <c r="K311" t="s">
        <v>59</v>
      </c>
      <c r="L311" t="s">
        <v>86</v>
      </c>
      <c r="M311">
        <v>74</v>
      </c>
      <c r="N311">
        <v>160</v>
      </c>
      <c r="O311">
        <v>11840</v>
      </c>
      <c r="P311">
        <v>7030</v>
      </c>
      <c r="Q311">
        <v>4810</v>
      </c>
      <c r="R311">
        <v>0</v>
      </c>
      <c r="S311" t="s">
        <v>70</v>
      </c>
      <c r="T311">
        <v>286.58</v>
      </c>
    </row>
    <row r="312" spans="1:20" x14ac:dyDescent="0.25">
      <c r="A312">
        <v>100311</v>
      </c>
      <c r="B312" s="6">
        <v>45369</v>
      </c>
      <c r="C312">
        <v>2024</v>
      </c>
      <c r="D312" t="s">
        <v>63</v>
      </c>
      <c r="E312">
        <v>3</v>
      </c>
      <c r="F312" t="s">
        <v>64</v>
      </c>
      <c r="G312" t="s">
        <v>22</v>
      </c>
      <c r="H312" t="s">
        <v>23</v>
      </c>
      <c r="I312" t="s">
        <v>24</v>
      </c>
      <c r="J312" t="s">
        <v>68</v>
      </c>
      <c r="K312" t="s">
        <v>32</v>
      </c>
      <c r="L312" t="s">
        <v>33</v>
      </c>
      <c r="M312">
        <v>116</v>
      </c>
      <c r="N312">
        <v>60</v>
      </c>
      <c r="O312">
        <v>6751.2</v>
      </c>
      <c r="P312">
        <v>4408</v>
      </c>
      <c r="Q312">
        <v>2343.1999999999998</v>
      </c>
      <c r="R312">
        <v>0.03</v>
      </c>
      <c r="S312" t="s">
        <v>38</v>
      </c>
      <c r="T312">
        <v>160.69</v>
      </c>
    </row>
    <row r="313" spans="1:20" x14ac:dyDescent="0.25">
      <c r="A313">
        <v>100312</v>
      </c>
      <c r="B313" s="6">
        <v>45051</v>
      </c>
      <c r="C313">
        <v>2023</v>
      </c>
      <c r="D313" t="s">
        <v>20</v>
      </c>
      <c r="E313">
        <v>5</v>
      </c>
      <c r="F313" t="s">
        <v>21</v>
      </c>
      <c r="G313" t="s">
        <v>22</v>
      </c>
      <c r="H313" t="s">
        <v>23</v>
      </c>
      <c r="I313" t="s">
        <v>71</v>
      </c>
      <c r="J313" t="s">
        <v>61</v>
      </c>
      <c r="K313" t="s">
        <v>51</v>
      </c>
      <c r="L313" t="s">
        <v>92</v>
      </c>
      <c r="M313">
        <v>131</v>
      </c>
      <c r="N313">
        <v>50</v>
      </c>
      <c r="O313">
        <v>6550</v>
      </c>
      <c r="P313">
        <v>3799</v>
      </c>
      <c r="Q313">
        <v>2751</v>
      </c>
      <c r="R313">
        <v>0</v>
      </c>
      <c r="S313" t="s">
        <v>70</v>
      </c>
      <c r="T313">
        <v>442.62</v>
      </c>
    </row>
    <row r="314" spans="1:20" x14ac:dyDescent="0.25">
      <c r="A314">
        <v>100313</v>
      </c>
      <c r="B314" s="6">
        <v>45572</v>
      </c>
      <c r="C314">
        <v>2024</v>
      </c>
      <c r="D314" t="s">
        <v>43</v>
      </c>
      <c r="E314">
        <v>10</v>
      </c>
      <c r="F314" t="s">
        <v>44</v>
      </c>
      <c r="G314" t="s">
        <v>29</v>
      </c>
      <c r="H314" t="s">
        <v>23</v>
      </c>
      <c r="I314" t="s">
        <v>85</v>
      </c>
      <c r="J314" t="s">
        <v>50</v>
      </c>
      <c r="K314" t="s">
        <v>26</v>
      </c>
      <c r="L314" t="s">
        <v>27</v>
      </c>
      <c r="M314">
        <v>38</v>
      </c>
      <c r="N314">
        <v>110</v>
      </c>
      <c r="O314">
        <v>4096.3999999999996</v>
      </c>
      <c r="P314">
        <v>2584</v>
      </c>
      <c r="Q314">
        <v>1512.4</v>
      </c>
      <c r="R314">
        <v>0.02</v>
      </c>
      <c r="S314" t="s">
        <v>38</v>
      </c>
      <c r="T314">
        <v>277.99</v>
      </c>
    </row>
    <row r="315" spans="1:20" x14ac:dyDescent="0.25">
      <c r="A315">
        <v>100314</v>
      </c>
      <c r="B315" s="6">
        <v>45934</v>
      </c>
      <c r="C315">
        <v>2025</v>
      </c>
      <c r="D315" t="s">
        <v>43</v>
      </c>
      <c r="E315">
        <v>10</v>
      </c>
      <c r="F315" t="s">
        <v>44</v>
      </c>
      <c r="G315" t="s">
        <v>35</v>
      </c>
      <c r="H315" t="s">
        <v>23</v>
      </c>
      <c r="I315" t="s">
        <v>80</v>
      </c>
      <c r="J315" t="s">
        <v>61</v>
      </c>
      <c r="K315" t="s">
        <v>55</v>
      </c>
      <c r="L315" t="s">
        <v>93</v>
      </c>
      <c r="M315">
        <v>58</v>
      </c>
      <c r="N315">
        <v>60</v>
      </c>
      <c r="O315">
        <v>3375.6</v>
      </c>
      <c r="P315">
        <v>2436</v>
      </c>
      <c r="Q315">
        <v>939.6</v>
      </c>
      <c r="R315">
        <v>0.03</v>
      </c>
      <c r="S315" t="s">
        <v>57</v>
      </c>
      <c r="T315">
        <v>81.89</v>
      </c>
    </row>
    <row r="316" spans="1:20" x14ac:dyDescent="0.25">
      <c r="A316">
        <v>100315</v>
      </c>
      <c r="B316" s="6">
        <v>45873</v>
      </c>
      <c r="C316">
        <v>2025</v>
      </c>
      <c r="D316" t="s">
        <v>39</v>
      </c>
      <c r="E316">
        <v>8</v>
      </c>
      <c r="F316" t="s">
        <v>58</v>
      </c>
      <c r="G316" t="s">
        <v>22</v>
      </c>
      <c r="H316" t="s">
        <v>23</v>
      </c>
      <c r="I316" t="s">
        <v>41</v>
      </c>
      <c r="J316" t="s">
        <v>54</v>
      </c>
      <c r="K316" t="s">
        <v>26</v>
      </c>
      <c r="L316" t="s">
        <v>27</v>
      </c>
      <c r="M316">
        <v>60</v>
      </c>
      <c r="N316">
        <v>110</v>
      </c>
      <c r="O316">
        <v>6600</v>
      </c>
      <c r="P316">
        <v>4080</v>
      </c>
      <c r="Q316">
        <v>2520</v>
      </c>
      <c r="R316">
        <v>0</v>
      </c>
      <c r="S316" t="s">
        <v>38</v>
      </c>
      <c r="T316">
        <v>283.2</v>
      </c>
    </row>
    <row r="317" spans="1:20" x14ac:dyDescent="0.25">
      <c r="A317">
        <v>100316</v>
      </c>
      <c r="B317" s="6">
        <v>45226</v>
      </c>
      <c r="C317">
        <v>2023</v>
      </c>
      <c r="D317" t="s">
        <v>43</v>
      </c>
      <c r="E317">
        <v>10</v>
      </c>
      <c r="F317" t="s">
        <v>44</v>
      </c>
      <c r="G317" t="s">
        <v>22</v>
      </c>
      <c r="H317" t="s">
        <v>23</v>
      </c>
      <c r="I317" t="s">
        <v>24</v>
      </c>
      <c r="J317" t="s">
        <v>61</v>
      </c>
      <c r="K317" t="s">
        <v>59</v>
      </c>
      <c r="L317" t="s">
        <v>60</v>
      </c>
      <c r="M317">
        <v>101</v>
      </c>
      <c r="N317">
        <v>45</v>
      </c>
      <c r="O317">
        <v>4317.75</v>
      </c>
      <c r="P317">
        <v>2727</v>
      </c>
      <c r="Q317">
        <v>1590.75</v>
      </c>
      <c r="R317">
        <v>0.05</v>
      </c>
      <c r="S317" t="s">
        <v>70</v>
      </c>
      <c r="T317">
        <v>302.17</v>
      </c>
    </row>
    <row r="318" spans="1:20" x14ac:dyDescent="0.25">
      <c r="A318">
        <v>100317</v>
      </c>
      <c r="B318" s="6">
        <v>45065</v>
      </c>
      <c r="C318">
        <v>2023</v>
      </c>
      <c r="D318" t="s">
        <v>20</v>
      </c>
      <c r="E318">
        <v>5</v>
      </c>
      <c r="F318" t="s">
        <v>21</v>
      </c>
      <c r="G318" t="s">
        <v>29</v>
      </c>
      <c r="H318" t="s">
        <v>23</v>
      </c>
      <c r="I318" t="s">
        <v>30</v>
      </c>
      <c r="J318" t="s">
        <v>68</v>
      </c>
      <c r="K318" t="s">
        <v>26</v>
      </c>
      <c r="L318" t="s">
        <v>69</v>
      </c>
      <c r="M318">
        <v>91</v>
      </c>
      <c r="N318">
        <v>130</v>
      </c>
      <c r="O318">
        <v>11238.5</v>
      </c>
      <c r="P318">
        <v>6916</v>
      </c>
      <c r="Q318">
        <v>4322.5</v>
      </c>
      <c r="R318">
        <v>0.05</v>
      </c>
      <c r="S318" t="s">
        <v>70</v>
      </c>
      <c r="T318">
        <v>520.52</v>
      </c>
    </row>
    <row r="319" spans="1:20" x14ac:dyDescent="0.25">
      <c r="A319">
        <v>100318</v>
      </c>
      <c r="B319" s="6">
        <v>45925</v>
      </c>
      <c r="C319">
        <v>2025</v>
      </c>
      <c r="D319" t="s">
        <v>39</v>
      </c>
      <c r="E319">
        <v>9</v>
      </c>
      <c r="F319" t="s">
        <v>40</v>
      </c>
      <c r="G319" t="s">
        <v>45</v>
      </c>
      <c r="H319" t="s">
        <v>23</v>
      </c>
      <c r="I319" t="s">
        <v>62</v>
      </c>
      <c r="J319" t="s">
        <v>31</v>
      </c>
      <c r="K319" t="s">
        <v>32</v>
      </c>
      <c r="L319" t="s">
        <v>37</v>
      </c>
      <c r="M319">
        <v>110</v>
      </c>
      <c r="N319">
        <v>120</v>
      </c>
      <c r="O319">
        <v>12804</v>
      </c>
      <c r="P319">
        <v>8580</v>
      </c>
      <c r="Q319">
        <v>4224</v>
      </c>
      <c r="R319">
        <v>0.03</v>
      </c>
      <c r="S319" t="s">
        <v>70</v>
      </c>
      <c r="T319">
        <v>352.45</v>
      </c>
    </row>
    <row r="320" spans="1:20" x14ac:dyDescent="0.25">
      <c r="A320">
        <v>100319</v>
      </c>
      <c r="B320" s="6">
        <v>45193</v>
      </c>
      <c r="C320">
        <v>2023</v>
      </c>
      <c r="D320" t="s">
        <v>39</v>
      </c>
      <c r="E320">
        <v>9</v>
      </c>
      <c r="F320" t="s">
        <v>40</v>
      </c>
      <c r="G320" t="s">
        <v>35</v>
      </c>
      <c r="H320" t="s">
        <v>23</v>
      </c>
      <c r="I320" t="s">
        <v>77</v>
      </c>
      <c r="J320" t="s">
        <v>31</v>
      </c>
      <c r="K320" t="s">
        <v>51</v>
      </c>
      <c r="L320" t="s">
        <v>76</v>
      </c>
      <c r="M320">
        <v>148</v>
      </c>
      <c r="N320">
        <v>40</v>
      </c>
      <c r="O320">
        <v>5742.4</v>
      </c>
      <c r="P320">
        <v>3404</v>
      </c>
      <c r="Q320">
        <v>2338.4</v>
      </c>
      <c r="R320">
        <v>0.03</v>
      </c>
      <c r="S320" t="s">
        <v>38</v>
      </c>
      <c r="T320">
        <v>104.37</v>
      </c>
    </row>
    <row r="321" spans="1:20" x14ac:dyDescent="0.25">
      <c r="A321">
        <v>100320</v>
      </c>
      <c r="B321" s="6">
        <v>45484</v>
      </c>
      <c r="C321">
        <v>2024</v>
      </c>
      <c r="D321" t="s">
        <v>39</v>
      </c>
      <c r="E321">
        <v>7</v>
      </c>
      <c r="F321" t="s">
        <v>75</v>
      </c>
      <c r="G321" t="s">
        <v>35</v>
      </c>
      <c r="H321" t="s">
        <v>23</v>
      </c>
      <c r="I321" t="s">
        <v>80</v>
      </c>
      <c r="J321" t="s">
        <v>66</v>
      </c>
      <c r="K321" t="s">
        <v>55</v>
      </c>
      <c r="L321" t="s">
        <v>89</v>
      </c>
      <c r="M321">
        <v>57</v>
      </c>
      <c r="N321">
        <v>280</v>
      </c>
      <c r="O321">
        <v>15960</v>
      </c>
      <c r="P321">
        <v>11685</v>
      </c>
      <c r="Q321">
        <v>4275</v>
      </c>
      <c r="R321">
        <v>0</v>
      </c>
      <c r="S321" t="s">
        <v>70</v>
      </c>
      <c r="T321">
        <v>901.81</v>
      </c>
    </row>
    <row r="322" spans="1:20" x14ac:dyDescent="0.25">
      <c r="A322">
        <v>100321</v>
      </c>
      <c r="B322" s="6">
        <v>45333</v>
      </c>
      <c r="C322">
        <v>2024</v>
      </c>
      <c r="D322" t="s">
        <v>63</v>
      </c>
      <c r="E322">
        <v>2</v>
      </c>
      <c r="F322" t="s">
        <v>81</v>
      </c>
      <c r="G322" t="s">
        <v>22</v>
      </c>
      <c r="H322" t="s">
        <v>23</v>
      </c>
      <c r="I322" t="s">
        <v>24</v>
      </c>
      <c r="J322" t="s">
        <v>54</v>
      </c>
      <c r="K322" t="s">
        <v>59</v>
      </c>
      <c r="L322" t="s">
        <v>60</v>
      </c>
      <c r="M322">
        <v>91</v>
      </c>
      <c r="N322">
        <v>45</v>
      </c>
      <c r="O322">
        <v>3972.15</v>
      </c>
      <c r="P322">
        <v>2457</v>
      </c>
      <c r="Q322">
        <v>1515.15</v>
      </c>
      <c r="R322">
        <v>0.03</v>
      </c>
      <c r="S322" t="s">
        <v>70</v>
      </c>
      <c r="T322">
        <v>191.13</v>
      </c>
    </row>
    <row r="323" spans="1:20" x14ac:dyDescent="0.25">
      <c r="A323">
        <v>100322</v>
      </c>
      <c r="B323" s="6">
        <v>45291</v>
      </c>
      <c r="C323">
        <v>2023</v>
      </c>
      <c r="D323" t="s">
        <v>43</v>
      </c>
      <c r="E323">
        <v>12</v>
      </c>
      <c r="F323" t="s">
        <v>83</v>
      </c>
      <c r="G323" t="s">
        <v>22</v>
      </c>
      <c r="H323" t="s">
        <v>23</v>
      </c>
      <c r="I323" t="s">
        <v>65</v>
      </c>
      <c r="J323" t="s">
        <v>42</v>
      </c>
      <c r="K323" t="s">
        <v>55</v>
      </c>
      <c r="L323" t="s">
        <v>56</v>
      </c>
      <c r="M323">
        <v>125</v>
      </c>
      <c r="N323">
        <v>320</v>
      </c>
      <c r="O323">
        <v>40000</v>
      </c>
      <c r="P323">
        <v>29375</v>
      </c>
      <c r="Q323">
        <v>10625</v>
      </c>
      <c r="R323">
        <v>0</v>
      </c>
      <c r="S323" t="s">
        <v>28</v>
      </c>
      <c r="T323">
        <v>2008.44</v>
      </c>
    </row>
    <row r="324" spans="1:20" x14ac:dyDescent="0.25">
      <c r="A324">
        <v>100323</v>
      </c>
      <c r="B324" s="6">
        <v>45073</v>
      </c>
      <c r="C324">
        <v>2023</v>
      </c>
      <c r="D324" t="s">
        <v>20</v>
      </c>
      <c r="E324">
        <v>5</v>
      </c>
      <c r="F324" t="s">
        <v>21</v>
      </c>
      <c r="G324" t="s">
        <v>22</v>
      </c>
      <c r="H324" t="s">
        <v>23</v>
      </c>
      <c r="I324" t="s">
        <v>41</v>
      </c>
      <c r="J324" t="s">
        <v>54</v>
      </c>
      <c r="K324" t="s">
        <v>51</v>
      </c>
      <c r="L324" t="s">
        <v>92</v>
      </c>
      <c r="M324">
        <v>22</v>
      </c>
      <c r="N324">
        <v>50</v>
      </c>
      <c r="O324">
        <v>990</v>
      </c>
      <c r="P324">
        <v>638</v>
      </c>
      <c r="Q324">
        <v>352</v>
      </c>
      <c r="R324">
        <v>0.1</v>
      </c>
      <c r="S324" t="s">
        <v>38</v>
      </c>
      <c r="T324">
        <v>26.87</v>
      </c>
    </row>
    <row r="325" spans="1:20" x14ac:dyDescent="0.25">
      <c r="A325">
        <v>100324</v>
      </c>
      <c r="B325" s="6">
        <v>45406</v>
      </c>
      <c r="C325">
        <v>2024</v>
      </c>
      <c r="D325" t="s">
        <v>20</v>
      </c>
      <c r="E325">
        <v>4</v>
      </c>
      <c r="F325" t="s">
        <v>34</v>
      </c>
      <c r="G325" t="s">
        <v>35</v>
      </c>
      <c r="H325" t="s">
        <v>23</v>
      </c>
      <c r="I325" t="s">
        <v>77</v>
      </c>
      <c r="J325" t="s">
        <v>61</v>
      </c>
      <c r="K325" t="s">
        <v>32</v>
      </c>
      <c r="L325" t="s">
        <v>74</v>
      </c>
      <c r="M325">
        <v>63</v>
      </c>
      <c r="N325">
        <v>25</v>
      </c>
      <c r="O325">
        <v>1527.75</v>
      </c>
      <c r="P325">
        <v>882</v>
      </c>
      <c r="Q325">
        <v>645.75</v>
      </c>
      <c r="R325">
        <v>0.03</v>
      </c>
      <c r="S325" t="s">
        <v>38</v>
      </c>
      <c r="T325">
        <v>76.069999999999993</v>
      </c>
    </row>
    <row r="326" spans="1:20" x14ac:dyDescent="0.25">
      <c r="A326">
        <v>100325</v>
      </c>
      <c r="B326" s="6">
        <v>45120</v>
      </c>
      <c r="C326">
        <v>2023</v>
      </c>
      <c r="D326" t="s">
        <v>39</v>
      </c>
      <c r="E326">
        <v>7</v>
      </c>
      <c r="F326" t="s">
        <v>75</v>
      </c>
      <c r="G326" t="s">
        <v>45</v>
      </c>
      <c r="H326" t="s">
        <v>23</v>
      </c>
      <c r="I326" t="s">
        <v>62</v>
      </c>
      <c r="J326" t="s">
        <v>68</v>
      </c>
      <c r="K326" t="s">
        <v>26</v>
      </c>
      <c r="L326" t="s">
        <v>78</v>
      </c>
      <c r="M326">
        <v>66</v>
      </c>
      <c r="N326">
        <v>95</v>
      </c>
      <c r="O326">
        <v>5956.5</v>
      </c>
      <c r="P326">
        <v>3828</v>
      </c>
      <c r="Q326">
        <v>2128.5</v>
      </c>
      <c r="R326">
        <v>0.05</v>
      </c>
      <c r="S326" t="s">
        <v>57</v>
      </c>
      <c r="T326">
        <v>413.86</v>
      </c>
    </row>
    <row r="327" spans="1:20" x14ac:dyDescent="0.25">
      <c r="A327">
        <v>100326</v>
      </c>
      <c r="B327" s="6">
        <v>45039</v>
      </c>
      <c r="C327">
        <v>2023</v>
      </c>
      <c r="D327" t="s">
        <v>20</v>
      </c>
      <c r="E327">
        <v>4</v>
      </c>
      <c r="F327" t="s">
        <v>34</v>
      </c>
      <c r="G327" t="s">
        <v>29</v>
      </c>
      <c r="H327" t="s">
        <v>23</v>
      </c>
      <c r="I327" t="s">
        <v>30</v>
      </c>
      <c r="J327" t="s">
        <v>54</v>
      </c>
      <c r="K327" t="s">
        <v>32</v>
      </c>
      <c r="L327" t="s">
        <v>74</v>
      </c>
      <c r="M327">
        <v>74</v>
      </c>
      <c r="N327">
        <v>25</v>
      </c>
      <c r="O327">
        <v>1813</v>
      </c>
      <c r="P327">
        <v>1036</v>
      </c>
      <c r="Q327">
        <v>777</v>
      </c>
      <c r="R327">
        <v>0.02</v>
      </c>
      <c r="S327" t="s">
        <v>38</v>
      </c>
      <c r="T327">
        <v>90.31</v>
      </c>
    </row>
    <row r="328" spans="1:20" x14ac:dyDescent="0.25">
      <c r="A328">
        <v>100327</v>
      </c>
      <c r="B328" s="6">
        <v>45574</v>
      </c>
      <c r="C328">
        <v>2024</v>
      </c>
      <c r="D328" t="s">
        <v>43</v>
      </c>
      <c r="E328">
        <v>10</v>
      </c>
      <c r="F328" t="s">
        <v>44</v>
      </c>
      <c r="G328" t="s">
        <v>45</v>
      </c>
      <c r="H328" t="s">
        <v>23</v>
      </c>
      <c r="I328" t="s">
        <v>62</v>
      </c>
      <c r="J328" t="s">
        <v>31</v>
      </c>
      <c r="K328" t="s">
        <v>59</v>
      </c>
      <c r="L328" t="s">
        <v>67</v>
      </c>
      <c r="M328">
        <v>10</v>
      </c>
      <c r="N328">
        <v>95</v>
      </c>
      <c r="O328">
        <v>874</v>
      </c>
      <c r="P328">
        <v>560</v>
      </c>
      <c r="Q328">
        <v>314</v>
      </c>
      <c r="R328">
        <v>0.08</v>
      </c>
      <c r="S328" t="s">
        <v>38</v>
      </c>
      <c r="T328">
        <v>42.61</v>
      </c>
    </row>
    <row r="329" spans="1:20" x14ac:dyDescent="0.25">
      <c r="A329">
        <v>100328</v>
      </c>
      <c r="B329" s="6">
        <v>45728</v>
      </c>
      <c r="C329">
        <v>2025</v>
      </c>
      <c r="D329" t="s">
        <v>63</v>
      </c>
      <c r="E329">
        <v>3</v>
      </c>
      <c r="F329" t="s">
        <v>64</v>
      </c>
      <c r="G329" t="s">
        <v>35</v>
      </c>
      <c r="H329" t="s">
        <v>23</v>
      </c>
      <c r="I329" t="s">
        <v>36</v>
      </c>
      <c r="J329" t="s">
        <v>66</v>
      </c>
      <c r="K329" t="s">
        <v>51</v>
      </c>
      <c r="L329" t="s">
        <v>76</v>
      </c>
      <c r="M329">
        <v>111</v>
      </c>
      <c r="N329">
        <v>40</v>
      </c>
      <c r="O329">
        <v>4351.2</v>
      </c>
      <c r="P329">
        <v>2553</v>
      </c>
      <c r="Q329">
        <v>1798.2</v>
      </c>
      <c r="R329">
        <v>0.02</v>
      </c>
      <c r="S329" t="s">
        <v>57</v>
      </c>
      <c r="T329">
        <v>196.68</v>
      </c>
    </row>
    <row r="330" spans="1:20" x14ac:dyDescent="0.25">
      <c r="A330">
        <v>100329</v>
      </c>
      <c r="B330" s="6">
        <v>44971</v>
      </c>
      <c r="C330">
        <v>2023</v>
      </c>
      <c r="D330" t="s">
        <v>63</v>
      </c>
      <c r="E330">
        <v>2</v>
      </c>
      <c r="F330" t="s">
        <v>81</v>
      </c>
      <c r="G330" t="s">
        <v>45</v>
      </c>
      <c r="H330" t="s">
        <v>23</v>
      </c>
      <c r="I330" t="s">
        <v>90</v>
      </c>
      <c r="J330" t="s">
        <v>68</v>
      </c>
      <c r="K330" t="s">
        <v>59</v>
      </c>
      <c r="L330" t="s">
        <v>91</v>
      </c>
      <c r="M330">
        <v>75</v>
      </c>
      <c r="N330">
        <v>140</v>
      </c>
      <c r="O330">
        <v>10500</v>
      </c>
      <c r="P330">
        <v>6150</v>
      </c>
      <c r="Q330">
        <v>4350</v>
      </c>
      <c r="R330">
        <v>0</v>
      </c>
      <c r="S330" t="s">
        <v>38</v>
      </c>
      <c r="T330">
        <v>446.61</v>
      </c>
    </row>
    <row r="331" spans="1:20" x14ac:dyDescent="0.25">
      <c r="A331">
        <v>100330</v>
      </c>
      <c r="B331" s="6">
        <v>45248</v>
      </c>
      <c r="C331">
        <v>2023</v>
      </c>
      <c r="D331" t="s">
        <v>43</v>
      </c>
      <c r="E331">
        <v>11</v>
      </c>
      <c r="F331" t="s">
        <v>87</v>
      </c>
      <c r="G331" t="s">
        <v>35</v>
      </c>
      <c r="H331" t="s">
        <v>23</v>
      </c>
      <c r="I331" t="s">
        <v>36</v>
      </c>
      <c r="J331" t="s">
        <v>66</v>
      </c>
      <c r="K331" t="s">
        <v>51</v>
      </c>
      <c r="L331" t="s">
        <v>52</v>
      </c>
      <c r="M331">
        <v>43</v>
      </c>
      <c r="N331">
        <v>75</v>
      </c>
      <c r="O331">
        <v>3160.5</v>
      </c>
      <c r="P331">
        <v>1892</v>
      </c>
      <c r="Q331">
        <v>1268.5</v>
      </c>
      <c r="R331">
        <v>0.02</v>
      </c>
      <c r="S331" t="s">
        <v>38</v>
      </c>
      <c r="T331">
        <v>187.07</v>
      </c>
    </row>
    <row r="332" spans="1:20" x14ac:dyDescent="0.25">
      <c r="A332">
        <v>100331</v>
      </c>
      <c r="B332" s="6">
        <v>45977</v>
      </c>
      <c r="C332">
        <v>2025</v>
      </c>
      <c r="D332" t="s">
        <v>43</v>
      </c>
      <c r="E332">
        <v>11</v>
      </c>
      <c r="F332" t="s">
        <v>87</v>
      </c>
      <c r="G332" t="s">
        <v>35</v>
      </c>
      <c r="H332" t="s">
        <v>23</v>
      </c>
      <c r="I332" t="s">
        <v>77</v>
      </c>
      <c r="J332" t="s">
        <v>61</v>
      </c>
      <c r="K332" t="s">
        <v>59</v>
      </c>
      <c r="L332" t="s">
        <v>67</v>
      </c>
      <c r="M332">
        <v>74</v>
      </c>
      <c r="N332">
        <v>95</v>
      </c>
      <c r="O332">
        <v>6819.1</v>
      </c>
      <c r="P332">
        <v>4144</v>
      </c>
      <c r="Q332">
        <v>2675.1</v>
      </c>
      <c r="R332">
        <v>0.03</v>
      </c>
      <c r="S332" t="s">
        <v>70</v>
      </c>
      <c r="T332">
        <v>184.53</v>
      </c>
    </row>
    <row r="333" spans="1:20" x14ac:dyDescent="0.25">
      <c r="A333">
        <v>100332</v>
      </c>
      <c r="B333" s="6">
        <v>46003</v>
      </c>
      <c r="C333">
        <v>2025</v>
      </c>
      <c r="D333" t="s">
        <v>43</v>
      </c>
      <c r="E333">
        <v>12</v>
      </c>
      <c r="F333" t="s">
        <v>83</v>
      </c>
      <c r="G333" t="s">
        <v>22</v>
      </c>
      <c r="H333" t="s">
        <v>23</v>
      </c>
      <c r="I333" t="s">
        <v>71</v>
      </c>
      <c r="J333" t="s">
        <v>68</v>
      </c>
      <c r="K333" t="s">
        <v>26</v>
      </c>
      <c r="L333" t="s">
        <v>69</v>
      </c>
      <c r="M333">
        <v>90</v>
      </c>
      <c r="N333">
        <v>130</v>
      </c>
      <c r="O333">
        <v>11115</v>
      </c>
      <c r="P333">
        <v>6840</v>
      </c>
      <c r="Q333">
        <v>4275</v>
      </c>
      <c r="R333">
        <v>0.05</v>
      </c>
      <c r="S333" t="s">
        <v>70</v>
      </c>
      <c r="T333">
        <v>696.7</v>
      </c>
    </row>
    <row r="334" spans="1:20" x14ac:dyDescent="0.25">
      <c r="A334">
        <v>100333</v>
      </c>
      <c r="B334" s="6">
        <v>45586</v>
      </c>
      <c r="C334">
        <v>2024</v>
      </c>
      <c r="D334" t="s">
        <v>43</v>
      </c>
      <c r="E334">
        <v>10</v>
      </c>
      <c r="F334" t="s">
        <v>44</v>
      </c>
      <c r="G334" t="s">
        <v>29</v>
      </c>
      <c r="H334" t="s">
        <v>23</v>
      </c>
      <c r="I334" t="s">
        <v>85</v>
      </c>
      <c r="J334" t="s">
        <v>66</v>
      </c>
      <c r="K334" t="s">
        <v>51</v>
      </c>
      <c r="L334" t="s">
        <v>72</v>
      </c>
      <c r="M334">
        <v>119</v>
      </c>
      <c r="N334">
        <v>90</v>
      </c>
      <c r="O334">
        <v>9853.2000000000007</v>
      </c>
      <c r="P334">
        <v>6188</v>
      </c>
      <c r="Q334">
        <v>3665.2</v>
      </c>
      <c r="R334">
        <v>0.08</v>
      </c>
      <c r="S334" t="s">
        <v>70</v>
      </c>
      <c r="T334">
        <v>583.48</v>
      </c>
    </row>
    <row r="335" spans="1:20" x14ac:dyDescent="0.25">
      <c r="A335">
        <v>100334</v>
      </c>
      <c r="B335" s="6">
        <v>45186</v>
      </c>
      <c r="C335">
        <v>2023</v>
      </c>
      <c r="D335" t="s">
        <v>39</v>
      </c>
      <c r="E335">
        <v>9</v>
      </c>
      <c r="F335" t="s">
        <v>40</v>
      </c>
      <c r="G335" t="s">
        <v>45</v>
      </c>
      <c r="H335" t="s">
        <v>23</v>
      </c>
      <c r="I335" t="s">
        <v>90</v>
      </c>
      <c r="J335" t="s">
        <v>68</v>
      </c>
      <c r="K335" t="s">
        <v>26</v>
      </c>
      <c r="L335" t="s">
        <v>78</v>
      </c>
      <c r="M335">
        <v>21</v>
      </c>
      <c r="N335">
        <v>95</v>
      </c>
      <c r="O335">
        <v>1935.15</v>
      </c>
      <c r="P335">
        <v>1218</v>
      </c>
      <c r="Q335">
        <v>717.15</v>
      </c>
      <c r="R335">
        <v>0.03</v>
      </c>
      <c r="S335" t="s">
        <v>57</v>
      </c>
      <c r="T335">
        <v>59.28</v>
      </c>
    </row>
    <row r="336" spans="1:20" x14ac:dyDescent="0.25">
      <c r="A336">
        <v>100335</v>
      </c>
      <c r="B336" s="6">
        <v>45799</v>
      </c>
      <c r="C336">
        <v>2025</v>
      </c>
      <c r="D336" t="s">
        <v>20</v>
      </c>
      <c r="E336">
        <v>5</v>
      </c>
      <c r="F336" t="s">
        <v>21</v>
      </c>
      <c r="G336" t="s">
        <v>29</v>
      </c>
      <c r="H336" t="s">
        <v>23</v>
      </c>
      <c r="I336" t="s">
        <v>73</v>
      </c>
      <c r="J336" t="s">
        <v>66</v>
      </c>
      <c r="K336" t="s">
        <v>51</v>
      </c>
      <c r="L336" t="s">
        <v>52</v>
      </c>
      <c r="M336">
        <v>102</v>
      </c>
      <c r="N336">
        <v>75</v>
      </c>
      <c r="O336">
        <v>7650</v>
      </c>
      <c r="P336">
        <v>4488</v>
      </c>
      <c r="Q336">
        <v>3162</v>
      </c>
      <c r="R336">
        <v>0</v>
      </c>
      <c r="S336" t="s">
        <v>28</v>
      </c>
      <c r="T336">
        <v>230.95</v>
      </c>
    </row>
    <row r="337" spans="1:20" x14ac:dyDescent="0.25">
      <c r="A337">
        <v>100336</v>
      </c>
      <c r="B337" s="6">
        <v>45744</v>
      </c>
      <c r="C337">
        <v>2025</v>
      </c>
      <c r="D337" t="s">
        <v>63</v>
      </c>
      <c r="E337">
        <v>3</v>
      </c>
      <c r="F337" t="s">
        <v>64</v>
      </c>
      <c r="G337" t="s">
        <v>29</v>
      </c>
      <c r="H337" t="s">
        <v>23</v>
      </c>
      <c r="I337" t="s">
        <v>73</v>
      </c>
      <c r="J337" t="s">
        <v>42</v>
      </c>
      <c r="K337" t="s">
        <v>51</v>
      </c>
      <c r="L337" t="s">
        <v>72</v>
      </c>
      <c r="M337">
        <v>130</v>
      </c>
      <c r="N337">
        <v>90</v>
      </c>
      <c r="O337">
        <v>11700</v>
      </c>
      <c r="P337">
        <v>6760</v>
      </c>
      <c r="Q337">
        <v>4940</v>
      </c>
      <c r="R337">
        <v>0</v>
      </c>
      <c r="S337" t="s">
        <v>38</v>
      </c>
      <c r="T337">
        <v>774.53</v>
      </c>
    </row>
    <row r="338" spans="1:20" x14ac:dyDescent="0.25">
      <c r="A338">
        <v>100337</v>
      </c>
      <c r="B338" s="6">
        <v>45063</v>
      </c>
      <c r="C338">
        <v>2023</v>
      </c>
      <c r="D338" t="s">
        <v>20</v>
      </c>
      <c r="E338">
        <v>5</v>
      </c>
      <c r="F338" t="s">
        <v>21</v>
      </c>
      <c r="G338" t="s">
        <v>22</v>
      </c>
      <c r="H338" t="s">
        <v>23</v>
      </c>
      <c r="I338" t="s">
        <v>41</v>
      </c>
      <c r="J338" t="s">
        <v>42</v>
      </c>
      <c r="K338" t="s">
        <v>51</v>
      </c>
      <c r="L338" t="s">
        <v>72</v>
      </c>
      <c r="M338">
        <v>91</v>
      </c>
      <c r="N338">
        <v>90</v>
      </c>
      <c r="O338">
        <v>7534.8</v>
      </c>
      <c r="P338">
        <v>4732</v>
      </c>
      <c r="Q338">
        <v>2802.8</v>
      </c>
      <c r="R338">
        <v>0.08</v>
      </c>
      <c r="S338" t="s">
        <v>38</v>
      </c>
      <c r="T338">
        <v>292.8</v>
      </c>
    </row>
    <row r="339" spans="1:20" x14ac:dyDescent="0.25">
      <c r="A339">
        <v>100338</v>
      </c>
      <c r="B339" s="6">
        <v>45617</v>
      </c>
      <c r="C339">
        <v>2024</v>
      </c>
      <c r="D339" t="s">
        <v>43</v>
      </c>
      <c r="E339">
        <v>11</v>
      </c>
      <c r="F339" t="s">
        <v>87</v>
      </c>
      <c r="G339" t="s">
        <v>45</v>
      </c>
      <c r="H339" t="s">
        <v>23</v>
      </c>
      <c r="I339" t="s">
        <v>46</v>
      </c>
      <c r="J339" t="s">
        <v>68</v>
      </c>
      <c r="K339" t="s">
        <v>26</v>
      </c>
      <c r="L339" t="s">
        <v>78</v>
      </c>
      <c r="M339">
        <v>69</v>
      </c>
      <c r="N339">
        <v>95</v>
      </c>
      <c r="O339">
        <v>6227.25</v>
      </c>
      <c r="P339">
        <v>4002</v>
      </c>
      <c r="Q339">
        <v>2225.25</v>
      </c>
      <c r="R339">
        <v>0.05</v>
      </c>
      <c r="S339" t="s">
        <v>38</v>
      </c>
      <c r="T339">
        <v>334.48</v>
      </c>
    </row>
    <row r="340" spans="1:20" x14ac:dyDescent="0.25">
      <c r="A340">
        <v>100339</v>
      </c>
      <c r="B340" s="6">
        <v>45161</v>
      </c>
      <c r="C340">
        <v>2023</v>
      </c>
      <c r="D340" t="s">
        <v>39</v>
      </c>
      <c r="E340">
        <v>8</v>
      </c>
      <c r="F340" t="s">
        <v>58</v>
      </c>
      <c r="G340" t="s">
        <v>45</v>
      </c>
      <c r="H340" t="s">
        <v>23</v>
      </c>
      <c r="I340" t="s">
        <v>46</v>
      </c>
      <c r="J340" t="s">
        <v>66</v>
      </c>
      <c r="K340" t="s">
        <v>55</v>
      </c>
      <c r="L340" t="s">
        <v>56</v>
      </c>
      <c r="M340">
        <v>20</v>
      </c>
      <c r="N340">
        <v>320</v>
      </c>
      <c r="O340">
        <v>5760</v>
      </c>
      <c r="P340">
        <v>4700</v>
      </c>
      <c r="Q340">
        <v>1060</v>
      </c>
      <c r="R340">
        <v>0.1</v>
      </c>
      <c r="S340" t="s">
        <v>38</v>
      </c>
      <c r="T340">
        <v>308.95999999999998</v>
      </c>
    </row>
    <row r="341" spans="1:20" x14ac:dyDescent="0.25">
      <c r="A341">
        <v>100340</v>
      </c>
      <c r="B341" s="6">
        <v>45905</v>
      </c>
      <c r="C341">
        <v>2025</v>
      </c>
      <c r="D341" t="s">
        <v>39</v>
      </c>
      <c r="E341">
        <v>9</v>
      </c>
      <c r="F341" t="s">
        <v>40</v>
      </c>
      <c r="G341" t="s">
        <v>22</v>
      </c>
      <c r="H341" t="s">
        <v>23</v>
      </c>
      <c r="I341" t="s">
        <v>65</v>
      </c>
      <c r="J341" t="s">
        <v>31</v>
      </c>
      <c r="K341" t="s">
        <v>55</v>
      </c>
      <c r="L341" t="s">
        <v>93</v>
      </c>
      <c r="M341">
        <v>110</v>
      </c>
      <c r="N341">
        <v>60</v>
      </c>
      <c r="O341">
        <v>6402</v>
      </c>
      <c r="P341">
        <v>4620</v>
      </c>
      <c r="Q341">
        <v>1782</v>
      </c>
      <c r="R341">
        <v>0.03</v>
      </c>
      <c r="S341" t="s">
        <v>70</v>
      </c>
      <c r="T341">
        <v>231.63</v>
      </c>
    </row>
    <row r="342" spans="1:20" x14ac:dyDescent="0.25">
      <c r="A342">
        <v>100341</v>
      </c>
      <c r="B342" s="6">
        <v>45153</v>
      </c>
      <c r="C342">
        <v>2023</v>
      </c>
      <c r="D342" t="s">
        <v>39</v>
      </c>
      <c r="E342">
        <v>8</v>
      </c>
      <c r="F342" t="s">
        <v>58</v>
      </c>
      <c r="G342" t="s">
        <v>29</v>
      </c>
      <c r="H342" t="s">
        <v>23</v>
      </c>
      <c r="I342" t="s">
        <v>73</v>
      </c>
      <c r="J342" t="s">
        <v>54</v>
      </c>
      <c r="K342" t="s">
        <v>32</v>
      </c>
      <c r="L342" t="s">
        <v>37</v>
      </c>
      <c r="M342">
        <v>22</v>
      </c>
      <c r="N342">
        <v>120</v>
      </c>
      <c r="O342">
        <v>2560.8000000000002</v>
      </c>
      <c r="P342">
        <v>1716</v>
      </c>
      <c r="Q342">
        <v>844.8</v>
      </c>
      <c r="R342">
        <v>0.03</v>
      </c>
      <c r="S342" t="s">
        <v>57</v>
      </c>
      <c r="T342">
        <v>154.21</v>
      </c>
    </row>
    <row r="343" spans="1:20" x14ac:dyDescent="0.25">
      <c r="A343">
        <v>100342</v>
      </c>
      <c r="B343" s="6">
        <v>45575</v>
      </c>
      <c r="C343">
        <v>2024</v>
      </c>
      <c r="D343" t="s">
        <v>43</v>
      </c>
      <c r="E343">
        <v>10</v>
      </c>
      <c r="F343" t="s">
        <v>44</v>
      </c>
      <c r="G343" t="s">
        <v>45</v>
      </c>
      <c r="H343" t="s">
        <v>23</v>
      </c>
      <c r="I343" t="s">
        <v>88</v>
      </c>
      <c r="J343" t="s">
        <v>68</v>
      </c>
      <c r="K343" t="s">
        <v>59</v>
      </c>
      <c r="L343" t="s">
        <v>91</v>
      </c>
      <c r="M343">
        <v>109</v>
      </c>
      <c r="N343">
        <v>140</v>
      </c>
      <c r="O343">
        <v>14497</v>
      </c>
      <c r="P343">
        <v>8938</v>
      </c>
      <c r="Q343">
        <v>5559</v>
      </c>
      <c r="R343">
        <v>0.05</v>
      </c>
      <c r="S343" t="s">
        <v>38</v>
      </c>
      <c r="T343">
        <v>702.04</v>
      </c>
    </row>
    <row r="344" spans="1:20" x14ac:dyDescent="0.25">
      <c r="A344">
        <v>100343</v>
      </c>
      <c r="B344" s="6">
        <v>45702</v>
      </c>
      <c r="C344">
        <v>2025</v>
      </c>
      <c r="D344" t="s">
        <v>63</v>
      </c>
      <c r="E344">
        <v>2</v>
      </c>
      <c r="F344" t="s">
        <v>81</v>
      </c>
      <c r="G344" t="s">
        <v>22</v>
      </c>
      <c r="H344" t="s">
        <v>23</v>
      </c>
      <c r="I344" t="s">
        <v>65</v>
      </c>
      <c r="J344" t="s">
        <v>31</v>
      </c>
      <c r="K344" t="s">
        <v>26</v>
      </c>
      <c r="L344" t="s">
        <v>82</v>
      </c>
      <c r="M344">
        <v>79</v>
      </c>
      <c r="N344">
        <v>105</v>
      </c>
      <c r="O344">
        <v>7880.25</v>
      </c>
      <c r="P344">
        <v>4819</v>
      </c>
      <c r="Q344">
        <v>3061.25</v>
      </c>
      <c r="R344">
        <v>0.05</v>
      </c>
      <c r="S344" t="s">
        <v>70</v>
      </c>
      <c r="T344">
        <v>289.45999999999998</v>
      </c>
    </row>
    <row r="345" spans="1:20" x14ac:dyDescent="0.25">
      <c r="A345">
        <v>100344</v>
      </c>
      <c r="B345" s="6">
        <v>46015</v>
      </c>
      <c r="C345">
        <v>2025</v>
      </c>
      <c r="D345" t="s">
        <v>43</v>
      </c>
      <c r="E345">
        <v>12</v>
      </c>
      <c r="F345" t="s">
        <v>83</v>
      </c>
      <c r="G345" t="s">
        <v>29</v>
      </c>
      <c r="H345" t="s">
        <v>23</v>
      </c>
      <c r="I345" t="s">
        <v>73</v>
      </c>
      <c r="J345" t="s">
        <v>68</v>
      </c>
      <c r="K345" t="s">
        <v>51</v>
      </c>
      <c r="L345" t="s">
        <v>52</v>
      </c>
      <c r="M345">
        <v>22</v>
      </c>
      <c r="N345">
        <v>75</v>
      </c>
      <c r="O345">
        <v>1650</v>
      </c>
      <c r="P345">
        <v>968</v>
      </c>
      <c r="Q345">
        <v>682</v>
      </c>
      <c r="R345">
        <v>0</v>
      </c>
      <c r="S345" t="s">
        <v>70</v>
      </c>
      <c r="T345">
        <v>34.869999999999997</v>
      </c>
    </row>
    <row r="346" spans="1:20" x14ac:dyDescent="0.25">
      <c r="A346">
        <v>100345</v>
      </c>
      <c r="B346" s="6">
        <v>44979</v>
      </c>
      <c r="C346">
        <v>2023</v>
      </c>
      <c r="D346" t="s">
        <v>63</v>
      </c>
      <c r="E346">
        <v>2</v>
      </c>
      <c r="F346" t="s">
        <v>81</v>
      </c>
      <c r="G346" t="s">
        <v>35</v>
      </c>
      <c r="H346" t="s">
        <v>23</v>
      </c>
      <c r="I346" t="s">
        <v>36</v>
      </c>
      <c r="J346" t="s">
        <v>66</v>
      </c>
      <c r="K346" t="s">
        <v>51</v>
      </c>
      <c r="L346" t="s">
        <v>76</v>
      </c>
      <c r="M346">
        <v>33</v>
      </c>
      <c r="N346">
        <v>40</v>
      </c>
      <c r="O346">
        <v>1214.4000000000001</v>
      </c>
      <c r="P346">
        <v>759</v>
      </c>
      <c r="Q346">
        <v>455.4</v>
      </c>
      <c r="R346">
        <v>0.08</v>
      </c>
      <c r="S346" t="s">
        <v>70</v>
      </c>
      <c r="T346">
        <v>65.599999999999994</v>
      </c>
    </row>
    <row r="347" spans="1:20" x14ac:dyDescent="0.25">
      <c r="A347">
        <v>100346</v>
      </c>
      <c r="B347" s="6">
        <v>45313</v>
      </c>
      <c r="C347">
        <v>2024</v>
      </c>
      <c r="D347" t="s">
        <v>63</v>
      </c>
      <c r="E347">
        <v>1</v>
      </c>
      <c r="F347" t="s">
        <v>79</v>
      </c>
      <c r="G347" t="s">
        <v>22</v>
      </c>
      <c r="H347" t="s">
        <v>23</v>
      </c>
      <c r="I347" t="s">
        <v>41</v>
      </c>
      <c r="J347" t="s">
        <v>50</v>
      </c>
      <c r="K347" t="s">
        <v>59</v>
      </c>
      <c r="L347" t="s">
        <v>86</v>
      </c>
      <c r="M347">
        <v>125</v>
      </c>
      <c r="N347">
        <v>160</v>
      </c>
      <c r="O347">
        <v>20000</v>
      </c>
      <c r="P347">
        <v>11875</v>
      </c>
      <c r="Q347">
        <v>8125</v>
      </c>
      <c r="R347">
        <v>0</v>
      </c>
      <c r="S347" t="s">
        <v>38</v>
      </c>
      <c r="T347">
        <v>810.5</v>
      </c>
    </row>
    <row r="348" spans="1:20" x14ac:dyDescent="0.25">
      <c r="A348">
        <v>100347</v>
      </c>
      <c r="B348" s="6">
        <v>45784</v>
      </c>
      <c r="C348">
        <v>2025</v>
      </c>
      <c r="D348" t="s">
        <v>20</v>
      </c>
      <c r="E348">
        <v>5</v>
      </c>
      <c r="F348" t="s">
        <v>21</v>
      </c>
      <c r="G348" t="s">
        <v>35</v>
      </c>
      <c r="H348" t="s">
        <v>23</v>
      </c>
      <c r="I348" t="s">
        <v>77</v>
      </c>
      <c r="J348" t="s">
        <v>68</v>
      </c>
      <c r="K348" t="s">
        <v>51</v>
      </c>
      <c r="L348" t="s">
        <v>72</v>
      </c>
      <c r="M348">
        <v>25</v>
      </c>
      <c r="N348">
        <v>90</v>
      </c>
      <c r="O348">
        <v>2137.5</v>
      </c>
      <c r="P348">
        <v>1300</v>
      </c>
      <c r="Q348">
        <v>837.5</v>
      </c>
      <c r="R348">
        <v>0.05</v>
      </c>
      <c r="S348" t="s">
        <v>28</v>
      </c>
      <c r="T348">
        <v>93.35</v>
      </c>
    </row>
    <row r="349" spans="1:20" x14ac:dyDescent="0.25">
      <c r="A349">
        <v>100348</v>
      </c>
      <c r="B349" s="6">
        <v>45101</v>
      </c>
      <c r="C349">
        <v>2023</v>
      </c>
      <c r="D349" t="s">
        <v>20</v>
      </c>
      <c r="E349">
        <v>6</v>
      </c>
      <c r="F349" t="s">
        <v>48</v>
      </c>
      <c r="G349" t="s">
        <v>35</v>
      </c>
      <c r="H349" t="s">
        <v>23</v>
      </c>
      <c r="I349" t="s">
        <v>77</v>
      </c>
      <c r="J349" t="s">
        <v>42</v>
      </c>
      <c r="K349" t="s">
        <v>32</v>
      </c>
      <c r="L349" t="s">
        <v>33</v>
      </c>
      <c r="M349">
        <v>144</v>
      </c>
      <c r="N349">
        <v>60</v>
      </c>
      <c r="O349">
        <v>8640</v>
      </c>
      <c r="P349">
        <v>5472</v>
      </c>
      <c r="Q349">
        <v>3168</v>
      </c>
      <c r="R349">
        <v>0</v>
      </c>
      <c r="S349" t="s">
        <v>57</v>
      </c>
      <c r="T349">
        <v>268.98</v>
      </c>
    </row>
    <row r="350" spans="1:20" x14ac:dyDescent="0.25">
      <c r="A350">
        <v>100349</v>
      </c>
      <c r="B350" s="6">
        <v>45445</v>
      </c>
      <c r="C350">
        <v>2024</v>
      </c>
      <c r="D350" t="s">
        <v>20</v>
      </c>
      <c r="E350">
        <v>6</v>
      </c>
      <c r="F350" t="s">
        <v>48</v>
      </c>
      <c r="G350" t="s">
        <v>29</v>
      </c>
      <c r="H350" t="s">
        <v>23</v>
      </c>
      <c r="I350" t="s">
        <v>73</v>
      </c>
      <c r="J350" t="s">
        <v>50</v>
      </c>
      <c r="K350" t="s">
        <v>51</v>
      </c>
      <c r="L350" t="s">
        <v>72</v>
      </c>
      <c r="M350">
        <v>52</v>
      </c>
      <c r="N350">
        <v>90</v>
      </c>
      <c r="O350">
        <v>4446</v>
      </c>
      <c r="P350">
        <v>2704</v>
      </c>
      <c r="Q350">
        <v>1742</v>
      </c>
      <c r="R350">
        <v>0.05</v>
      </c>
      <c r="S350" t="s">
        <v>57</v>
      </c>
      <c r="T350">
        <v>200.79</v>
      </c>
    </row>
    <row r="351" spans="1:20" x14ac:dyDescent="0.25">
      <c r="A351">
        <v>100350</v>
      </c>
      <c r="B351" s="6">
        <v>45383</v>
      </c>
      <c r="C351">
        <v>2024</v>
      </c>
      <c r="D351" t="s">
        <v>20</v>
      </c>
      <c r="E351">
        <v>4</v>
      </c>
      <c r="F351" t="s">
        <v>34</v>
      </c>
      <c r="G351" t="s">
        <v>29</v>
      </c>
      <c r="H351" t="s">
        <v>23</v>
      </c>
      <c r="I351" t="s">
        <v>30</v>
      </c>
      <c r="J351" t="s">
        <v>25</v>
      </c>
      <c r="K351" t="s">
        <v>26</v>
      </c>
      <c r="L351" t="s">
        <v>69</v>
      </c>
      <c r="M351">
        <v>54</v>
      </c>
      <c r="N351">
        <v>130</v>
      </c>
      <c r="O351">
        <v>6809.4</v>
      </c>
      <c r="P351">
        <v>4104</v>
      </c>
      <c r="Q351">
        <v>2705.4</v>
      </c>
      <c r="R351">
        <v>0.03</v>
      </c>
      <c r="S351" t="s">
        <v>57</v>
      </c>
      <c r="T351">
        <v>215.59</v>
      </c>
    </row>
    <row r="352" spans="1:20" x14ac:dyDescent="0.25">
      <c r="A352">
        <v>100351</v>
      </c>
      <c r="B352" s="6">
        <v>45083</v>
      </c>
      <c r="C352">
        <v>2023</v>
      </c>
      <c r="D352" t="s">
        <v>20</v>
      </c>
      <c r="E352">
        <v>6</v>
      </c>
      <c r="F352" t="s">
        <v>48</v>
      </c>
      <c r="G352" t="s">
        <v>35</v>
      </c>
      <c r="H352" t="s">
        <v>23</v>
      </c>
      <c r="I352" t="s">
        <v>36</v>
      </c>
      <c r="J352" t="s">
        <v>68</v>
      </c>
      <c r="K352" t="s">
        <v>59</v>
      </c>
      <c r="L352" t="s">
        <v>67</v>
      </c>
      <c r="M352">
        <v>133</v>
      </c>
      <c r="N352">
        <v>95</v>
      </c>
      <c r="O352">
        <v>12255.95</v>
      </c>
      <c r="P352">
        <v>7448</v>
      </c>
      <c r="Q352">
        <v>4807.95</v>
      </c>
      <c r="R352">
        <v>0.03</v>
      </c>
      <c r="S352" t="s">
        <v>28</v>
      </c>
      <c r="T352">
        <v>222.83</v>
      </c>
    </row>
    <row r="353" spans="1:20" x14ac:dyDescent="0.25">
      <c r="A353">
        <v>100352</v>
      </c>
      <c r="B353" s="6">
        <v>45557</v>
      </c>
      <c r="C353">
        <v>2024</v>
      </c>
      <c r="D353" t="s">
        <v>39</v>
      </c>
      <c r="E353">
        <v>9</v>
      </c>
      <c r="F353" t="s">
        <v>40</v>
      </c>
      <c r="G353" t="s">
        <v>45</v>
      </c>
      <c r="H353" t="s">
        <v>23</v>
      </c>
      <c r="I353" t="s">
        <v>62</v>
      </c>
      <c r="J353" t="s">
        <v>42</v>
      </c>
      <c r="K353" t="s">
        <v>55</v>
      </c>
      <c r="L353" t="s">
        <v>84</v>
      </c>
      <c r="M353">
        <v>84</v>
      </c>
      <c r="N353">
        <v>55</v>
      </c>
      <c r="O353">
        <v>4158</v>
      </c>
      <c r="P353">
        <v>3108</v>
      </c>
      <c r="Q353">
        <v>1050</v>
      </c>
      <c r="R353">
        <v>0.1</v>
      </c>
      <c r="S353" t="s">
        <v>38</v>
      </c>
      <c r="T353">
        <v>79.66</v>
      </c>
    </row>
    <row r="354" spans="1:20" x14ac:dyDescent="0.25">
      <c r="A354">
        <v>100353</v>
      </c>
      <c r="B354" s="6">
        <v>45288</v>
      </c>
      <c r="C354">
        <v>2023</v>
      </c>
      <c r="D354" t="s">
        <v>43</v>
      </c>
      <c r="E354">
        <v>12</v>
      </c>
      <c r="F354" t="s">
        <v>83</v>
      </c>
      <c r="G354" t="s">
        <v>45</v>
      </c>
      <c r="H354" t="s">
        <v>23</v>
      </c>
      <c r="I354" t="s">
        <v>88</v>
      </c>
      <c r="J354" t="s">
        <v>31</v>
      </c>
      <c r="K354" t="s">
        <v>26</v>
      </c>
      <c r="L354" t="s">
        <v>69</v>
      </c>
      <c r="M354">
        <v>54</v>
      </c>
      <c r="N354">
        <v>130</v>
      </c>
      <c r="O354">
        <v>6879.6</v>
      </c>
      <c r="P354">
        <v>4104</v>
      </c>
      <c r="Q354">
        <v>2775.6</v>
      </c>
      <c r="R354">
        <v>0.02</v>
      </c>
      <c r="S354" t="s">
        <v>70</v>
      </c>
      <c r="T354">
        <v>474.63</v>
      </c>
    </row>
    <row r="355" spans="1:20" x14ac:dyDescent="0.25">
      <c r="A355">
        <v>100354</v>
      </c>
      <c r="B355" s="6">
        <v>45933</v>
      </c>
      <c r="C355">
        <v>2025</v>
      </c>
      <c r="D355" t="s">
        <v>43</v>
      </c>
      <c r="E355">
        <v>10</v>
      </c>
      <c r="F355" t="s">
        <v>44</v>
      </c>
      <c r="G355" t="s">
        <v>22</v>
      </c>
      <c r="H355" t="s">
        <v>23</v>
      </c>
      <c r="I355" t="s">
        <v>65</v>
      </c>
      <c r="J355" t="s">
        <v>66</v>
      </c>
      <c r="K355" t="s">
        <v>59</v>
      </c>
      <c r="L355" t="s">
        <v>60</v>
      </c>
      <c r="M355">
        <v>58</v>
      </c>
      <c r="N355">
        <v>45</v>
      </c>
      <c r="O355">
        <v>2349</v>
      </c>
      <c r="P355">
        <v>1566</v>
      </c>
      <c r="Q355">
        <v>783</v>
      </c>
      <c r="R355">
        <v>0.1</v>
      </c>
      <c r="S355" t="s">
        <v>70</v>
      </c>
      <c r="T355">
        <v>78.819999999999993</v>
      </c>
    </row>
    <row r="356" spans="1:20" x14ac:dyDescent="0.25">
      <c r="A356">
        <v>100355</v>
      </c>
      <c r="B356" s="6">
        <v>45485</v>
      </c>
      <c r="C356">
        <v>2024</v>
      </c>
      <c r="D356" t="s">
        <v>39</v>
      </c>
      <c r="E356">
        <v>7</v>
      </c>
      <c r="F356" t="s">
        <v>75</v>
      </c>
      <c r="G356" t="s">
        <v>22</v>
      </c>
      <c r="H356" t="s">
        <v>23</v>
      </c>
      <c r="I356" t="s">
        <v>71</v>
      </c>
      <c r="J356" t="s">
        <v>25</v>
      </c>
      <c r="K356" t="s">
        <v>26</v>
      </c>
      <c r="L356" t="s">
        <v>78</v>
      </c>
      <c r="M356">
        <v>123</v>
      </c>
      <c r="N356">
        <v>95</v>
      </c>
      <c r="O356">
        <v>11685</v>
      </c>
      <c r="P356">
        <v>7134</v>
      </c>
      <c r="Q356">
        <v>4551</v>
      </c>
      <c r="R356">
        <v>0</v>
      </c>
      <c r="S356" t="s">
        <v>38</v>
      </c>
      <c r="T356">
        <v>580.75</v>
      </c>
    </row>
    <row r="357" spans="1:20" x14ac:dyDescent="0.25">
      <c r="A357">
        <v>100356</v>
      </c>
      <c r="B357" s="6">
        <v>45872</v>
      </c>
      <c r="C357">
        <v>2025</v>
      </c>
      <c r="D357" t="s">
        <v>39</v>
      </c>
      <c r="E357">
        <v>8</v>
      </c>
      <c r="F357" t="s">
        <v>58</v>
      </c>
      <c r="G357" t="s">
        <v>35</v>
      </c>
      <c r="H357" t="s">
        <v>23</v>
      </c>
      <c r="I357" t="s">
        <v>53</v>
      </c>
      <c r="J357" t="s">
        <v>66</v>
      </c>
      <c r="K357" t="s">
        <v>26</v>
      </c>
      <c r="L357" t="s">
        <v>82</v>
      </c>
      <c r="M357">
        <v>70</v>
      </c>
      <c r="N357">
        <v>105</v>
      </c>
      <c r="O357">
        <v>6615</v>
      </c>
      <c r="P357">
        <v>4270</v>
      </c>
      <c r="Q357">
        <v>2345</v>
      </c>
      <c r="R357">
        <v>0.1</v>
      </c>
      <c r="S357" t="s">
        <v>38</v>
      </c>
      <c r="T357">
        <v>449.34</v>
      </c>
    </row>
    <row r="358" spans="1:20" x14ac:dyDescent="0.25">
      <c r="A358">
        <v>100357</v>
      </c>
      <c r="B358" s="6">
        <v>45524</v>
      </c>
      <c r="C358">
        <v>2024</v>
      </c>
      <c r="D358" t="s">
        <v>39</v>
      </c>
      <c r="E358">
        <v>8</v>
      </c>
      <c r="F358" t="s">
        <v>58</v>
      </c>
      <c r="G358" t="s">
        <v>35</v>
      </c>
      <c r="H358" t="s">
        <v>23</v>
      </c>
      <c r="I358" t="s">
        <v>36</v>
      </c>
      <c r="J358" t="s">
        <v>66</v>
      </c>
      <c r="K358" t="s">
        <v>59</v>
      </c>
      <c r="L358" t="s">
        <v>86</v>
      </c>
      <c r="M358">
        <v>150</v>
      </c>
      <c r="N358">
        <v>160</v>
      </c>
      <c r="O358">
        <v>23280</v>
      </c>
      <c r="P358">
        <v>14250</v>
      </c>
      <c r="Q358">
        <v>9030</v>
      </c>
      <c r="R358">
        <v>0.03</v>
      </c>
      <c r="S358" t="s">
        <v>70</v>
      </c>
      <c r="T358">
        <v>1067.3399999999999</v>
      </c>
    </row>
    <row r="359" spans="1:20" x14ac:dyDescent="0.25">
      <c r="A359">
        <v>100358</v>
      </c>
      <c r="B359" s="6">
        <v>45419</v>
      </c>
      <c r="C359">
        <v>2024</v>
      </c>
      <c r="D359" t="s">
        <v>20</v>
      </c>
      <c r="E359">
        <v>5</v>
      </c>
      <c r="F359" t="s">
        <v>21</v>
      </c>
      <c r="G359" t="s">
        <v>22</v>
      </c>
      <c r="H359" t="s">
        <v>23</v>
      </c>
      <c r="I359" t="s">
        <v>65</v>
      </c>
      <c r="J359" t="s">
        <v>50</v>
      </c>
      <c r="K359" t="s">
        <v>26</v>
      </c>
      <c r="L359" t="s">
        <v>82</v>
      </c>
      <c r="M359">
        <v>84</v>
      </c>
      <c r="N359">
        <v>105</v>
      </c>
      <c r="O359">
        <v>8379</v>
      </c>
      <c r="P359">
        <v>5124</v>
      </c>
      <c r="Q359">
        <v>3255</v>
      </c>
      <c r="R359">
        <v>0.05</v>
      </c>
      <c r="S359" t="s">
        <v>57</v>
      </c>
      <c r="T359">
        <v>519.15</v>
      </c>
    </row>
    <row r="360" spans="1:20" x14ac:dyDescent="0.25">
      <c r="A360">
        <v>100359</v>
      </c>
      <c r="B360" s="6">
        <v>45198</v>
      </c>
      <c r="C360">
        <v>2023</v>
      </c>
      <c r="D360" t="s">
        <v>39</v>
      </c>
      <c r="E360">
        <v>9</v>
      </c>
      <c r="F360" t="s">
        <v>40</v>
      </c>
      <c r="G360" t="s">
        <v>29</v>
      </c>
      <c r="H360" t="s">
        <v>23</v>
      </c>
      <c r="I360" t="s">
        <v>30</v>
      </c>
      <c r="J360" t="s">
        <v>50</v>
      </c>
      <c r="K360" t="s">
        <v>59</v>
      </c>
      <c r="L360" t="s">
        <v>91</v>
      </c>
      <c r="M360">
        <v>73</v>
      </c>
      <c r="N360">
        <v>140</v>
      </c>
      <c r="O360">
        <v>9198</v>
      </c>
      <c r="P360">
        <v>5986</v>
      </c>
      <c r="Q360">
        <v>3212</v>
      </c>
      <c r="R360">
        <v>0.1</v>
      </c>
      <c r="S360" t="s">
        <v>38</v>
      </c>
      <c r="T360">
        <v>402.32</v>
      </c>
    </row>
    <row r="361" spans="1:20" x14ac:dyDescent="0.25">
      <c r="A361">
        <v>100360</v>
      </c>
      <c r="B361" s="6">
        <v>45200</v>
      </c>
      <c r="C361">
        <v>2023</v>
      </c>
      <c r="D361" t="s">
        <v>43</v>
      </c>
      <c r="E361">
        <v>10</v>
      </c>
      <c r="F361" t="s">
        <v>44</v>
      </c>
      <c r="G361" t="s">
        <v>22</v>
      </c>
      <c r="H361" t="s">
        <v>23</v>
      </c>
      <c r="I361" t="s">
        <v>24</v>
      </c>
      <c r="J361" t="s">
        <v>25</v>
      </c>
      <c r="K361" t="s">
        <v>32</v>
      </c>
      <c r="L361" t="s">
        <v>33</v>
      </c>
      <c r="M361">
        <v>143</v>
      </c>
      <c r="N361">
        <v>60</v>
      </c>
      <c r="O361">
        <v>8408.4</v>
      </c>
      <c r="P361">
        <v>5434</v>
      </c>
      <c r="Q361">
        <v>2974.4</v>
      </c>
      <c r="R361">
        <v>0.02</v>
      </c>
      <c r="S361" t="s">
        <v>38</v>
      </c>
      <c r="T361">
        <v>492.67</v>
      </c>
    </row>
    <row r="362" spans="1:20" x14ac:dyDescent="0.25">
      <c r="A362">
        <v>100361</v>
      </c>
      <c r="B362" s="6">
        <v>45545</v>
      </c>
      <c r="C362">
        <v>2024</v>
      </c>
      <c r="D362" t="s">
        <v>39</v>
      </c>
      <c r="E362">
        <v>9</v>
      </c>
      <c r="F362" t="s">
        <v>40</v>
      </c>
      <c r="G362" t="s">
        <v>22</v>
      </c>
      <c r="H362" t="s">
        <v>23</v>
      </c>
      <c r="I362" t="s">
        <v>71</v>
      </c>
      <c r="J362" t="s">
        <v>31</v>
      </c>
      <c r="K362" t="s">
        <v>55</v>
      </c>
      <c r="L362" t="s">
        <v>84</v>
      </c>
      <c r="M362">
        <v>17</v>
      </c>
      <c r="N362">
        <v>55</v>
      </c>
      <c r="O362">
        <v>935</v>
      </c>
      <c r="P362">
        <v>629</v>
      </c>
      <c r="Q362">
        <v>306</v>
      </c>
      <c r="R362">
        <v>0</v>
      </c>
      <c r="S362" t="s">
        <v>38</v>
      </c>
      <c r="T362">
        <v>38.549999999999997</v>
      </c>
    </row>
    <row r="363" spans="1:20" x14ac:dyDescent="0.25">
      <c r="A363">
        <v>100362</v>
      </c>
      <c r="B363" s="6">
        <v>45759</v>
      </c>
      <c r="C363">
        <v>2025</v>
      </c>
      <c r="D363" t="s">
        <v>20</v>
      </c>
      <c r="E363">
        <v>4</v>
      </c>
      <c r="F363" t="s">
        <v>34</v>
      </c>
      <c r="G363" t="s">
        <v>22</v>
      </c>
      <c r="H363" t="s">
        <v>23</v>
      </c>
      <c r="I363" t="s">
        <v>24</v>
      </c>
      <c r="J363" t="s">
        <v>50</v>
      </c>
      <c r="K363" t="s">
        <v>26</v>
      </c>
      <c r="L363" t="s">
        <v>82</v>
      </c>
      <c r="M363">
        <v>97</v>
      </c>
      <c r="N363">
        <v>105</v>
      </c>
      <c r="O363">
        <v>9675.75</v>
      </c>
      <c r="P363">
        <v>5917</v>
      </c>
      <c r="Q363">
        <v>3758.75</v>
      </c>
      <c r="R363">
        <v>0.05</v>
      </c>
      <c r="S363" t="s">
        <v>38</v>
      </c>
      <c r="T363">
        <v>600.25</v>
      </c>
    </row>
    <row r="364" spans="1:20" x14ac:dyDescent="0.25">
      <c r="A364">
        <v>100363</v>
      </c>
      <c r="B364" s="6">
        <v>45000</v>
      </c>
      <c r="C364">
        <v>2023</v>
      </c>
      <c r="D364" t="s">
        <v>63</v>
      </c>
      <c r="E364">
        <v>3</v>
      </c>
      <c r="F364" t="s">
        <v>64</v>
      </c>
      <c r="G364" t="s">
        <v>29</v>
      </c>
      <c r="H364" t="s">
        <v>23</v>
      </c>
      <c r="I364" t="s">
        <v>73</v>
      </c>
      <c r="J364" t="s">
        <v>25</v>
      </c>
      <c r="K364" t="s">
        <v>51</v>
      </c>
      <c r="L364" t="s">
        <v>72</v>
      </c>
      <c r="M364">
        <v>113</v>
      </c>
      <c r="N364">
        <v>90</v>
      </c>
      <c r="O364">
        <v>9356.4</v>
      </c>
      <c r="P364">
        <v>5876</v>
      </c>
      <c r="Q364">
        <v>3480.4</v>
      </c>
      <c r="R364">
        <v>0.08</v>
      </c>
      <c r="S364" t="s">
        <v>38</v>
      </c>
      <c r="T364">
        <v>515.41999999999996</v>
      </c>
    </row>
    <row r="365" spans="1:20" x14ac:dyDescent="0.25">
      <c r="A365">
        <v>100364</v>
      </c>
      <c r="B365" s="6">
        <v>45815</v>
      </c>
      <c r="C365">
        <v>2025</v>
      </c>
      <c r="D365" t="s">
        <v>20</v>
      </c>
      <c r="E365">
        <v>6</v>
      </c>
      <c r="F365" t="s">
        <v>48</v>
      </c>
      <c r="G365" t="s">
        <v>45</v>
      </c>
      <c r="H365" t="s">
        <v>23</v>
      </c>
      <c r="I365" t="s">
        <v>90</v>
      </c>
      <c r="J365" t="s">
        <v>54</v>
      </c>
      <c r="K365" t="s">
        <v>55</v>
      </c>
      <c r="L365" t="s">
        <v>93</v>
      </c>
      <c r="M365">
        <v>19</v>
      </c>
      <c r="N365">
        <v>60</v>
      </c>
      <c r="O365">
        <v>1048.8</v>
      </c>
      <c r="P365">
        <v>798</v>
      </c>
      <c r="Q365">
        <v>250.8</v>
      </c>
      <c r="R365">
        <v>0.08</v>
      </c>
      <c r="S365" t="s">
        <v>28</v>
      </c>
      <c r="T365">
        <v>24.6</v>
      </c>
    </row>
    <row r="366" spans="1:20" x14ac:dyDescent="0.25">
      <c r="A366">
        <v>100365</v>
      </c>
      <c r="B366" s="6">
        <v>45055</v>
      </c>
      <c r="C366">
        <v>2023</v>
      </c>
      <c r="D366" t="s">
        <v>20</v>
      </c>
      <c r="E366">
        <v>5</v>
      </c>
      <c r="F366" t="s">
        <v>21</v>
      </c>
      <c r="G366" t="s">
        <v>29</v>
      </c>
      <c r="H366" t="s">
        <v>23</v>
      </c>
      <c r="I366" t="s">
        <v>73</v>
      </c>
      <c r="J366" t="s">
        <v>25</v>
      </c>
      <c r="K366" t="s">
        <v>26</v>
      </c>
      <c r="L366" t="s">
        <v>27</v>
      </c>
      <c r="M366">
        <v>76</v>
      </c>
      <c r="N366">
        <v>110</v>
      </c>
      <c r="O366">
        <v>8109.2</v>
      </c>
      <c r="P366">
        <v>5168</v>
      </c>
      <c r="Q366">
        <v>2941.2</v>
      </c>
      <c r="R366">
        <v>0.03</v>
      </c>
      <c r="S366" t="s">
        <v>38</v>
      </c>
      <c r="T366">
        <v>458.04</v>
      </c>
    </row>
    <row r="367" spans="1:20" x14ac:dyDescent="0.25">
      <c r="A367">
        <v>100366</v>
      </c>
      <c r="B367" s="6">
        <v>45644</v>
      </c>
      <c r="C367">
        <v>2024</v>
      </c>
      <c r="D367" t="s">
        <v>43</v>
      </c>
      <c r="E367">
        <v>12</v>
      </c>
      <c r="F367" t="s">
        <v>83</v>
      </c>
      <c r="G367" t="s">
        <v>45</v>
      </c>
      <c r="H367" t="s">
        <v>23</v>
      </c>
      <c r="I367" t="s">
        <v>88</v>
      </c>
      <c r="J367" t="s">
        <v>42</v>
      </c>
      <c r="K367" t="s">
        <v>55</v>
      </c>
      <c r="L367" t="s">
        <v>93</v>
      </c>
      <c r="M367">
        <v>100</v>
      </c>
      <c r="N367">
        <v>60</v>
      </c>
      <c r="O367">
        <v>5820</v>
      </c>
      <c r="P367">
        <v>4200</v>
      </c>
      <c r="Q367">
        <v>1620</v>
      </c>
      <c r="R367">
        <v>0.03</v>
      </c>
      <c r="S367" t="s">
        <v>38</v>
      </c>
      <c r="T367">
        <v>358.51</v>
      </c>
    </row>
    <row r="368" spans="1:20" x14ac:dyDescent="0.25">
      <c r="A368">
        <v>100367</v>
      </c>
      <c r="B368" s="6">
        <v>45241</v>
      </c>
      <c r="C368">
        <v>2023</v>
      </c>
      <c r="D368" t="s">
        <v>43</v>
      </c>
      <c r="E368">
        <v>11</v>
      </c>
      <c r="F368" t="s">
        <v>87</v>
      </c>
      <c r="G368" t="s">
        <v>22</v>
      </c>
      <c r="H368" t="s">
        <v>23</v>
      </c>
      <c r="I368" t="s">
        <v>71</v>
      </c>
      <c r="J368" t="s">
        <v>61</v>
      </c>
      <c r="K368" t="s">
        <v>32</v>
      </c>
      <c r="L368" t="s">
        <v>33</v>
      </c>
      <c r="M368">
        <v>31</v>
      </c>
      <c r="N368">
        <v>60</v>
      </c>
      <c r="O368">
        <v>1711.2</v>
      </c>
      <c r="P368">
        <v>1178</v>
      </c>
      <c r="Q368">
        <v>533.20000000000005</v>
      </c>
      <c r="R368">
        <v>0.08</v>
      </c>
      <c r="S368" t="s">
        <v>70</v>
      </c>
      <c r="T368">
        <v>52.25</v>
      </c>
    </row>
    <row r="369" spans="1:20" x14ac:dyDescent="0.25">
      <c r="A369">
        <v>100368</v>
      </c>
      <c r="B369" s="6">
        <v>45577</v>
      </c>
      <c r="C369">
        <v>2024</v>
      </c>
      <c r="D369" t="s">
        <v>43</v>
      </c>
      <c r="E369">
        <v>10</v>
      </c>
      <c r="F369" t="s">
        <v>44</v>
      </c>
      <c r="G369" t="s">
        <v>29</v>
      </c>
      <c r="H369" t="s">
        <v>23</v>
      </c>
      <c r="I369" t="s">
        <v>30</v>
      </c>
      <c r="J369" t="s">
        <v>54</v>
      </c>
      <c r="K369" t="s">
        <v>51</v>
      </c>
      <c r="L369" t="s">
        <v>72</v>
      </c>
      <c r="M369">
        <v>35</v>
      </c>
      <c r="N369">
        <v>90</v>
      </c>
      <c r="O369">
        <v>2898</v>
      </c>
      <c r="P369">
        <v>1820</v>
      </c>
      <c r="Q369">
        <v>1078</v>
      </c>
      <c r="R369">
        <v>0.08</v>
      </c>
      <c r="S369" t="s">
        <v>28</v>
      </c>
      <c r="T369">
        <v>66.39</v>
      </c>
    </row>
    <row r="370" spans="1:20" x14ac:dyDescent="0.25">
      <c r="A370">
        <v>100369</v>
      </c>
      <c r="B370" s="6">
        <v>45253</v>
      </c>
      <c r="C370">
        <v>2023</v>
      </c>
      <c r="D370" t="s">
        <v>43</v>
      </c>
      <c r="E370">
        <v>11</v>
      </c>
      <c r="F370" t="s">
        <v>87</v>
      </c>
      <c r="G370" t="s">
        <v>35</v>
      </c>
      <c r="H370" t="s">
        <v>23</v>
      </c>
      <c r="I370" t="s">
        <v>80</v>
      </c>
      <c r="J370" t="s">
        <v>68</v>
      </c>
      <c r="K370" t="s">
        <v>51</v>
      </c>
      <c r="L370" t="s">
        <v>76</v>
      </c>
      <c r="M370">
        <v>141</v>
      </c>
      <c r="N370">
        <v>40</v>
      </c>
      <c r="O370">
        <v>5188.8</v>
      </c>
      <c r="P370">
        <v>3243</v>
      </c>
      <c r="Q370">
        <v>1945.8</v>
      </c>
      <c r="R370">
        <v>0.08</v>
      </c>
      <c r="S370" t="s">
        <v>38</v>
      </c>
      <c r="T370">
        <v>331.51</v>
      </c>
    </row>
    <row r="371" spans="1:20" x14ac:dyDescent="0.25">
      <c r="A371">
        <v>100370</v>
      </c>
      <c r="B371" s="6">
        <v>45147</v>
      </c>
      <c r="C371">
        <v>2023</v>
      </c>
      <c r="D371" t="s">
        <v>39</v>
      </c>
      <c r="E371">
        <v>8</v>
      </c>
      <c r="F371" t="s">
        <v>58</v>
      </c>
      <c r="G371" t="s">
        <v>29</v>
      </c>
      <c r="H371" t="s">
        <v>23</v>
      </c>
      <c r="I371" t="s">
        <v>73</v>
      </c>
      <c r="J371" t="s">
        <v>25</v>
      </c>
      <c r="K371" t="s">
        <v>51</v>
      </c>
      <c r="L371" t="s">
        <v>72</v>
      </c>
      <c r="M371">
        <v>112</v>
      </c>
      <c r="N371">
        <v>90</v>
      </c>
      <c r="O371">
        <v>10080</v>
      </c>
      <c r="P371">
        <v>5824</v>
      </c>
      <c r="Q371">
        <v>4256</v>
      </c>
      <c r="R371">
        <v>0</v>
      </c>
      <c r="S371" t="s">
        <v>38</v>
      </c>
      <c r="T371">
        <v>503.82</v>
      </c>
    </row>
    <row r="372" spans="1:20" x14ac:dyDescent="0.25">
      <c r="A372">
        <v>100371</v>
      </c>
      <c r="B372" s="6">
        <v>45197</v>
      </c>
      <c r="C372">
        <v>2023</v>
      </c>
      <c r="D372" t="s">
        <v>39</v>
      </c>
      <c r="E372">
        <v>9</v>
      </c>
      <c r="F372" t="s">
        <v>40</v>
      </c>
      <c r="G372" t="s">
        <v>22</v>
      </c>
      <c r="H372" t="s">
        <v>23</v>
      </c>
      <c r="I372" t="s">
        <v>71</v>
      </c>
      <c r="J372" t="s">
        <v>50</v>
      </c>
      <c r="K372" t="s">
        <v>59</v>
      </c>
      <c r="L372" t="s">
        <v>67</v>
      </c>
      <c r="M372">
        <v>33</v>
      </c>
      <c r="N372">
        <v>95</v>
      </c>
      <c r="O372">
        <v>2884.2</v>
      </c>
      <c r="P372">
        <v>1848</v>
      </c>
      <c r="Q372">
        <v>1036.2</v>
      </c>
      <c r="R372">
        <v>0.08</v>
      </c>
      <c r="S372" t="s">
        <v>57</v>
      </c>
      <c r="T372">
        <v>50.82</v>
      </c>
    </row>
    <row r="373" spans="1:20" x14ac:dyDescent="0.25">
      <c r="A373">
        <v>100372</v>
      </c>
      <c r="B373" s="6">
        <v>45462</v>
      </c>
      <c r="C373">
        <v>2024</v>
      </c>
      <c r="D373" t="s">
        <v>20</v>
      </c>
      <c r="E373">
        <v>6</v>
      </c>
      <c r="F373" t="s">
        <v>48</v>
      </c>
      <c r="G373" t="s">
        <v>35</v>
      </c>
      <c r="H373" t="s">
        <v>23</v>
      </c>
      <c r="I373" t="s">
        <v>80</v>
      </c>
      <c r="J373" t="s">
        <v>66</v>
      </c>
      <c r="K373" t="s">
        <v>32</v>
      </c>
      <c r="L373" t="s">
        <v>37</v>
      </c>
      <c r="M373">
        <v>125</v>
      </c>
      <c r="N373">
        <v>120</v>
      </c>
      <c r="O373">
        <v>14550</v>
      </c>
      <c r="P373">
        <v>9750</v>
      </c>
      <c r="Q373">
        <v>4800</v>
      </c>
      <c r="R373">
        <v>0.03</v>
      </c>
      <c r="S373" t="s">
        <v>70</v>
      </c>
      <c r="T373">
        <v>248.32</v>
      </c>
    </row>
    <row r="374" spans="1:20" x14ac:dyDescent="0.25">
      <c r="A374">
        <v>100373</v>
      </c>
      <c r="B374" s="6">
        <v>45607</v>
      </c>
      <c r="C374">
        <v>2024</v>
      </c>
      <c r="D374" t="s">
        <v>43</v>
      </c>
      <c r="E374">
        <v>11</v>
      </c>
      <c r="F374" t="s">
        <v>87</v>
      </c>
      <c r="G374" t="s">
        <v>45</v>
      </c>
      <c r="H374" t="s">
        <v>23</v>
      </c>
      <c r="I374" t="s">
        <v>46</v>
      </c>
      <c r="J374" t="s">
        <v>54</v>
      </c>
      <c r="K374" t="s">
        <v>51</v>
      </c>
      <c r="L374" t="s">
        <v>76</v>
      </c>
      <c r="M374">
        <v>79</v>
      </c>
      <c r="N374">
        <v>40</v>
      </c>
      <c r="O374">
        <v>3160</v>
      </c>
      <c r="P374">
        <v>1817</v>
      </c>
      <c r="Q374">
        <v>1343</v>
      </c>
      <c r="R374">
        <v>0</v>
      </c>
      <c r="S374" t="s">
        <v>38</v>
      </c>
      <c r="T374">
        <v>216.52</v>
      </c>
    </row>
    <row r="375" spans="1:20" x14ac:dyDescent="0.25">
      <c r="A375">
        <v>100374</v>
      </c>
      <c r="B375" s="6">
        <v>45138</v>
      </c>
      <c r="C375">
        <v>2023</v>
      </c>
      <c r="D375" t="s">
        <v>39</v>
      </c>
      <c r="E375">
        <v>7</v>
      </c>
      <c r="F375" t="s">
        <v>75</v>
      </c>
      <c r="G375" t="s">
        <v>22</v>
      </c>
      <c r="H375" t="s">
        <v>23</v>
      </c>
      <c r="I375" t="s">
        <v>65</v>
      </c>
      <c r="J375" t="s">
        <v>54</v>
      </c>
      <c r="K375" t="s">
        <v>32</v>
      </c>
      <c r="L375" t="s">
        <v>74</v>
      </c>
      <c r="M375">
        <v>85</v>
      </c>
      <c r="N375">
        <v>25</v>
      </c>
      <c r="O375">
        <v>2082.5</v>
      </c>
      <c r="P375">
        <v>1190</v>
      </c>
      <c r="Q375">
        <v>892.5</v>
      </c>
      <c r="R375">
        <v>0.02</v>
      </c>
      <c r="S375" t="s">
        <v>70</v>
      </c>
      <c r="T375">
        <v>107.18</v>
      </c>
    </row>
    <row r="376" spans="1:20" x14ac:dyDescent="0.25">
      <c r="A376">
        <v>100375</v>
      </c>
      <c r="B376" s="6">
        <v>45232</v>
      </c>
      <c r="C376">
        <v>2023</v>
      </c>
      <c r="D376" t="s">
        <v>43</v>
      </c>
      <c r="E376">
        <v>11</v>
      </c>
      <c r="F376" t="s">
        <v>87</v>
      </c>
      <c r="G376" t="s">
        <v>35</v>
      </c>
      <c r="H376" t="s">
        <v>23</v>
      </c>
      <c r="I376" t="s">
        <v>36</v>
      </c>
      <c r="J376" t="s">
        <v>50</v>
      </c>
      <c r="K376" t="s">
        <v>26</v>
      </c>
      <c r="L376" t="s">
        <v>82</v>
      </c>
      <c r="M376">
        <v>135</v>
      </c>
      <c r="N376">
        <v>105</v>
      </c>
      <c r="O376">
        <v>13891.5</v>
      </c>
      <c r="P376">
        <v>8235</v>
      </c>
      <c r="Q376">
        <v>5656.5</v>
      </c>
      <c r="R376">
        <v>0.02</v>
      </c>
      <c r="S376" t="s">
        <v>28</v>
      </c>
      <c r="T376">
        <v>972.06</v>
      </c>
    </row>
    <row r="377" spans="1:20" x14ac:dyDescent="0.25">
      <c r="A377">
        <v>100376</v>
      </c>
      <c r="B377" s="6">
        <v>45430</v>
      </c>
      <c r="C377">
        <v>2024</v>
      </c>
      <c r="D377" t="s">
        <v>20</v>
      </c>
      <c r="E377">
        <v>5</v>
      </c>
      <c r="F377" t="s">
        <v>21</v>
      </c>
      <c r="G377" t="s">
        <v>35</v>
      </c>
      <c r="H377" t="s">
        <v>23</v>
      </c>
      <c r="I377" t="s">
        <v>77</v>
      </c>
      <c r="J377" t="s">
        <v>68</v>
      </c>
      <c r="K377" t="s">
        <v>59</v>
      </c>
      <c r="L377" t="s">
        <v>91</v>
      </c>
      <c r="M377">
        <v>25</v>
      </c>
      <c r="N377">
        <v>140</v>
      </c>
      <c r="O377">
        <v>3500</v>
      </c>
      <c r="P377">
        <v>2050</v>
      </c>
      <c r="Q377">
        <v>1450</v>
      </c>
      <c r="R377">
        <v>0</v>
      </c>
      <c r="S377" t="s">
        <v>38</v>
      </c>
      <c r="T377">
        <v>157.32</v>
      </c>
    </row>
    <row r="378" spans="1:20" x14ac:dyDescent="0.25">
      <c r="A378">
        <v>100377</v>
      </c>
      <c r="B378" s="6">
        <v>45088</v>
      </c>
      <c r="C378">
        <v>2023</v>
      </c>
      <c r="D378" t="s">
        <v>20</v>
      </c>
      <c r="E378">
        <v>6</v>
      </c>
      <c r="F378" t="s">
        <v>48</v>
      </c>
      <c r="G378" t="s">
        <v>22</v>
      </c>
      <c r="H378" t="s">
        <v>23</v>
      </c>
      <c r="I378" t="s">
        <v>41</v>
      </c>
      <c r="J378" t="s">
        <v>31</v>
      </c>
      <c r="K378" t="s">
        <v>59</v>
      </c>
      <c r="L378" t="s">
        <v>67</v>
      </c>
      <c r="M378">
        <v>19</v>
      </c>
      <c r="N378">
        <v>95</v>
      </c>
      <c r="O378">
        <v>1750.85</v>
      </c>
      <c r="P378">
        <v>1064</v>
      </c>
      <c r="Q378">
        <v>686.85</v>
      </c>
      <c r="R378">
        <v>0.03</v>
      </c>
      <c r="S378" t="s">
        <v>38</v>
      </c>
      <c r="T378">
        <v>61.09</v>
      </c>
    </row>
    <row r="379" spans="1:20" x14ac:dyDescent="0.25">
      <c r="A379">
        <v>100378</v>
      </c>
      <c r="B379" s="6">
        <v>45079</v>
      </c>
      <c r="C379">
        <v>2023</v>
      </c>
      <c r="D379" t="s">
        <v>20</v>
      </c>
      <c r="E379">
        <v>6</v>
      </c>
      <c r="F379" t="s">
        <v>48</v>
      </c>
      <c r="G379" t="s">
        <v>22</v>
      </c>
      <c r="H379" t="s">
        <v>23</v>
      </c>
      <c r="I379" t="s">
        <v>71</v>
      </c>
      <c r="J379" t="s">
        <v>42</v>
      </c>
      <c r="K379" t="s">
        <v>59</v>
      </c>
      <c r="L379" t="s">
        <v>60</v>
      </c>
      <c r="M379">
        <v>74</v>
      </c>
      <c r="N379">
        <v>45</v>
      </c>
      <c r="O379">
        <v>3163.5</v>
      </c>
      <c r="P379">
        <v>1998</v>
      </c>
      <c r="Q379">
        <v>1165.5</v>
      </c>
      <c r="R379">
        <v>0.05</v>
      </c>
      <c r="S379" t="s">
        <v>28</v>
      </c>
      <c r="T379">
        <v>77.39</v>
      </c>
    </row>
    <row r="380" spans="1:20" x14ac:dyDescent="0.25">
      <c r="A380">
        <v>100379</v>
      </c>
      <c r="B380" s="6">
        <v>45030</v>
      </c>
      <c r="C380">
        <v>2023</v>
      </c>
      <c r="D380" t="s">
        <v>20</v>
      </c>
      <c r="E380">
        <v>4</v>
      </c>
      <c r="F380" t="s">
        <v>34</v>
      </c>
      <c r="G380" t="s">
        <v>22</v>
      </c>
      <c r="H380" t="s">
        <v>23</v>
      </c>
      <c r="I380" t="s">
        <v>65</v>
      </c>
      <c r="J380" t="s">
        <v>61</v>
      </c>
      <c r="K380" t="s">
        <v>32</v>
      </c>
      <c r="L380" t="s">
        <v>33</v>
      </c>
      <c r="M380">
        <v>10</v>
      </c>
      <c r="N380">
        <v>60</v>
      </c>
      <c r="O380">
        <v>600</v>
      </c>
      <c r="P380">
        <v>380</v>
      </c>
      <c r="Q380">
        <v>220</v>
      </c>
      <c r="R380">
        <v>0</v>
      </c>
      <c r="S380" t="s">
        <v>28</v>
      </c>
      <c r="T380">
        <v>13.13</v>
      </c>
    </row>
    <row r="381" spans="1:20" x14ac:dyDescent="0.25">
      <c r="A381">
        <v>100380</v>
      </c>
      <c r="B381" s="6">
        <v>45689</v>
      </c>
      <c r="C381">
        <v>2025</v>
      </c>
      <c r="D381" t="s">
        <v>63</v>
      </c>
      <c r="E381">
        <v>2</v>
      </c>
      <c r="F381" t="s">
        <v>81</v>
      </c>
      <c r="G381" t="s">
        <v>45</v>
      </c>
      <c r="H381" t="s">
        <v>23</v>
      </c>
      <c r="I381" t="s">
        <v>46</v>
      </c>
      <c r="J381" t="s">
        <v>42</v>
      </c>
      <c r="K381" t="s">
        <v>32</v>
      </c>
      <c r="L381" t="s">
        <v>33</v>
      </c>
      <c r="M381">
        <v>15</v>
      </c>
      <c r="N381">
        <v>60</v>
      </c>
      <c r="O381">
        <v>855</v>
      </c>
      <c r="P381">
        <v>570</v>
      </c>
      <c r="Q381">
        <v>285</v>
      </c>
      <c r="R381">
        <v>0.05</v>
      </c>
      <c r="S381" t="s">
        <v>57</v>
      </c>
      <c r="T381">
        <v>20.22</v>
      </c>
    </row>
    <row r="382" spans="1:20" x14ac:dyDescent="0.25">
      <c r="A382">
        <v>100381</v>
      </c>
      <c r="B382" s="6">
        <v>45101</v>
      </c>
      <c r="C382">
        <v>2023</v>
      </c>
      <c r="D382" t="s">
        <v>20</v>
      </c>
      <c r="E382">
        <v>6</v>
      </c>
      <c r="F382" t="s">
        <v>48</v>
      </c>
      <c r="G382" t="s">
        <v>45</v>
      </c>
      <c r="H382" t="s">
        <v>23</v>
      </c>
      <c r="I382" t="s">
        <v>90</v>
      </c>
      <c r="J382" t="s">
        <v>50</v>
      </c>
      <c r="K382" t="s">
        <v>59</v>
      </c>
      <c r="L382" t="s">
        <v>60</v>
      </c>
      <c r="M382">
        <v>24</v>
      </c>
      <c r="N382">
        <v>45</v>
      </c>
      <c r="O382">
        <v>1047.5999999999999</v>
      </c>
      <c r="P382">
        <v>648</v>
      </c>
      <c r="Q382">
        <v>399.6</v>
      </c>
      <c r="R382">
        <v>0.03</v>
      </c>
      <c r="S382" t="s">
        <v>38</v>
      </c>
      <c r="T382">
        <v>38.03</v>
      </c>
    </row>
    <row r="383" spans="1:20" x14ac:dyDescent="0.25">
      <c r="A383">
        <v>100382</v>
      </c>
      <c r="B383" s="6">
        <v>45777</v>
      </c>
      <c r="C383">
        <v>2025</v>
      </c>
      <c r="D383" t="s">
        <v>20</v>
      </c>
      <c r="E383">
        <v>4</v>
      </c>
      <c r="F383" t="s">
        <v>34</v>
      </c>
      <c r="G383" t="s">
        <v>22</v>
      </c>
      <c r="H383" t="s">
        <v>23</v>
      </c>
      <c r="I383" t="s">
        <v>65</v>
      </c>
      <c r="J383" t="s">
        <v>54</v>
      </c>
      <c r="K383" t="s">
        <v>32</v>
      </c>
      <c r="L383" t="s">
        <v>33</v>
      </c>
      <c r="M383">
        <v>67</v>
      </c>
      <c r="N383">
        <v>60</v>
      </c>
      <c r="O383">
        <v>3819</v>
      </c>
      <c r="P383">
        <v>2546</v>
      </c>
      <c r="Q383">
        <v>1273</v>
      </c>
      <c r="R383">
        <v>0.05</v>
      </c>
      <c r="S383" t="s">
        <v>38</v>
      </c>
      <c r="T383">
        <v>234.41</v>
      </c>
    </row>
    <row r="384" spans="1:20" x14ac:dyDescent="0.25">
      <c r="A384">
        <v>100383</v>
      </c>
      <c r="B384" s="6">
        <v>45851</v>
      </c>
      <c r="C384">
        <v>2025</v>
      </c>
      <c r="D384" t="s">
        <v>39</v>
      </c>
      <c r="E384">
        <v>7</v>
      </c>
      <c r="F384" t="s">
        <v>75</v>
      </c>
      <c r="G384" t="s">
        <v>22</v>
      </c>
      <c r="H384" t="s">
        <v>23</v>
      </c>
      <c r="I384" t="s">
        <v>41</v>
      </c>
      <c r="J384" t="s">
        <v>31</v>
      </c>
      <c r="K384" t="s">
        <v>59</v>
      </c>
      <c r="L384" t="s">
        <v>60</v>
      </c>
      <c r="M384">
        <v>92</v>
      </c>
      <c r="N384">
        <v>45</v>
      </c>
      <c r="O384">
        <v>4015.8</v>
      </c>
      <c r="P384">
        <v>2484</v>
      </c>
      <c r="Q384">
        <v>1531.8</v>
      </c>
      <c r="R384">
        <v>0.03</v>
      </c>
      <c r="S384" t="s">
        <v>28</v>
      </c>
      <c r="T384">
        <v>128.44999999999999</v>
      </c>
    </row>
    <row r="385" spans="1:20" x14ac:dyDescent="0.25">
      <c r="A385">
        <v>100384</v>
      </c>
      <c r="B385" s="6">
        <v>45451</v>
      </c>
      <c r="C385">
        <v>2024</v>
      </c>
      <c r="D385" t="s">
        <v>20</v>
      </c>
      <c r="E385">
        <v>6</v>
      </c>
      <c r="F385" t="s">
        <v>48</v>
      </c>
      <c r="G385" t="s">
        <v>29</v>
      </c>
      <c r="H385" t="s">
        <v>23</v>
      </c>
      <c r="I385" t="s">
        <v>49</v>
      </c>
      <c r="J385" t="s">
        <v>50</v>
      </c>
      <c r="K385" t="s">
        <v>26</v>
      </c>
      <c r="L385" t="s">
        <v>69</v>
      </c>
      <c r="M385">
        <v>89</v>
      </c>
      <c r="N385">
        <v>130</v>
      </c>
      <c r="O385">
        <v>11570</v>
      </c>
      <c r="P385">
        <v>6764</v>
      </c>
      <c r="Q385">
        <v>4806</v>
      </c>
      <c r="R385">
        <v>0</v>
      </c>
      <c r="S385" t="s">
        <v>57</v>
      </c>
      <c r="T385">
        <v>724.18</v>
      </c>
    </row>
    <row r="386" spans="1:20" x14ac:dyDescent="0.25">
      <c r="A386">
        <v>100385</v>
      </c>
      <c r="B386" s="6">
        <v>45354</v>
      </c>
      <c r="C386">
        <v>2024</v>
      </c>
      <c r="D386" t="s">
        <v>63</v>
      </c>
      <c r="E386">
        <v>3</v>
      </c>
      <c r="F386" t="s">
        <v>64</v>
      </c>
      <c r="G386" t="s">
        <v>22</v>
      </c>
      <c r="H386" t="s">
        <v>23</v>
      </c>
      <c r="I386" t="s">
        <v>41</v>
      </c>
      <c r="J386" t="s">
        <v>31</v>
      </c>
      <c r="K386" t="s">
        <v>55</v>
      </c>
      <c r="L386" t="s">
        <v>89</v>
      </c>
      <c r="M386">
        <v>66</v>
      </c>
      <c r="N386">
        <v>280</v>
      </c>
      <c r="O386">
        <v>17556</v>
      </c>
      <c r="P386">
        <v>13530</v>
      </c>
      <c r="Q386">
        <v>4026</v>
      </c>
      <c r="R386">
        <v>0.05</v>
      </c>
      <c r="S386" t="s">
        <v>28</v>
      </c>
      <c r="T386">
        <v>505.19</v>
      </c>
    </row>
    <row r="387" spans="1:20" x14ac:dyDescent="0.25">
      <c r="A387">
        <v>100386</v>
      </c>
      <c r="B387" s="6">
        <v>45941</v>
      </c>
      <c r="C387">
        <v>2025</v>
      </c>
      <c r="D387" t="s">
        <v>43</v>
      </c>
      <c r="E387">
        <v>10</v>
      </c>
      <c r="F387" t="s">
        <v>44</v>
      </c>
      <c r="G387" t="s">
        <v>22</v>
      </c>
      <c r="H387" t="s">
        <v>23</v>
      </c>
      <c r="I387" t="s">
        <v>24</v>
      </c>
      <c r="J387" t="s">
        <v>66</v>
      </c>
      <c r="K387" t="s">
        <v>32</v>
      </c>
      <c r="L387" t="s">
        <v>47</v>
      </c>
      <c r="M387">
        <v>81</v>
      </c>
      <c r="N387">
        <v>180</v>
      </c>
      <c r="O387">
        <v>14580</v>
      </c>
      <c r="P387">
        <v>9315</v>
      </c>
      <c r="Q387">
        <v>5265</v>
      </c>
      <c r="R387">
        <v>0</v>
      </c>
      <c r="S387" t="s">
        <v>38</v>
      </c>
      <c r="T387">
        <v>658.83</v>
      </c>
    </row>
    <row r="388" spans="1:20" x14ac:dyDescent="0.25">
      <c r="A388">
        <v>100387</v>
      </c>
      <c r="B388" s="6">
        <v>45066</v>
      </c>
      <c r="C388">
        <v>2023</v>
      </c>
      <c r="D388" t="s">
        <v>20</v>
      </c>
      <c r="E388">
        <v>5</v>
      </c>
      <c r="F388" t="s">
        <v>21</v>
      </c>
      <c r="G388" t="s">
        <v>45</v>
      </c>
      <c r="H388" t="s">
        <v>23</v>
      </c>
      <c r="I388" t="s">
        <v>88</v>
      </c>
      <c r="J388" t="s">
        <v>42</v>
      </c>
      <c r="K388" t="s">
        <v>51</v>
      </c>
      <c r="L388" t="s">
        <v>92</v>
      </c>
      <c r="M388">
        <v>87</v>
      </c>
      <c r="N388">
        <v>50</v>
      </c>
      <c r="O388">
        <v>4132.5</v>
      </c>
      <c r="P388">
        <v>2523</v>
      </c>
      <c r="Q388">
        <v>1609.5</v>
      </c>
      <c r="R388">
        <v>0.05</v>
      </c>
      <c r="S388" t="s">
        <v>38</v>
      </c>
      <c r="T388">
        <v>118.16</v>
      </c>
    </row>
    <row r="389" spans="1:20" x14ac:dyDescent="0.25">
      <c r="A389">
        <v>100388</v>
      </c>
      <c r="B389" s="6">
        <v>44945</v>
      </c>
      <c r="C389">
        <v>2023</v>
      </c>
      <c r="D389" t="s">
        <v>63</v>
      </c>
      <c r="E389">
        <v>1</v>
      </c>
      <c r="F389" t="s">
        <v>79</v>
      </c>
      <c r="G389" t="s">
        <v>35</v>
      </c>
      <c r="H389" t="s">
        <v>23</v>
      </c>
      <c r="I389" t="s">
        <v>77</v>
      </c>
      <c r="J389" t="s">
        <v>50</v>
      </c>
      <c r="K389" t="s">
        <v>32</v>
      </c>
      <c r="L389" t="s">
        <v>33</v>
      </c>
      <c r="M389">
        <v>56</v>
      </c>
      <c r="N389">
        <v>60</v>
      </c>
      <c r="O389">
        <v>3259.2</v>
      </c>
      <c r="P389">
        <v>2128</v>
      </c>
      <c r="Q389">
        <v>1131.2</v>
      </c>
      <c r="R389">
        <v>0.03</v>
      </c>
      <c r="S389" t="s">
        <v>57</v>
      </c>
      <c r="T389">
        <v>224.93</v>
      </c>
    </row>
    <row r="390" spans="1:20" x14ac:dyDescent="0.25">
      <c r="A390">
        <v>100389</v>
      </c>
      <c r="B390" s="6">
        <v>45141</v>
      </c>
      <c r="C390">
        <v>2023</v>
      </c>
      <c r="D390" t="s">
        <v>39</v>
      </c>
      <c r="E390">
        <v>8</v>
      </c>
      <c r="F390" t="s">
        <v>58</v>
      </c>
      <c r="G390" t="s">
        <v>35</v>
      </c>
      <c r="H390" t="s">
        <v>23</v>
      </c>
      <c r="I390" t="s">
        <v>53</v>
      </c>
      <c r="J390" t="s">
        <v>42</v>
      </c>
      <c r="K390" t="s">
        <v>51</v>
      </c>
      <c r="L390" t="s">
        <v>76</v>
      </c>
      <c r="M390">
        <v>38</v>
      </c>
      <c r="N390">
        <v>40</v>
      </c>
      <c r="O390">
        <v>1489.6</v>
      </c>
      <c r="P390">
        <v>874</v>
      </c>
      <c r="Q390">
        <v>615.6</v>
      </c>
      <c r="R390">
        <v>0.02</v>
      </c>
      <c r="S390" t="s">
        <v>28</v>
      </c>
      <c r="T390">
        <v>99.46</v>
      </c>
    </row>
    <row r="391" spans="1:20" x14ac:dyDescent="0.25">
      <c r="A391">
        <v>100390</v>
      </c>
      <c r="B391" s="6">
        <v>45144</v>
      </c>
      <c r="C391">
        <v>2023</v>
      </c>
      <c r="D391" t="s">
        <v>39</v>
      </c>
      <c r="E391">
        <v>8</v>
      </c>
      <c r="F391" t="s">
        <v>58</v>
      </c>
      <c r="G391" t="s">
        <v>35</v>
      </c>
      <c r="H391" t="s">
        <v>23</v>
      </c>
      <c r="I391" t="s">
        <v>77</v>
      </c>
      <c r="J391" t="s">
        <v>42</v>
      </c>
      <c r="K391" t="s">
        <v>55</v>
      </c>
      <c r="L391" t="s">
        <v>84</v>
      </c>
      <c r="M391">
        <v>15</v>
      </c>
      <c r="N391">
        <v>55</v>
      </c>
      <c r="O391">
        <v>800.25</v>
      </c>
      <c r="P391">
        <v>555</v>
      </c>
      <c r="Q391">
        <v>245.25</v>
      </c>
      <c r="R391">
        <v>0.03</v>
      </c>
      <c r="S391" t="s">
        <v>57</v>
      </c>
      <c r="T391">
        <v>55.09</v>
      </c>
    </row>
    <row r="392" spans="1:20" x14ac:dyDescent="0.25">
      <c r="A392">
        <v>100391</v>
      </c>
      <c r="B392" s="6">
        <v>45351</v>
      </c>
      <c r="C392">
        <v>2024</v>
      </c>
      <c r="D392" t="s">
        <v>63</v>
      </c>
      <c r="E392">
        <v>2</v>
      </c>
      <c r="F392" t="s">
        <v>81</v>
      </c>
      <c r="G392" t="s">
        <v>45</v>
      </c>
      <c r="H392" t="s">
        <v>23</v>
      </c>
      <c r="I392" t="s">
        <v>90</v>
      </c>
      <c r="J392" t="s">
        <v>31</v>
      </c>
      <c r="K392" t="s">
        <v>59</v>
      </c>
      <c r="L392" t="s">
        <v>67</v>
      </c>
      <c r="M392">
        <v>140</v>
      </c>
      <c r="N392">
        <v>95</v>
      </c>
      <c r="O392">
        <v>13034</v>
      </c>
      <c r="P392">
        <v>7840</v>
      </c>
      <c r="Q392">
        <v>5194</v>
      </c>
      <c r="R392">
        <v>0.02</v>
      </c>
      <c r="S392" t="s">
        <v>70</v>
      </c>
      <c r="T392">
        <v>541.79</v>
      </c>
    </row>
    <row r="393" spans="1:20" x14ac:dyDescent="0.25">
      <c r="A393">
        <v>100392</v>
      </c>
      <c r="B393" s="6">
        <v>45512</v>
      </c>
      <c r="C393">
        <v>2024</v>
      </c>
      <c r="D393" t="s">
        <v>39</v>
      </c>
      <c r="E393">
        <v>8</v>
      </c>
      <c r="F393" t="s">
        <v>58</v>
      </c>
      <c r="G393" t="s">
        <v>35</v>
      </c>
      <c r="H393" t="s">
        <v>23</v>
      </c>
      <c r="I393" t="s">
        <v>36</v>
      </c>
      <c r="J393" t="s">
        <v>50</v>
      </c>
      <c r="K393" t="s">
        <v>32</v>
      </c>
      <c r="L393" t="s">
        <v>74</v>
      </c>
      <c r="M393">
        <v>48</v>
      </c>
      <c r="N393">
        <v>25</v>
      </c>
      <c r="O393">
        <v>1200</v>
      </c>
      <c r="P393">
        <v>672</v>
      </c>
      <c r="Q393">
        <v>528</v>
      </c>
      <c r="R393">
        <v>0</v>
      </c>
      <c r="S393" t="s">
        <v>38</v>
      </c>
      <c r="T393">
        <v>79.08</v>
      </c>
    </row>
    <row r="394" spans="1:20" x14ac:dyDescent="0.25">
      <c r="A394">
        <v>100393</v>
      </c>
      <c r="B394" s="6">
        <v>45876</v>
      </c>
      <c r="C394">
        <v>2025</v>
      </c>
      <c r="D394" t="s">
        <v>39</v>
      </c>
      <c r="E394">
        <v>8</v>
      </c>
      <c r="F394" t="s">
        <v>58</v>
      </c>
      <c r="G394" t="s">
        <v>29</v>
      </c>
      <c r="H394" t="s">
        <v>23</v>
      </c>
      <c r="I394" t="s">
        <v>49</v>
      </c>
      <c r="J394" t="s">
        <v>66</v>
      </c>
      <c r="K394" t="s">
        <v>51</v>
      </c>
      <c r="L394" t="s">
        <v>52</v>
      </c>
      <c r="M394">
        <v>120</v>
      </c>
      <c r="N394">
        <v>75</v>
      </c>
      <c r="O394">
        <v>8730</v>
      </c>
      <c r="P394">
        <v>5280</v>
      </c>
      <c r="Q394">
        <v>3450</v>
      </c>
      <c r="R394">
        <v>0.03</v>
      </c>
      <c r="S394" t="s">
        <v>28</v>
      </c>
      <c r="T394">
        <v>439.03</v>
      </c>
    </row>
    <row r="395" spans="1:20" x14ac:dyDescent="0.25">
      <c r="A395">
        <v>100394</v>
      </c>
      <c r="B395" s="6">
        <v>44999</v>
      </c>
      <c r="C395">
        <v>2023</v>
      </c>
      <c r="D395" t="s">
        <v>63</v>
      </c>
      <c r="E395">
        <v>3</v>
      </c>
      <c r="F395" t="s">
        <v>64</v>
      </c>
      <c r="G395" t="s">
        <v>45</v>
      </c>
      <c r="H395" t="s">
        <v>23</v>
      </c>
      <c r="I395" t="s">
        <v>62</v>
      </c>
      <c r="J395" t="s">
        <v>50</v>
      </c>
      <c r="K395" t="s">
        <v>59</v>
      </c>
      <c r="L395" t="s">
        <v>60</v>
      </c>
      <c r="M395">
        <v>109</v>
      </c>
      <c r="N395">
        <v>45</v>
      </c>
      <c r="O395">
        <v>4806.8999999999996</v>
      </c>
      <c r="P395">
        <v>2943</v>
      </c>
      <c r="Q395">
        <v>1863.9</v>
      </c>
      <c r="R395">
        <v>0.02</v>
      </c>
      <c r="S395" t="s">
        <v>28</v>
      </c>
      <c r="T395">
        <v>72.64</v>
      </c>
    </row>
    <row r="396" spans="1:20" x14ac:dyDescent="0.25">
      <c r="A396">
        <v>100395</v>
      </c>
      <c r="B396" s="6">
        <v>45192</v>
      </c>
      <c r="C396">
        <v>2023</v>
      </c>
      <c r="D396" t="s">
        <v>39</v>
      </c>
      <c r="E396">
        <v>9</v>
      </c>
      <c r="F396" t="s">
        <v>40</v>
      </c>
      <c r="G396" t="s">
        <v>45</v>
      </c>
      <c r="H396" t="s">
        <v>23</v>
      </c>
      <c r="I396" t="s">
        <v>90</v>
      </c>
      <c r="J396" t="s">
        <v>50</v>
      </c>
      <c r="K396" t="s">
        <v>32</v>
      </c>
      <c r="L396" t="s">
        <v>74</v>
      </c>
      <c r="M396">
        <v>57</v>
      </c>
      <c r="N396">
        <v>25</v>
      </c>
      <c r="O396">
        <v>1425</v>
      </c>
      <c r="P396">
        <v>798</v>
      </c>
      <c r="Q396">
        <v>627</v>
      </c>
      <c r="R396">
        <v>0</v>
      </c>
      <c r="S396" t="s">
        <v>57</v>
      </c>
      <c r="T396">
        <v>81.900000000000006</v>
      </c>
    </row>
    <row r="397" spans="1:20" x14ac:dyDescent="0.25">
      <c r="A397">
        <v>100396</v>
      </c>
      <c r="B397" s="6">
        <v>44951</v>
      </c>
      <c r="C397">
        <v>2023</v>
      </c>
      <c r="D397" t="s">
        <v>63</v>
      </c>
      <c r="E397">
        <v>1</v>
      </c>
      <c r="F397" t="s">
        <v>79</v>
      </c>
      <c r="G397" t="s">
        <v>45</v>
      </c>
      <c r="H397" t="s">
        <v>23</v>
      </c>
      <c r="I397" t="s">
        <v>62</v>
      </c>
      <c r="J397" t="s">
        <v>25</v>
      </c>
      <c r="K397" t="s">
        <v>59</v>
      </c>
      <c r="L397" t="s">
        <v>60</v>
      </c>
      <c r="M397">
        <v>77</v>
      </c>
      <c r="N397">
        <v>45</v>
      </c>
      <c r="O397">
        <v>3118.5</v>
      </c>
      <c r="P397">
        <v>2079</v>
      </c>
      <c r="Q397">
        <v>1039.5</v>
      </c>
      <c r="R397">
        <v>0.1</v>
      </c>
      <c r="S397" t="s">
        <v>28</v>
      </c>
      <c r="T397">
        <v>139.74</v>
      </c>
    </row>
    <row r="398" spans="1:20" x14ac:dyDescent="0.25">
      <c r="A398">
        <v>100397</v>
      </c>
      <c r="B398" s="6">
        <v>44972</v>
      </c>
      <c r="C398">
        <v>2023</v>
      </c>
      <c r="D398" t="s">
        <v>63</v>
      </c>
      <c r="E398">
        <v>2</v>
      </c>
      <c r="F398" t="s">
        <v>81</v>
      </c>
      <c r="G398" t="s">
        <v>35</v>
      </c>
      <c r="H398" t="s">
        <v>23</v>
      </c>
      <c r="I398" t="s">
        <v>80</v>
      </c>
      <c r="J398" t="s">
        <v>25</v>
      </c>
      <c r="K398" t="s">
        <v>26</v>
      </c>
      <c r="L398" t="s">
        <v>82</v>
      </c>
      <c r="M398">
        <v>83</v>
      </c>
      <c r="N398">
        <v>105</v>
      </c>
      <c r="O398">
        <v>8715</v>
      </c>
      <c r="P398">
        <v>5063</v>
      </c>
      <c r="Q398">
        <v>3652</v>
      </c>
      <c r="R398">
        <v>0</v>
      </c>
      <c r="S398" t="s">
        <v>28</v>
      </c>
      <c r="T398">
        <v>338.55</v>
      </c>
    </row>
    <row r="399" spans="1:20" x14ac:dyDescent="0.25">
      <c r="A399">
        <v>100398</v>
      </c>
      <c r="B399" s="6">
        <v>45293</v>
      </c>
      <c r="C399">
        <v>2024</v>
      </c>
      <c r="D399" t="s">
        <v>63</v>
      </c>
      <c r="E399">
        <v>1</v>
      </c>
      <c r="F399" t="s">
        <v>79</v>
      </c>
      <c r="G399" t="s">
        <v>22</v>
      </c>
      <c r="H399" t="s">
        <v>23</v>
      </c>
      <c r="I399" t="s">
        <v>65</v>
      </c>
      <c r="J399" t="s">
        <v>68</v>
      </c>
      <c r="K399" t="s">
        <v>51</v>
      </c>
      <c r="L399" t="s">
        <v>92</v>
      </c>
      <c r="M399">
        <v>101</v>
      </c>
      <c r="N399">
        <v>50</v>
      </c>
      <c r="O399">
        <v>4797.5</v>
      </c>
      <c r="P399">
        <v>2929</v>
      </c>
      <c r="Q399">
        <v>1868.5</v>
      </c>
      <c r="R399">
        <v>0.05</v>
      </c>
      <c r="S399" t="s">
        <v>57</v>
      </c>
      <c r="T399">
        <v>240.22</v>
      </c>
    </row>
    <row r="400" spans="1:20" x14ac:dyDescent="0.25">
      <c r="A400">
        <v>100399</v>
      </c>
      <c r="B400" s="6">
        <v>44965</v>
      </c>
      <c r="C400">
        <v>2023</v>
      </c>
      <c r="D400" t="s">
        <v>63</v>
      </c>
      <c r="E400">
        <v>2</v>
      </c>
      <c r="F400" t="s">
        <v>81</v>
      </c>
      <c r="G400" t="s">
        <v>45</v>
      </c>
      <c r="H400" t="s">
        <v>23</v>
      </c>
      <c r="I400" t="s">
        <v>46</v>
      </c>
      <c r="J400" t="s">
        <v>66</v>
      </c>
      <c r="K400" t="s">
        <v>55</v>
      </c>
      <c r="L400" t="s">
        <v>56</v>
      </c>
      <c r="M400">
        <v>56</v>
      </c>
      <c r="N400">
        <v>320</v>
      </c>
      <c r="O400">
        <v>17920</v>
      </c>
      <c r="P400">
        <v>13160</v>
      </c>
      <c r="Q400">
        <v>4760</v>
      </c>
      <c r="R400">
        <v>0</v>
      </c>
      <c r="S400" t="s">
        <v>38</v>
      </c>
      <c r="T400">
        <v>619.65</v>
      </c>
    </row>
    <row r="401" spans="1:20" x14ac:dyDescent="0.25">
      <c r="A401">
        <v>100400</v>
      </c>
      <c r="B401" s="6">
        <v>45870</v>
      </c>
      <c r="C401">
        <v>2025</v>
      </c>
      <c r="D401" t="s">
        <v>39</v>
      </c>
      <c r="E401">
        <v>8</v>
      </c>
      <c r="F401" t="s">
        <v>58</v>
      </c>
      <c r="G401" t="s">
        <v>35</v>
      </c>
      <c r="H401" t="s">
        <v>23</v>
      </c>
      <c r="I401" t="s">
        <v>80</v>
      </c>
      <c r="J401" t="s">
        <v>68</v>
      </c>
      <c r="K401" t="s">
        <v>51</v>
      </c>
      <c r="L401" t="s">
        <v>76</v>
      </c>
      <c r="M401">
        <v>71</v>
      </c>
      <c r="N401">
        <v>40</v>
      </c>
      <c r="O401">
        <v>2698</v>
      </c>
      <c r="P401">
        <v>1633</v>
      </c>
      <c r="Q401">
        <v>1065</v>
      </c>
      <c r="R401">
        <v>0.05</v>
      </c>
      <c r="S401" t="s">
        <v>38</v>
      </c>
      <c r="T401">
        <v>140.32</v>
      </c>
    </row>
    <row r="402" spans="1:20" x14ac:dyDescent="0.25">
      <c r="A402">
        <v>100401</v>
      </c>
      <c r="B402" s="6">
        <v>45565</v>
      </c>
      <c r="C402">
        <v>2024</v>
      </c>
      <c r="D402" t="s">
        <v>39</v>
      </c>
      <c r="E402">
        <v>9</v>
      </c>
      <c r="F402" t="s">
        <v>40</v>
      </c>
      <c r="G402" t="s">
        <v>22</v>
      </c>
      <c r="H402" t="s">
        <v>23</v>
      </c>
      <c r="I402" t="s">
        <v>65</v>
      </c>
      <c r="J402" t="s">
        <v>31</v>
      </c>
      <c r="K402" t="s">
        <v>55</v>
      </c>
      <c r="L402" t="s">
        <v>93</v>
      </c>
      <c r="M402">
        <v>140</v>
      </c>
      <c r="N402">
        <v>60</v>
      </c>
      <c r="O402">
        <v>7980</v>
      </c>
      <c r="P402">
        <v>5880</v>
      </c>
      <c r="Q402">
        <v>2100</v>
      </c>
      <c r="R402">
        <v>0.05</v>
      </c>
      <c r="S402" t="s">
        <v>28</v>
      </c>
      <c r="T402">
        <v>445.75</v>
      </c>
    </row>
    <row r="403" spans="1:20" x14ac:dyDescent="0.25">
      <c r="A403">
        <v>100402</v>
      </c>
      <c r="B403" s="6">
        <v>45617</v>
      </c>
      <c r="C403">
        <v>2024</v>
      </c>
      <c r="D403" t="s">
        <v>43</v>
      </c>
      <c r="E403">
        <v>11</v>
      </c>
      <c r="F403" t="s">
        <v>87</v>
      </c>
      <c r="G403" t="s">
        <v>35</v>
      </c>
      <c r="H403" t="s">
        <v>23</v>
      </c>
      <c r="I403" t="s">
        <v>36</v>
      </c>
      <c r="J403" t="s">
        <v>50</v>
      </c>
      <c r="K403" t="s">
        <v>51</v>
      </c>
      <c r="L403" t="s">
        <v>92</v>
      </c>
      <c r="M403">
        <v>143</v>
      </c>
      <c r="N403">
        <v>50</v>
      </c>
      <c r="O403">
        <v>6792.5</v>
      </c>
      <c r="P403">
        <v>4147</v>
      </c>
      <c r="Q403">
        <v>2645.5</v>
      </c>
      <c r="R403">
        <v>0.05</v>
      </c>
      <c r="S403" t="s">
        <v>38</v>
      </c>
      <c r="T403">
        <v>226.52</v>
      </c>
    </row>
    <row r="404" spans="1:20" x14ac:dyDescent="0.25">
      <c r="A404">
        <v>100403</v>
      </c>
      <c r="B404" s="6">
        <v>45475</v>
      </c>
      <c r="C404">
        <v>2024</v>
      </c>
      <c r="D404" t="s">
        <v>39</v>
      </c>
      <c r="E404">
        <v>7</v>
      </c>
      <c r="F404" t="s">
        <v>75</v>
      </c>
      <c r="G404" t="s">
        <v>45</v>
      </c>
      <c r="H404" t="s">
        <v>23</v>
      </c>
      <c r="I404" t="s">
        <v>88</v>
      </c>
      <c r="J404" t="s">
        <v>50</v>
      </c>
      <c r="K404" t="s">
        <v>26</v>
      </c>
      <c r="L404" t="s">
        <v>27</v>
      </c>
      <c r="M404">
        <v>11</v>
      </c>
      <c r="N404">
        <v>110</v>
      </c>
      <c r="O404">
        <v>1149.5</v>
      </c>
      <c r="P404">
        <v>748</v>
      </c>
      <c r="Q404">
        <v>401.5</v>
      </c>
      <c r="R404">
        <v>0.05</v>
      </c>
      <c r="S404" t="s">
        <v>57</v>
      </c>
      <c r="T404">
        <v>32.950000000000003</v>
      </c>
    </row>
    <row r="405" spans="1:20" x14ac:dyDescent="0.25">
      <c r="A405">
        <v>100404</v>
      </c>
      <c r="B405" s="6">
        <v>45606</v>
      </c>
      <c r="C405">
        <v>2024</v>
      </c>
      <c r="D405" t="s">
        <v>43</v>
      </c>
      <c r="E405">
        <v>11</v>
      </c>
      <c r="F405" t="s">
        <v>87</v>
      </c>
      <c r="G405" t="s">
        <v>29</v>
      </c>
      <c r="H405" t="s">
        <v>23</v>
      </c>
      <c r="I405" t="s">
        <v>85</v>
      </c>
      <c r="J405" t="s">
        <v>66</v>
      </c>
      <c r="K405" t="s">
        <v>59</v>
      </c>
      <c r="L405" t="s">
        <v>60</v>
      </c>
      <c r="M405">
        <v>88</v>
      </c>
      <c r="N405">
        <v>45</v>
      </c>
      <c r="O405">
        <v>3960</v>
      </c>
      <c r="P405">
        <v>2376</v>
      </c>
      <c r="Q405">
        <v>1584</v>
      </c>
      <c r="R405">
        <v>0</v>
      </c>
      <c r="S405" t="s">
        <v>57</v>
      </c>
      <c r="T405">
        <v>239.03</v>
      </c>
    </row>
    <row r="406" spans="1:20" x14ac:dyDescent="0.25">
      <c r="A406">
        <v>100405</v>
      </c>
      <c r="B406" s="6">
        <v>45698</v>
      </c>
      <c r="C406">
        <v>2025</v>
      </c>
      <c r="D406" t="s">
        <v>63</v>
      </c>
      <c r="E406">
        <v>2</v>
      </c>
      <c r="F406" t="s">
        <v>81</v>
      </c>
      <c r="G406" t="s">
        <v>35</v>
      </c>
      <c r="H406" t="s">
        <v>23</v>
      </c>
      <c r="I406" t="s">
        <v>80</v>
      </c>
      <c r="J406" t="s">
        <v>42</v>
      </c>
      <c r="K406" t="s">
        <v>51</v>
      </c>
      <c r="L406" t="s">
        <v>52</v>
      </c>
      <c r="M406">
        <v>63</v>
      </c>
      <c r="N406">
        <v>75</v>
      </c>
      <c r="O406">
        <v>4725</v>
      </c>
      <c r="P406">
        <v>2772</v>
      </c>
      <c r="Q406">
        <v>1953</v>
      </c>
      <c r="R406">
        <v>0</v>
      </c>
      <c r="S406" t="s">
        <v>57</v>
      </c>
      <c r="T406">
        <v>125.46</v>
      </c>
    </row>
    <row r="407" spans="1:20" x14ac:dyDescent="0.25">
      <c r="A407">
        <v>100406</v>
      </c>
      <c r="B407" s="6">
        <v>45900</v>
      </c>
      <c r="C407">
        <v>2025</v>
      </c>
      <c r="D407" t="s">
        <v>39</v>
      </c>
      <c r="E407">
        <v>8</v>
      </c>
      <c r="F407" t="s">
        <v>58</v>
      </c>
      <c r="G407" t="s">
        <v>35</v>
      </c>
      <c r="H407" t="s">
        <v>23</v>
      </c>
      <c r="I407" t="s">
        <v>36</v>
      </c>
      <c r="J407" t="s">
        <v>42</v>
      </c>
      <c r="K407" t="s">
        <v>51</v>
      </c>
      <c r="L407" t="s">
        <v>76</v>
      </c>
      <c r="M407">
        <v>47</v>
      </c>
      <c r="N407">
        <v>40</v>
      </c>
      <c r="O407">
        <v>1880</v>
      </c>
      <c r="P407">
        <v>1081</v>
      </c>
      <c r="Q407">
        <v>799</v>
      </c>
      <c r="R407">
        <v>0</v>
      </c>
      <c r="S407" t="s">
        <v>38</v>
      </c>
      <c r="T407">
        <v>81.599999999999994</v>
      </c>
    </row>
    <row r="408" spans="1:20" x14ac:dyDescent="0.25">
      <c r="A408">
        <v>100407</v>
      </c>
      <c r="B408" s="6">
        <v>44947</v>
      </c>
      <c r="C408">
        <v>2023</v>
      </c>
      <c r="D408" t="s">
        <v>63</v>
      </c>
      <c r="E408">
        <v>1</v>
      </c>
      <c r="F408" t="s">
        <v>79</v>
      </c>
      <c r="G408" t="s">
        <v>35</v>
      </c>
      <c r="H408" t="s">
        <v>23</v>
      </c>
      <c r="I408" t="s">
        <v>53</v>
      </c>
      <c r="J408" t="s">
        <v>42</v>
      </c>
      <c r="K408" t="s">
        <v>26</v>
      </c>
      <c r="L408" t="s">
        <v>69</v>
      </c>
      <c r="M408">
        <v>93</v>
      </c>
      <c r="N408">
        <v>130</v>
      </c>
      <c r="O408">
        <v>11727.3</v>
      </c>
      <c r="P408">
        <v>7068</v>
      </c>
      <c r="Q408">
        <v>4659.3</v>
      </c>
      <c r="R408">
        <v>0.03</v>
      </c>
      <c r="S408" t="s">
        <v>38</v>
      </c>
      <c r="T408">
        <v>695.68</v>
      </c>
    </row>
    <row r="409" spans="1:20" x14ac:dyDescent="0.25">
      <c r="A409">
        <v>100408</v>
      </c>
      <c r="B409" s="6">
        <v>45209</v>
      </c>
      <c r="C409">
        <v>2023</v>
      </c>
      <c r="D409" t="s">
        <v>43</v>
      </c>
      <c r="E409">
        <v>10</v>
      </c>
      <c r="F409" t="s">
        <v>44</v>
      </c>
      <c r="G409" t="s">
        <v>29</v>
      </c>
      <c r="H409" t="s">
        <v>23</v>
      </c>
      <c r="I409" t="s">
        <v>85</v>
      </c>
      <c r="J409" t="s">
        <v>42</v>
      </c>
      <c r="K409" t="s">
        <v>59</v>
      </c>
      <c r="L409" t="s">
        <v>60</v>
      </c>
      <c r="M409">
        <v>70</v>
      </c>
      <c r="N409">
        <v>45</v>
      </c>
      <c r="O409">
        <v>3087</v>
      </c>
      <c r="P409">
        <v>1890</v>
      </c>
      <c r="Q409">
        <v>1197</v>
      </c>
      <c r="R409">
        <v>0.02</v>
      </c>
      <c r="S409" t="s">
        <v>57</v>
      </c>
      <c r="T409">
        <v>186.98</v>
      </c>
    </row>
    <row r="410" spans="1:20" x14ac:dyDescent="0.25">
      <c r="A410">
        <v>100409</v>
      </c>
      <c r="B410" s="6">
        <v>45470</v>
      </c>
      <c r="C410">
        <v>2024</v>
      </c>
      <c r="D410" t="s">
        <v>20</v>
      </c>
      <c r="E410">
        <v>6</v>
      </c>
      <c r="F410" t="s">
        <v>48</v>
      </c>
      <c r="G410" t="s">
        <v>22</v>
      </c>
      <c r="H410" t="s">
        <v>23</v>
      </c>
      <c r="I410" t="s">
        <v>65</v>
      </c>
      <c r="J410" t="s">
        <v>42</v>
      </c>
      <c r="K410" t="s">
        <v>26</v>
      </c>
      <c r="L410" t="s">
        <v>78</v>
      </c>
      <c r="M410">
        <v>115</v>
      </c>
      <c r="N410">
        <v>95</v>
      </c>
      <c r="O410">
        <v>10706.5</v>
      </c>
      <c r="P410">
        <v>6670</v>
      </c>
      <c r="Q410">
        <v>4036.5</v>
      </c>
      <c r="R410">
        <v>0.02</v>
      </c>
      <c r="S410" t="s">
        <v>38</v>
      </c>
      <c r="T410">
        <v>297.08999999999997</v>
      </c>
    </row>
    <row r="411" spans="1:20" x14ac:dyDescent="0.25">
      <c r="A411">
        <v>100410</v>
      </c>
      <c r="B411" s="6">
        <v>45063</v>
      </c>
      <c r="C411">
        <v>2023</v>
      </c>
      <c r="D411" t="s">
        <v>20</v>
      </c>
      <c r="E411">
        <v>5</v>
      </c>
      <c r="F411" t="s">
        <v>21</v>
      </c>
      <c r="G411" t="s">
        <v>35</v>
      </c>
      <c r="H411" t="s">
        <v>23</v>
      </c>
      <c r="I411" t="s">
        <v>53</v>
      </c>
      <c r="J411" t="s">
        <v>50</v>
      </c>
      <c r="K411" t="s">
        <v>26</v>
      </c>
      <c r="L411" t="s">
        <v>69</v>
      </c>
      <c r="M411">
        <v>127</v>
      </c>
      <c r="N411">
        <v>130</v>
      </c>
      <c r="O411">
        <v>15684.5</v>
      </c>
      <c r="P411">
        <v>9652</v>
      </c>
      <c r="Q411">
        <v>6032.5</v>
      </c>
      <c r="R411">
        <v>0.05</v>
      </c>
      <c r="S411" t="s">
        <v>28</v>
      </c>
      <c r="T411">
        <v>998.17</v>
      </c>
    </row>
    <row r="412" spans="1:20" x14ac:dyDescent="0.25">
      <c r="A412">
        <v>100411</v>
      </c>
      <c r="B412" s="6">
        <v>45340</v>
      </c>
      <c r="C412">
        <v>2024</v>
      </c>
      <c r="D412" t="s">
        <v>63</v>
      </c>
      <c r="E412">
        <v>2</v>
      </c>
      <c r="F412" t="s">
        <v>81</v>
      </c>
      <c r="G412" t="s">
        <v>45</v>
      </c>
      <c r="H412" t="s">
        <v>23</v>
      </c>
      <c r="I412" t="s">
        <v>90</v>
      </c>
      <c r="J412" t="s">
        <v>54</v>
      </c>
      <c r="K412" t="s">
        <v>59</v>
      </c>
      <c r="L412" t="s">
        <v>60</v>
      </c>
      <c r="M412">
        <v>96</v>
      </c>
      <c r="N412">
        <v>45</v>
      </c>
      <c r="O412">
        <v>4320</v>
      </c>
      <c r="P412">
        <v>2592</v>
      </c>
      <c r="Q412">
        <v>1728</v>
      </c>
      <c r="R412">
        <v>0</v>
      </c>
      <c r="S412" t="s">
        <v>70</v>
      </c>
      <c r="T412">
        <v>229.68</v>
      </c>
    </row>
    <row r="413" spans="1:20" x14ac:dyDescent="0.25">
      <c r="A413">
        <v>100412</v>
      </c>
      <c r="B413" s="6">
        <v>45995</v>
      </c>
      <c r="C413">
        <v>2025</v>
      </c>
      <c r="D413" t="s">
        <v>43</v>
      </c>
      <c r="E413">
        <v>12</v>
      </c>
      <c r="F413" t="s">
        <v>83</v>
      </c>
      <c r="G413" t="s">
        <v>45</v>
      </c>
      <c r="H413" t="s">
        <v>23</v>
      </c>
      <c r="I413" t="s">
        <v>90</v>
      </c>
      <c r="J413" t="s">
        <v>66</v>
      </c>
      <c r="K413" t="s">
        <v>32</v>
      </c>
      <c r="L413" t="s">
        <v>33</v>
      </c>
      <c r="M413">
        <v>143</v>
      </c>
      <c r="N413">
        <v>60</v>
      </c>
      <c r="O413">
        <v>8151</v>
      </c>
      <c r="P413">
        <v>5434</v>
      </c>
      <c r="Q413">
        <v>2717</v>
      </c>
      <c r="R413">
        <v>0.05</v>
      </c>
      <c r="S413" t="s">
        <v>38</v>
      </c>
      <c r="T413">
        <v>255.32</v>
      </c>
    </row>
    <row r="414" spans="1:20" x14ac:dyDescent="0.25">
      <c r="A414">
        <v>100413</v>
      </c>
      <c r="B414" s="6">
        <v>45647</v>
      </c>
      <c r="C414">
        <v>2024</v>
      </c>
      <c r="D414" t="s">
        <v>43</v>
      </c>
      <c r="E414">
        <v>12</v>
      </c>
      <c r="F414" t="s">
        <v>83</v>
      </c>
      <c r="G414" t="s">
        <v>35</v>
      </c>
      <c r="H414" t="s">
        <v>23</v>
      </c>
      <c r="I414" t="s">
        <v>53</v>
      </c>
      <c r="J414" t="s">
        <v>50</v>
      </c>
      <c r="K414" t="s">
        <v>26</v>
      </c>
      <c r="L414" t="s">
        <v>69</v>
      </c>
      <c r="M414">
        <v>131</v>
      </c>
      <c r="N414">
        <v>130</v>
      </c>
      <c r="O414">
        <v>16689.400000000001</v>
      </c>
      <c r="P414">
        <v>9956</v>
      </c>
      <c r="Q414">
        <v>6733.4</v>
      </c>
      <c r="R414">
        <v>0.02</v>
      </c>
      <c r="S414" t="s">
        <v>38</v>
      </c>
      <c r="T414">
        <v>347.04</v>
      </c>
    </row>
    <row r="415" spans="1:20" x14ac:dyDescent="0.25">
      <c r="A415">
        <v>100414</v>
      </c>
      <c r="B415" s="6">
        <v>45961</v>
      </c>
      <c r="C415">
        <v>2025</v>
      </c>
      <c r="D415" t="s">
        <v>43</v>
      </c>
      <c r="E415">
        <v>10</v>
      </c>
      <c r="F415" t="s">
        <v>44</v>
      </c>
      <c r="G415" t="s">
        <v>35</v>
      </c>
      <c r="H415" t="s">
        <v>23</v>
      </c>
      <c r="I415" t="s">
        <v>53</v>
      </c>
      <c r="J415" t="s">
        <v>50</v>
      </c>
      <c r="K415" t="s">
        <v>32</v>
      </c>
      <c r="L415" t="s">
        <v>33</v>
      </c>
      <c r="M415">
        <v>136</v>
      </c>
      <c r="N415">
        <v>60</v>
      </c>
      <c r="O415">
        <v>7996.8</v>
      </c>
      <c r="P415">
        <v>5168</v>
      </c>
      <c r="Q415">
        <v>2828.8</v>
      </c>
      <c r="R415">
        <v>0.02</v>
      </c>
      <c r="S415" t="s">
        <v>70</v>
      </c>
      <c r="T415">
        <v>216.52</v>
      </c>
    </row>
    <row r="416" spans="1:20" x14ac:dyDescent="0.25">
      <c r="A416">
        <v>100415</v>
      </c>
      <c r="B416" s="6">
        <v>45289</v>
      </c>
      <c r="C416">
        <v>2023</v>
      </c>
      <c r="D416" t="s">
        <v>43</v>
      </c>
      <c r="E416">
        <v>12</v>
      </c>
      <c r="F416" t="s">
        <v>83</v>
      </c>
      <c r="G416" t="s">
        <v>45</v>
      </c>
      <c r="H416" t="s">
        <v>23</v>
      </c>
      <c r="I416" t="s">
        <v>46</v>
      </c>
      <c r="J416" t="s">
        <v>68</v>
      </c>
      <c r="K416" t="s">
        <v>51</v>
      </c>
      <c r="L416" t="s">
        <v>76</v>
      </c>
      <c r="M416">
        <v>28</v>
      </c>
      <c r="N416">
        <v>40</v>
      </c>
      <c r="O416">
        <v>1064</v>
      </c>
      <c r="P416">
        <v>644</v>
      </c>
      <c r="Q416">
        <v>420</v>
      </c>
      <c r="R416">
        <v>0.05</v>
      </c>
      <c r="S416" t="s">
        <v>38</v>
      </c>
      <c r="T416">
        <v>40.06</v>
      </c>
    </row>
    <row r="417" spans="1:20" x14ac:dyDescent="0.25">
      <c r="A417">
        <v>100416</v>
      </c>
      <c r="B417" s="6">
        <v>45872</v>
      </c>
      <c r="C417">
        <v>2025</v>
      </c>
      <c r="D417" t="s">
        <v>39</v>
      </c>
      <c r="E417">
        <v>8</v>
      </c>
      <c r="F417" t="s">
        <v>58</v>
      </c>
      <c r="G417" t="s">
        <v>35</v>
      </c>
      <c r="H417" t="s">
        <v>23</v>
      </c>
      <c r="I417" t="s">
        <v>53</v>
      </c>
      <c r="J417" t="s">
        <v>42</v>
      </c>
      <c r="K417" t="s">
        <v>59</v>
      </c>
      <c r="L417" t="s">
        <v>60</v>
      </c>
      <c r="M417">
        <v>102</v>
      </c>
      <c r="N417">
        <v>45</v>
      </c>
      <c r="O417">
        <v>4452.3</v>
      </c>
      <c r="P417">
        <v>2754</v>
      </c>
      <c r="Q417">
        <v>1698.3</v>
      </c>
      <c r="R417">
        <v>0.03</v>
      </c>
      <c r="S417" t="s">
        <v>70</v>
      </c>
      <c r="T417">
        <v>95.04</v>
      </c>
    </row>
    <row r="418" spans="1:20" x14ac:dyDescent="0.25">
      <c r="A418">
        <v>100417</v>
      </c>
      <c r="B418" s="6">
        <v>45851</v>
      </c>
      <c r="C418">
        <v>2025</v>
      </c>
      <c r="D418" t="s">
        <v>39</v>
      </c>
      <c r="E418">
        <v>7</v>
      </c>
      <c r="F418" t="s">
        <v>75</v>
      </c>
      <c r="G418" t="s">
        <v>22</v>
      </c>
      <c r="H418" t="s">
        <v>23</v>
      </c>
      <c r="I418" t="s">
        <v>65</v>
      </c>
      <c r="J418" t="s">
        <v>25</v>
      </c>
      <c r="K418" t="s">
        <v>55</v>
      </c>
      <c r="L418" t="s">
        <v>93</v>
      </c>
      <c r="M418">
        <v>80</v>
      </c>
      <c r="N418">
        <v>60</v>
      </c>
      <c r="O418">
        <v>4800</v>
      </c>
      <c r="P418">
        <v>3360</v>
      </c>
      <c r="Q418">
        <v>1440</v>
      </c>
      <c r="R418">
        <v>0</v>
      </c>
      <c r="S418" t="s">
        <v>38</v>
      </c>
      <c r="T418">
        <v>273.91000000000003</v>
      </c>
    </row>
    <row r="419" spans="1:20" x14ac:dyDescent="0.25">
      <c r="A419">
        <v>100418</v>
      </c>
      <c r="B419" s="6">
        <v>45743</v>
      </c>
      <c r="C419">
        <v>2025</v>
      </c>
      <c r="D419" t="s">
        <v>63</v>
      </c>
      <c r="E419">
        <v>3</v>
      </c>
      <c r="F419" t="s">
        <v>64</v>
      </c>
      <c r="G419" t="s">
        <v>22</v>
      </c>
      <c r="H419" t="s">
        <v>23</v>
      </c>
      <c r="I419" t="s">
        <v>71</v>
      </c>
      <c r="J419" t="s">
        <v>25</v>
      </c>
      <c r="K419" t="s">
        <v>26</v>
      </c>
      <c r="L419" t="s">
        <v>78</v>
      </c>
      <c r="M419">
        <v>26</v>
      </c>
      <c r="N419">
        <v>95</v>
      </c>
      <c r="O419">
        <v>2272.4</v>
      </c>
      <c r="P419">
        <v>1508</v>
      </c>
      <c r="Q419">
        <v>764.4</v>
      </c>
      <c r="R419">
        <v>0.08</v>
      </c>
      <c r="S419" t="s">
        <v>70</v>
      </c>
      <c r="T419">
        <v>118.23</v>
      </c>
    </row>
    <row r="420" spans="1:20" x14ac:dyDescent="0.25">
      <c r="A420">
        <v>100419</v>
      </c>
      <c r="B420" s="6">
        <v>45342</v>
      </c>
      <c r="C420">
        <v>2024</v>
      </c>
      <c r="D420" t="s">
        <v>63</v>
      </c>
      <c r="E420">
        <v>2</v>
      </c>
      <c r="F420" t="s">
        <v>81</v>
      </c>
      <c r="G420" t="s">
        <v>35</v>
      </c>
      <c r="H420" t="s">
        <v>23</v>
      </c>
      <c r="I420" t="s">
        <v>80</v>
      </c>
      <c r="J420" t="s">
        <v>42</v>
      </c>
      <c r="K420" t="s">
        <v>55</v>
      </c>
      <c r="L420" t="s">
        <v>84</v>
      </c>
      <c r="M420">
        <v>82</v>
      </c>
      <c r="N420">
        <v>55</v>
      </c>
      <c r="O420">
        <v>4374.7</v>
      </c>
      <c r="P420">
        <v>3034</v>
      </c>
      <c r="Q420">
        <v>1340.7</v>
      </c>
      <c r="R420">
        <v>0.03</v>
      </c>
      <c r="S420" t="s">
        <v>28</v>
      </c>
      <c r="T420">
        <v>266.8</v>
      </c>
    </row>
    <row r="421" spans="1:20" x14ac:dyDescent="0.25">
      <c r="A421">
        <v>100420</v>
      </c>
      <c r="B421" s="6">
        <v>45351</v>
      </c>
      <c r="C421">
        <v>2024</v>
      </c>
      <c r="D421" t="s">
        <v>63</v>
      </c>
      <c r="E421">
        <v>2</v>
      </c>
      <c r="F421" t="s">
        <v>81</v>
      </c>
      <c r="G421" t="s">
        <v>22</v>
      </c>
      <c r="H421" t="s">
        <v>23</v>
      </c>
      <c r="I421" t="s">
        <v>65</v>
      </c>
      <c r="J421" t="s">
        <v>54</v>
      </c>
      <c r="K421" t="s">
        <v>51</v>
      </c>
      <c r="L421" t="s">
        <v>92</v>
      </c>
      <c r="M421">
        <v>92</v>
      </c>
      <c r="N421">
        <v>50</v>
      </c>
      <c r="O421">
        <v>4232</v>
      </c>
      <c r="P421">
        <v>2668</v>
      </c>
      <c r="Q421">
        <v>1564</v>
      </c>
      <c r="R421">
        <v>0.08</v>
      </c>
      <c r="S421" t="s">
        <v>70</v>
      </c>
      <c r="T421">
        <v>157.65</v>
      </c>
    </row>
    <row r="422" spans="1:20" x14ac:dyDescent="0.25">
      <c r="A422">
        <v>100421</v>
      </c>
      <c r="B422" s="6">
        <v>45868</v>
      </c>
      <c r="C422">
        <v>2025</v>
      </c>
      <c r="D422" t="s">
        <v>39</v>
      </c>
      <c r="E422">
        <v>7</v>
      </c>
      <c r="F422" t="s">
        <v>75</v>
      </c>
      <c r="G422" t="s">
        <v>35</v>
      </c>
      <c r="H422" t="s">
        <v>23</v>
      </c>
      <c r="I422" t="s">
        <v>77</v>
      </c>
      <c r="J422" t="s">
        <v>66</v>
      </c>
      <c r="K422" t="s">
        <v>26</v>
      </c>
      <c r="L422" t="s">
        <v>69</v>
      </c>
      <c r="M422">
        <v>137</v>
      </c>
      <c r="N422">
        <v>130</v>
      </c>
      <c r="O422">
        <v>17453.8</v>
      </c>
      <c r="P422">
        <v>10412</v>
      </c>
      <c r="Q422">
        <v>7041.8</v>
      </c>
      <c r="R422">
        <v>0.02</v>
      </c>
      <c r="S422" t="s">
        <v>70</v>
      </c>
      <c r="T422">
        <v>326.10000000000002</v>
      </c>
    </row>
    <row r="423" spans="1:20" x14ac:dyDescent="0.25">
      <c r="A423">
        <v>100422</v>
      </c>
      <c r="B423" s="6">
        <v>45677</v>
      </c>
      <c r="C423">
        <v>2025</v>
      </c>
      <c r="D423" t="s">
        <v>63</v>
      </c>
      <c r="E423">
        <v>1</v>
      </c>
      <c r="F423" t="s">
        <v>79</v>
      </c>
      <c r="G423" t="s">
        <v>45</v>
      </c>
      <c r="H423" t="s">
        <v>23</v>
      </c>
      <c r="I423" t="s">
        <v>62</v>
      </c>
      <c r="J423" t="s">
        <v>68</v>
      </c>
      <c r="K423" t="s">
        <v>55</v>
      </c>
      <c r="L423" t="s">
        <v>56</v>
      </c>
      <c r="M423">
        <v>125</v>
      </c>
      <c r="N423">
        <v>320</v>
      </c>
      <c r="O423">
        <v>38000</v>
      </c>
      <c r="P423">
        <v>29375</v>
      </c>
      <c r="Q423">
        <v>8625</v>
      </c>
      <c r="R423">
        <v>0.05</v>
      </c>
      <c r="S423" t="s">
        <v>70</v>
      </c>
      <c r="T423">
        <v>724.88</v>
      </c>
    </row>
    <row r="424" spans="1:20" x14ac:dyDescent="0.25">
      <c r="A424">
        <v>100423</v>
      </c>
      <c r="B424" s="6">
        <v>45261</v>
      </c>
      <c r="C424">
        <v>2023</v>
      </c>
      <c r="D424" t="s">
        <v>43</v>
      </c>
      <c r="E424">
        <v>12</v>
      </c>
      <c r="F424" t="s">
        <v>83</v>
      </c>
      <c r="G424" t="s">
        <v>29</v>
      </c>
      <c r="H424" t="s">
        <v>23</v>
      </c>
      <c r="I424" t="s">
        <v>49</v>
      </c>
      <c r="J424" t="s">
        <v>31</v>
      </c>
      <c r="K424" t="s">
        <v>55</v>
      </c>
      <c r="L424" t="s">
        <v>84</v>
      </c>
      <c r="M424">
        <v>76</v>
      </c>
      <c r="N424">
        <v>55</v>
      </c>
      <c r="O424">
        <v>4096.3999999999996</v>
      </c>
      <c r="P424">
        <v>2812</v>
      </c>
      <c r="Q424">
        <v>1284.4000000000001</v>
      </c>
      <c r="R424">
        <v>0.02</v>
      </c>
      <c r="S424" t="s">
        <v>70</v>
      </c>
      <c r="T424">
        <v>140.41999999999999</v>
      </c>
    </row>
    <row r="425" spans="1:20" x14ac:dyDescent="0.25">
      <c r="A425">
        <v>100424</v>
      </c>
      <c r="B425" s="6">
        <v>45877</v>
      </c>
      <c r="C425">
        <v>2025</v>
      </c>
      <c r="D425" t="s">
        <v>39</v>
      </c>
      <c r="E425">
        <v>8</v>
      </c>
      <c r="F425" t="s">
        <v>58</v>
      </c>
      <c r="G425" t="s">
        <v>35</v>
      </c>
      <c r="H425" t="s">
        <v>23</v>
      </c>
      <c r="I425" t="s">
        <v>80</v>
      </c>
      <c r="J425" t="s">
        <v>25</v>
      </c>
      <c r="K425" t="s">
        <v>59</v>
      </c>
      <c r="L425" t="s">
        <v>91</v>
      </c>
      <c r="M425">
        <v>84</v>
      </c>
      <c r="N425">
        <v>140</v>
      </c>
      <c r="O425">
        <v>11172</v>
      </c>
      <c r="P425">
        <v>6888</v>
      </c>
      <c r="Q425">
        <v>4284</v>
      </c>
      <c r="R425">
        <v>0.05</v>
      </c>
      <c r="S425" t="s">
        <v>38</v>
      </c>
      <c r="T425">
        <v>603.09</v>
      </c>
    </row>
    <row r="426" spans="1:20" x14ac:dyDescent="0.25">
      <c r="A426">
        <v>100425</v>
      </c>
      <c r="B426" s="6">
        <v>45824</v>
      </c>
      <c r="C426">
        <v>2025</v>
      </c>
      <c r="D426" t="s">
        <v>20</v>
      </c>
      <c r="E426">
        <v>6</v>
      </c>
      <c r="F426" t="s">
        <v>48</v>
      </c>
      <c r="G426" t="s">
        <v>35</v>
      </c>
      <c r="H426" t="s">
        <v>23</v>
      </c>
      <c r="I426" t="s">
        <v>80</v>
      </c>
      <c r="J426" t="s">
        <v>31</v>
      </c>
      <c r="K426" t="s">
        <v>59</v>
      </c>
      <c r="L426" t="s">
        <v>91</v>
      </c>
      <c r="M426">
        <v>133</v>
      </c>
      <c r="N426">
        <v>140</v>
      </c>
      <c r="O426">
        <v>18620</v>
      </c>
      <c r="P426">
        <v>10906</v>
      </c>
      <c r="Q426">
        <v>7714</v>
      </c>
      <c r="R426">
        <v>0</v>
      </c>
      <c r="S426" t="s">
        <v>38</v>
      </c>
      <c r="T426">
        <v>385.48</v>
      </c>
    </row>
    <row r="427" spans="1:20" x14ac:dyDescent="0.25">
      <c r="A427">
        <v>100426</v>
      </c>
      <c r="B427" s="6">
        <v>45176</v>
      </c>
      <c r="C427">
        <v>2023</v>
      </c>
      <c r="D427" t="s">
        <v>39</v>
      </c>
      <c r="E427">
        <v>9</v>
      </c>
      <c r="F427" t="s">
        <v>40</v>
      </c>
      <c r="G427" t="s">
        <v>35</v>
      </c>
      <c r="H427" t="s">
        <v>23</v>
      </c>
      <c r="I427" t="s">
        <v>77</v>
      </c>
      <c r="J427" t="s">
        <v>25</v>
      </c>
      <c r="K427" t="s">
        <v>59</v>
      </c>
      <c r="L427" t="s">
        <v>86</v>
      </c>
      <c r="M427">
        <v>48</v>
      </c>
      <c r="N427">
        <v>160</v>
      </c>
      <c r="O427">
        <v>7296</v>
      </c>
      <c r="P427">
        <v>4560</v>
      </c>
      <c r="Q427">
        <v>2736</v>
      </c>
      <c r="R427">
        <v>0.05</v>
      </c>
      <c r="S427" t="s">
        <v>57</v>
      </c>
      <c r="T427">
        <v>413.81</v>
      </c>
    </row>
    <row r="428" spans="1:20" x14ac:dyDescent="0.25">
      <c r="A428">
        <v>100427</v>
      </c>
      <c r="B428" s="6">
        <v>44970</v>
      </c>
      <c r="C428">
        <v>2023</v>
      </c>
      <c r="D428" t="s">
        <v>63</v>
      </c>
      <c r="E428">
        <v>2</v>
      </c>
      <c r="F428" t="s">
        <v>81</v>
      </c>
      <c r="G428" t="s">
        <v>45</v>
      </c>
      <c r="H428" t="s">
        <v>23</v>
      </c>
      <c r="I428" t="s">
        <v>90</v>
      </c>
      <c r="J428" t="s">
        <v>42</v>
      </c>
      <c r="K428" t="s">
        <v>32</v>
      </c>
      <c r="L428" t="s">
        <v>37</v>
      </c>
      <c r="M428">
        <v>136</v>
      </c>
      <c r="N428">
        <v>120</v>
      </c>
      <c r="O428">
        <v>15014.4</v>
      </c>
      <c r="P428">
        <v>10608</v>
      </c>
      <c r="Q428">
        <v>4406.3999999999996</v>
      </c>
      <c r="R428">
        <v>0.08</v>
      </c>
      <c r="S428" t="s">
        <v>38</v>
      </c>
      <c r="T428">
        <v>844.54</v>
      </c>
    </row>
    <row r="429" spans="1:20" x14ac:dyDescent="0.25">
      <c r="A429">
        <v>100428</v>
      </c>
      <c r="B429" s="6">
        <v>45917</v>
      </c>
      <c r="C429">
        <v>2025</v>
      </c>
      <c r="D429" t="s">
        <v>39</v>
      </c>
      <c r="E429">
        <v>9</v>
      </c>
      <c r="F429" t="s">
        <v>40</v>
      </c>
      <c r="G429" t="s">
        <v>22</v>
      </c>
      <c r="H429" t="s">
        <v>23</v>
      </c>
      <c r="I429" t="s">
        <v>71</v>
      </c>
      <c r="J429" t="s">
        <v>61</v>
      </c>
      <c r="K429" t="s">
        <v>59</v>
      </c>
      <c r="L429" t="s">
        <v>91</v>
      </c>
      <c r="M429">
        <v>71</v>
      </c>
      <c r="N429">
        <v>140</v>
      </c>
      <c r="O429">
        <v>9940</v>
      </c>
      <c r="P429">
        <v>5822</v>
      </c>
      <c r="Q429">
        <v>4118</v>
      </c>
      <c r="R429">
        <v>0</v>
      </c>
      <c r="S429" t="s">
        <v>57</v>
      </c>
      <c r="T429">
        <v>408.19</v>
      </c>
    </row>
    <row r="430" spans="1:20" x14ac:dyDescent="0.25">
      <c r="A430">
        <v>100429</v>
      </c>
      <c r="B430" s="6">
        <v>45454</v>
      </c>
      <c r="C430">
        <v>2024</v>
      </c>
      <c r="D430" t="s">
        <v>20</v>
      </c>
      <c r="E430">
        <v>6</v>
      </c>
      <c r="F430" t="s">
        <v>48</v>
      </c>
      <c r="G430" t="s">
        <v>29</v>
      </c>
      <c r="H430" t="s">
        <v>23</v>
      </c>
      <c r="I430" t="s">
        <v>49</v>
      </c>
      <c r="J430" t="s">
        <v>50</v>
      </c>
      <c r="K430" t="s">
        <v>51</v>
      </c>
      <c r="L430" t="s">
        <v>72</v>
      </c>
      <c r="M430">
        <v>139</v>
      </c>
      <c r="N430">
        <v>90</v>
      </c>
      <c r="O430">
        <v>12134.7</v>
      </c>
      <c r="P430">
        <v>7228</v>
      </c>
      <c r="Q430">
        <v>4906.7</v>
      </c>
      <c r="R430">
        <v>0.03</v>
      </c>
      <c r="S430" t="s">
        <v>57</v>
      </c>
      <c r="T430">
        <v>787.92</v>
      </c>
    </row>
    <row r="431" spans="1:20" x14ac:dyDescent="0.25">
      <c r="A431">
        <v>100430</v>
      </c>
      <c r="B431" s="6">
        <v>45519</v>
      </c>
      <c r="C431">
        <v>2024</v>
      </c>
      <c r="D431" t="s">
        <v>39</v>
      </c>
      <c r="E431">
        <v>8</v>
      </c>
      <c r="F431" t="s">
        <v>58</v>
      </c>
      <c r="G431" t="s">
        <v>35</v>
      </c>
      <c r="H431" t="s">
        <v>23</v>
      </c>
      <c r="I431" t="s">
        <v>36</v>
      </c>
      <c r="J431" t="s">
        <v>42</v>
      </c>
      <c r="K431" t="s">
        <v>32</v>
      </c>
      <c r="L431" t="s">
        <v>74</v>
      </c>
      <c r="M431">
        <v>99</v>
      </c>
      <c r="N431">
        <v>25</v>
      </c>
      <c r="O431">
        <v>2400.75</v>
      </c>
      <c r="P431">
        <v>1386</v>
      </c>
      <c r="Q431">
        <v>1014.75</v>
      </c>
      <c r="R431">
        <v>0.03</v>
      </c>
      <c r="S431" t="s">
        <v>38</v>
      </c>
      <c r="T431">
        <v>162.57</v>
      </c>
    </row>
    <row r="432" spans="1:20" x14ac:dyDescent="0.25">
      <c r="A432">
        <v>100431</v>
      </c>
      <c r="B432" s="6">
        <v>45431</v>
      </c>
      <c r="C432">
        <v>2024</v>
      </c>
      <c r="D432" t="s">
        <v>20</v>
      </c>
      <c r="E432">
        <v>5</v>
      </c>
      <c r="F432" t="s">
        <v>21</v>
      </c>
      <c r="G432" t="s">
        <v>22</v>
      </c>
      <c r="H432" t="s">
        <v>23</v>
      </c>
      <c r="I432" t="s">
        <v>24</v>
      </c>
      <c r="J432" t="s">
        <v>50</v>
      </c>
      <c r="K432" t="s">
        <v>55</v>
      </c>
      <c r="L432" t="s">
        <v>84</v>
      </c>
      <c r="M432">
        <v>70</v>
      </c>
      <c r="N432">
        <v>55</v>
      </c>
      <c r="O432">
        <v>3773</v>
      </c>
      <c r="P432">
        <v>2590</v>
      </c>
      <c r="Q432">
        <v>1183</v>
      </c>
      <c r="R432">
        <v>0.02</v>
      </c>
      <c r="S432" t="s">
        <v>70</v>
      </c>
      <c r="T432">
        <v>112.52</v>
      </c>
    </row>
    <row r="433" spans="1:20" x14ac:dyDescent="0.25">
      <c r="A433">
        <v>100432</v>
      </c>
      <c r="B433" s="6">
        <v>45849</v>
      </c>
      <c r="C433">
        <v>2025</v>
      </c>
      <c r="D433" t="s">
        <v>39</v>
      </c>
      <c r="E433">
        <v>7</v>
      </c>
      <c r="F433" t="s">
        <v>75</v>
      </c>
      <c r="G433" t="s">
        <v>29</v>
      </c>
      <c r="H433" t="s">
        <v>23</v>
      </c>
      <c r="I433" t="s">
        <v>30</v>
      </c>
      <c r="J433" t="s">
        <v>31</v>
      </c>
      <c r="K433" t="s">
        <v>51</v>
      </c>
      <c r="L433" t="s">
        <v>52</v>
      </c>
      <c r="M433">
        <v>141</v>
      </c>
      <c r="N433">
        <v>75</v>
      </c>
      <c r="O433">
        <v>10257.75</v>
      </c>
      <c r="P433">
        <v>6204</v>
      </c>
      <c r="Q433">
        <v>4053.75</v>
      </c>
      <c r="R433">
        <v>0.03</v>
      </c>
      <c r="S433" t="s">
        <v>38</v>
      </c>
      <c r="T433">
        <v>708.62</v>
      </c>
    </row>
    <row r="434" spans="1:20" x14ac:dyDescent="0.25">
      <c r="A434">
        <v>100433</v>
      </c>
      <c r="B434" s="6">
        <v>45266</v>
      </c>
      <c r="C434">
        <v>2023</v>
      </c>
      <c r="D434" t="s">
        <v>43</v>
      </c>
      <c r="E434">
        <v>12</v>
      </c>
      <c r="F434" t="s">
        <v>83</v>
      </c>
      <c r="G434" t="s">
        <v>29</v>
      </c>
      <c r="H434" t="s">
        <v>23</v>
      </c>
      <c r="I434" t="s">
        <v>73</v>
      </c>
      <c r="J434" t="s">
        <v>31</v>
      </c>
      <c r="K434" t="s">
        <v>51</v>
      </c>
      <c r="L434" t="s">
        <v>92</v>
      </c>
      <c r="M434">
        <v>72</v>
      </c>
      <c r="N434">
        <v>50</v>
      </c>
      <c r="O434">
        <v>3528</v>
      </c>
      <c r="P434">
        <v>2088</v>
      </c>
      <c r="Q434">
        <v>1440</v>
      </c>
      <c r="R434">
        <v>0.02</v>
      </c>
      <c r="S434" t="s">
        <v>38</v>
      </c>
      <c r="T434">
        <v>133.49</v>
      </c>
    </row>
    <row r="435" spans="1:20" x14ac:dyDescent="0.25">
      <c r="A435">
        <v>100434</v>
      </c>
      <c r="B435" s="6">
        <v>45754</v>
      </c>
      <c r="C435">
        <v>2025</v>
      </c>
      <c r="D435" t="s">
        <v>20</v>
      </c>
      <c r="E435">
        <v>4</v>
      </c>
      <c r="F435" t="s">
        <v>34</v>
      </c>
      <c r="G435" t="s">
        <v>29</v>
      </c>
      <c r="H435" t="s">
        <v>23</v>
      </c>
      <c r="I435" t="s">
        <v>85</v>
      </c>
      <c r="J435" t="s">
        <v>54</v>
      </c>
      <c r="K435" t="s">
        <v>26</v>
      </c>
      <c r="L435" t="s">
        <v>78</v>
      </c>
      <c r="M435">
        <v>65</v>
      </c>
      <c r="N435">
        <v>95</v>
      </c>
      <c r="O435">
        <v>6051.5</v>
      </c>
      <c r="P435">
        <v>3770</v>
      </c>
      <c r="Q435">
        <v>2281.5</v>
      </c>
      <c r="R435">
        <v>0.02</v>
      </c>
      <c r="S435" t="s">
        <v>28</v>
      </c>
      <c r="T435">
        <v>261.92</v>
      </c>
    </row>
    <row r="436" spans="1:20" x14ac:dyDescent="0.25">
      <c r="A436">
        <v>100435</v>
      </c>
      <c r="B436" s="6">
        <v>45030</v>
      </c>
      <c r="C436">
        <v>2023</v>
      </c>
      <c r="D436" t="s">
        <v>20</v>
      </c>
      <c r="E436">
        <v>4</v>
      </c>
      <c r="F436" t="s">
        <v>34</v>
      </c>
      <c r="G436" t="s">
        <v>45</v>
      </c>
      <c r="H436" t="s">
        <v>23</v>
      </c>
      <c r="I436" t="s">
        <v>88</v>
      </c>
      <c r="J436" t="s">
        <v>66</v>
      </c>
      <c r="K436" t="s">
        <v>32</v>
      </c>
      <c r="L436" t="s">
        <v>47</v>
      </c>
      <c r="M436">
        <v>84</v>
      </c>
      <c r="N436">
        <v>180</v>
      </c>
      <c r="O436">
        <v>13910.4</v>
      </c>
      <c r="P436">
        <v>9660</v>
      </c>
      <c r="Q436">
        <v>4250.3999999999996</v>
      </c>
      <c r="R436">
        <v>0.08</v>
      </c>
      <c r="S436" t="s">
        <v>38</v>
      </c>
      <c r="T436">
        <v>749.44</v>
      </c>
    </row>
    <row r="437" spans="1:20" x14ac:dyDescent="0.25">
      <c r="A437">
        <v>100436</v>
      </c>
      <c r="B437" s="6">
        <v>45225</v>
      </c>
      <c r="C437">
        <v>2023</v>
      </c>
      <c r="D437" t="s">
        <v>43</v>
      </c>
      <c r="E437">
        <v>10</v>
      </c>
      <c r="F437" t="s">
        <v>44</v>
      </c>
      <c r="G437" t="s">
        <v>45</v>
      </c>
      <c r="H437" t="s">
        <v>23</v>
      </c>
      <c r="I437" t="s">
        <v>90</v>
      </c>
      <c r="J437" t="s">
        <v>31</v>
      </c>
      <c r="K437" t="s">
        <v>26</v>
      </c>
      <c r="L437" t="s">
        <v>27</v>
      </c>
      <c r="M437">
        <v>118</v>
      </c>
      <c r="N437">
        <v>110</v>
      </c>
      <c r="O437">
        <v>12590.6</v>
      </c>
      <c r="P437">
        <v>8024</v>
      </c>
      <c r="Q437">
        <v>4566.6000000000004</v>
      </c>
      <c r="R437">
        <v>0.03</v>
      </c>
      <c r="S437" t="s">
        <v>70</v>
      </c>
      <c r="T437">
        <v>584.38</v>
      </c>
    </row>
    <row r="438" spans="1:20" x14ac:dyDescent="0.25">
      <c r="A438">
        <v>100437</v>
      </c>
      <c r="B438" s="6">
        <v>45729</v>
      </c>
      <c r="C438">
        <v>2025</v>
      </c>
      <c r="D438" t="s">
        <v>63</v>
      </c>
      <c r="E438">
        <v>3</v>
      </c>
      <c r="F438" t="s">
        <v>64</v>
      </c>
      <c r="G438" t="s">
        <v>29</v>
      </c>
      <c r="H438" t="s">
        <v>23</v>
      </c>
      <c r="I438" t="s">
        <v>30</v>
      </c>
      <c r="J438" t="s">
        <v>54</v>
      </c>
      <c r="K438" t="s">
        <v>51</v>
      </c>
      <c r="L438" t="s">
        <v>52</v>
      </c>
      <c r="M438">
        <v>57</v>
      </c>
      <c r="N438">
        <v>75</v>
      </c>
      <c r="O438">
        <v>4189.5</v>
      </c>
      <c r="P438">
        <v>2508</v>
      </c>
      <c r="Q438">
        <v>1681.5</v>
      </c>
      <c r="R438">
        <v>0.02</v>
      </c>
      <c r="S438" t="s">
        <v>57</v>
      </c>
      <c r="T438">
        <v>66.47</v>
      </c>
    </row>
    <row r="439" spans="1:20" x14ac:dyDescent="0.25">
      <c r="A439">
        <v>100438</v>
      </c>
      <c r="B439" s="6">
        <v>45040</v>
      </c>
      <c r="C439">
        <v>2023</v>
      </c>
      <c r="D439" t="s">
        <v>20</v>
      </c>
      <c r="E439">
        <v>4</v>
      </c>
      <c r="F439" t="s">
        <v>34</v>
      </c>
      <c r="G439" t="s">
        <v>45</v>
      </c>
      <c r="H439" t="s">
        <v>23</v>
      </c>
      <c r="I439" t="s">
        <v>62</v>
      </c>
      <c r="J439" t="s">
        <v>61</v>
      </c>
      <c r="K439" t="s">
        <v>51</v>
      </c>
      <c r="L439" t="s">
        <v>52</v>
      </c>
      <c r="M439">
        <v>108</v>
      </c>
      <c r="N439">
        <v>75</v>
      </c>
      <c r="O439">
        <v>7290</v>
      </c>
      <c r="P439">
        <v>4752</v>
      </c>
      <c r="Q439">
        <v>2538</v>
      </c>
      <c r="R439">
        <v>0.1</v>
      </c>
      <c r="S439" t="s">
        <v>70</v>
      </c>
      <c r="T439">
        <v>275.67</v>
      </c>
    </row>
    <row r="440" spans="1:20" x14ac:dyDescent="0.25">
      <c r="A440">
        <v>100439</v>
      </c>
      <c r="B440" s="6">
        <v>45463</v>
      </c>
      <c r="C440">
        <v>2024</v>
      </c>
      <c r="D440" t="s">
        <v>20</v>
      </c>
      <c r="E440">
        <v>6</v>
      </c>
      <c r="F440" t="s">
        <v>48</v>
      </c>
      <c r="G440" t="s">
        <v>29</v>
      </c>
      <c r="H440" t="s">
        <v>23</v>
      </c>
      <c r="I440" t="s">
        <v>73</v>
      </c>
      <c r="J440" t="s">
        <v>31</v>
      </c>
      <c r="K440" t="s">
        <v>59</v>
      </c>
      <c r="L440" t="s">
        <v>67</v>
      </c>
      <c r="M440">
        <v>83</v>
      </c>
      <c r="N440">
        <v>95</v>
      </c>
      <c r="O440">
        <v>7885</v>
      </c>
      <c r="P440">
        <v>4648</v>
      </c>
      <c r="Q440">
        <v>3237</v>
      </c>
      <c r="R440">
        <v>0</v>
      </c>
      <c r="S440" t="s">
        <v>70</v>
      </c>
      <c r="T440">
        <v>369.3</v>
      </c>
    </row>
    <row r="441" spans="1:20" x14ac:dyDescent="0.25">
      <c r="A441">
        <v>100440</v>
      </c>
      <c r="B441" s="6">
        <v>45577</v>
      </c>
      <c r="C441">
        <v>2024</v>
      </c>
      <c r="D441" t="s">
        <v>43</v>
      </c>
      <c r="E441">
        <v>10</v>
      </c>
      <c r="F441" t="s">
        <v>44</v>
      </c>
      <c r="G441" t="s">
        <v>35</v>
      </c>
      <c r="H441" t="s">
        <v>23</v>
      </c>
      <c r="I441" t="s">
        <v>36</v>
      </c>
      <c r="J441" t="s">
        <v>68</v>
      </c>
      <c r="K441" t="s">
        <v>51</v>
      </c>
      <c r="L441" t="s">
        <v>92</v>
      </c>
      <c r="M441">
        <v>68</v>
      </c>
      <c r="N441">
        <v>50</v>
      </c>
      <c r="O441">
        <v>3298</v>
      </c>
      <c r="P441">
        <v>1972</v>
      </c>
      <c r="Q441">
        <v>1326</v>
      </c>
      <c r="R441">
        <v>0.03</v>
      </c>
      <c r="S441" t="s">
        <v>70</v>
      </c>
      <c r="T441">
        <v>129.84</v>
      </c>
    </row>
    <row r="442" spans="1:20" x14ac:dyDescent="0.25">
      <c r="A442">
        <v>100441</v>
      </c>
      <c r="B442" s="6">
        <v>45096</v>
      </c>
      <c r="C442">
        <v>2023</v>
      </c>
      <c r="D442" t="s">
        <v>20</v>
      </c>
      <c r="E442">
        <v>6</v>
      </c>
      <c r="F442" t="s">
        <v>48</v>
      </c>
      <c r="G442" t="s">
        <v>29</v>
      </c>
      <c r="H442" t="s">
        <v>23</v>
      </c>
      <c r="I442" t="s">
        <v>85</v>
      </c>
      <c r="J442" t="s">
        <v>54</v>
      </c>
      <c r="K442" t="s">
        <v>59</v>
      </c>
      <c r="L442" t="s">
        <v>67</v>
      </c>
      <c r="M442">
        <v>41</v>
      </c>
      <c r="N442">
        <v>95</v>
      </c>
      <c r="O442">
        <v>3778.15</v>
      </c>
      <c r="P442">
        <v>2296</v>
      </c>
      <c r="Q442">
        <v>1482.15</v>
      </c>
      <c r="R442">
        <v>0.03</v>
      </c>
      <c r="S442" t="s">
        <v>28</v>
      </c>
      <c r="T442">
        <v>196.89</v>
      </c>
    </row>
    <row r="443" spans="1:20" x14ac:dyDescent="0.25">
      <c r="A443">
        <v>100442</v>
      </c>
      <c r="B443" s="6">
        <v>45814</v>
      </c>
      <c r="C443">
        <v>2025</v>
      </c>
      <c r="D443" t="s">
        <v>20</v>
      </c>
      <c r="E443">
        <v>6</v>
      </c>
      <c r="F443" t="s">
        <v>48</v>
      </c>
      <c r="G443" t="s">
        <v>22</v>
      </c>
      <c r="H443" t="s">
        <v>23</v>
      </c>
      <c r="I443" t="s">
        <v>24</v>
      </c>
      <c r="J443" t="s">
        <v>42</v>
      </c>
      <c r="K443" t="s">
        <v>32</v>
      </c>
      <c r="L443" t="s">
        <v>37</v>
      </c>
      <c r="M443">
        <v>96</v>
      </c>
      <c r="N443">
        <v>120</v>
      </c>
      <c r="O443">
        <v>10944</v>
      </c>
      <c r="P443">
        <v>7488</v>
      </c>
      <c r="Q443">
        <v>3456</v>
      </c>
      <c r="R443">
        <v>0.05</v>
      </c>
      <c r="S443" t="s">
        <v>38</v>
      </c>
      <c r="T443">
        <v>583.78</v>
      </c>
    </row>
    <row r="444" spans="1:20" x14ac:dyDescent="0.25">
      <c r="A444">
        <v>100443</v>
      </c>
      <c r="B444" s="6">
        <v>45844</v>
      </c>
      <c r="C444">
        <v>2025</v>
      </c>
      <c r="D444" t="s">
        <v>39</v>
      </c>
      <c r="E444">
        <v>7</v>
      </c>
      <c r="F444" t="s">
        <v>75</v>
      </c>
      <c r="G444" t="s">
        <v>22</v>
      </c>
      <c r="H444" t="s">
        <v>23</v>
      </c>
      <c r="I444" t="s">
        <v>71</v>
      </c>
      <c r="J444" t="s">
        <v>54</v>
      </c>
      <c r="K444" t="s">
        <v>59</v>
      </c>
      <c r="L444" t="s">
        <v>91</v>
      </c>
      <c r="M444">
        <v>113</v>
      </c>
      <c r="N444">
        <v>140</v>
      </c>
      <c r="O444">
        <v>15029</v>
      </c>
      <c r="P444">
        <v>9266</v>
      </c>
      <c r="Q444">
        <v>5763</v>
      </c>
      <c r="R444">
        <v>0.05</v>
      </c>
      <c r="S444" t="s">
        <v>70</v>
      </c>
      <c r="T444">
        <v>601.67999999999995</v>
      </c>
    </row>
    <row r="445" spans="1:20" x14ac:dyDescent="0.25">
      <c r="A445">
        <v>100444</v>
      </c>
      <c r="B445" s="6">
        <v>45356</v>
      </c>
      <c r="C445">
        <v>2024</v>
      </c>
      <c r="D445" t="s">
        <v>63</v>
      </c>
      <c r="E445">
        <v>3</v>
      </c>
      <c r="F445" t="s">
        <v>64</v>
      </c>
      <c r="G445" t="s">
        <v>35</v>
      </c>
      <c r="H445" t="s">
        <v>23</v>
      </c>
      <c r="I445" t="s">
        <v>36</v>
      </c>
      <c r="J445" t="s">
        <v>31</v>
      </c>
      <c r="K445" t="s">
        <v>32</v>
      </c>
      <c r="L445" t="s">
        <v>47</v>
      </c>
      <c r="M445">
        <v>128</v>
      </c>
      <c r="N445">
        <v>180</v>
      </c>
      <c r="O445">
        <v>23040</v>
      </c>
      <c r="P445">
        <v>14720</v>
      </c>
      <c r="Q445">
        <v>8320</v>
      </c>
      <c r="R445">
        <v>0</v>
      </c>
      <c r="S445" t="s">
        <v>57</v>
      </c>
      <c r="T445">
        <v>920.38</v>
      </c>
    </row>
    <row r="446" spans="1:20" x14ac:dyDescent="0.25">
      <c r="A446">
        <v>100445</v>
      </c>
      <c r="B446" s="6">
        <v>45092</v>
      </c>
      <c r="C446">
        <v>2023</v>
      </c>
      <c r="D446" t="s">
        <v>20</v>
      </c>
      <c r="E446">
        <v>6</v>
      </c>
      <c r="F446" t="s">
        <v>48</v>
      </c>
      <c r="G446" t="s">
        <v>22</v>
      </c>
      <c r="H446" t="s">
        <v>23</v>
      </c>
      <c r="I446" t="s">
        <v>65</v>
      </c>
      <c r="J446" t="s">
        <v>66</v>
      </c>
      <c r="K446" t="s">
        <v>59</v>
      </c>
      <c r="L446" t="s">
        <v>86</v>
      </c>
      <c r="M446">
        <v>22</v>
      </c>
      <c r="N446">
        <v>160</v>
      </c>
      <c r="O446">
        <v>3520</v>
      </c>
      <c r="P446">
        <v>2090</v>
      </c>
      <c r="Q446">
        <v>1430</v>
      </c>
      <c r="R446">
        <v>0</v>
      </c>
      <c r="S446" t="s">
        <v>70</v>
      </c>
      <c r="T446">
        <v>163.66</v>
      </c>
    </row>
    <row r="447" spans="1:20" x14ac:dyDescent="0.25">
      <c r="A447">
        <v>100446</v>
      </c>
      <c r="B447" s="6">
        <v>45802</v>
      </c>
      <c r="C447">
        <v>2025</v>
      </c>
      <c r="D447" t="s">
        <v>20</v>
      </c>
      <c r="E447">
        <v>5</v>
      </c>
      <c r="F447" t="s">
        <v>21</v>
      </c>
      <c r="G447" t="s">
        <v>29</v>
      </c>
      <c r="H447" t="s">
        <v>23</v>
      </c>
      <c r="I447" t="s">
        <v>30</v>
      </c>
      <c r="J447" t="s">
        <v>31</v>
      </c>
      <c r="K447" t="s">
        <v>32</v>
      </c>
      <c r="L447" t="s">
        <v>47</v>
      </c>
      <c r="M447">
        <v>38</v>
      </c>
      <c r="N447">
        <v>180</v>
      </c>
      <c r="O447">
        <v>6634.8</v>
      </c>
      <c r="P447">
        <v>4370</v>
      </c>
      <c r="Q447">
        <v>2264.8000000000002</v>
      </c>
      <c r="R447">
        <v>0.03</v>
      </c>
      <c r="S447" t="s">
        <v>70</v>
      </c>
      <c r="T447">
        <v>130.38</v>
      </c>
    </row>
    <row r="448" spans="1:20" x14ac:dyDescent="0.25">
      <c r="A448">
        <v>100447</v>
      </c>
      <c r="B448" s="6">
        <v>45365</v>
      </c>
      <c r="C448">
        <v>2024</v>
      </c>
      <c r="D448" t="s">
        <v>63</v>
      </c>
      <c r="E448">
        <v>3</v>
      </c>
      <c r="F448" t="s">
        <v>64</v>
      </c>
      <c r="G448" t="s">
        <v>29</v>
      </c>
      <c r="H448" t="s">
        <v>23</v>
      </c>
      <c r="I448" t="s">
        <v>85</v>
      </c>
      <c r="J448" t="s">
        <v>25</v>
      </c>
      <c r="K448" t="s">
        <v>59</v>
      </c>
      <c r="L448" t="s">
        <v>67</v>
      </c>
      <c r="M448">
        <v>54</v>
      </c>
      <c r="N448">
        <v>95</v>
      </c>
      <c r="O448">
        <v>4617</v>
      </c>
      <c r="P448">
        <v>3024</v>
      </c>
      <c r="Q448">
        <v>1593</v>
      </c>
      <c r="R448">
        <v>0.1</v>
      </c>
      <c r="S448" t="s">
        <v>57</v>
      </c>
      <c r="T448">
        <v>242.81</v>
      </c>
    </row>
    <row r="449" spans="1:20" x14ac:dyDescent="0.25">
      <c r="A449">
        <v>100448</v>
      </c>
      <c r="B449" s="6">
        <v>45014</v>
      </c>
      <c r="C449">
        <v>2023</v>
      </c>
      <c r="D449" t="s">
        <v>63</v>
      </c>
      <c r="E449">
        <v>3</v>
      </c>
      <c r="F449" t="s">
        <v>64</v>
      </c>
      <c r="G449" t="s">
        <v>29</v>
      </c>
      <c r="H449" t="s">
        <v>23</v>
      </c>
      <c r="I449" t="s">
        <v>30</v>
      </c>
      <c r="J449" t="s">
        <v>54</v>
      </c>
      <c r="K449" t="s">
        <v>32</v>
      </c>
      <c r="L449" t="s">
        <v>74</v>
      </c>
      <c r="M449">
        <v>46</v>
      </c>
      <c r="N449">
        <v>25</v>
      </c>
      <c r="O449">
        <v>1058</v>
      </c>
      <c r="P449">
        <v>644</v>
      </c>
      <c r="Q449">
        <v>414</v>
      </c>
      <c r="R449">
        <v>0.08</v>
      </c>
      <c r="S449" t="s">
        <v>70</v>
      </c>
      <c r="T449">
        <v>52.1</v>
      </c>
    </row>
    <row r="450" spans="1:20" x14ac:dyDescent="0.25">
      <c r="A450">
        <v>100449</v>
      </c>
      <c r="B450" s="6">
        <v>45533</v>
      </c>
      <c r="C450">
        <v>2024</v>
      </c>
      <c r="D450" t="s">
        <v>39</v>
      </c>
      <c r="E450">
        <v>8</v>
      </c>
      <c r="F450" t="s">
        <v>58</v>
      </c>
      <c r="G450" t="s">
        <v>45</v>
      </c>
      <c r="H450" t="s">
        <v>23</v>
      </c>
      <c r="I450" t="s">
        <v>88</v>
      </c>
      <c r="J450" t="s">
        <v>31</v>
      </c>
      <c r="K450" t="s">
        <v>32</v>
      </c>
      <c r="L450" t="s">
        <v>47</v>
      </c>
      <c r="M450">
        <v>62</v>
      </c>
      <c r="N450">
        <v>180</v>
      </c>
      <c r="O450">
        <v>10044</v>
      </c>
      <c r="P450">
        <v>7130</v>
      </c>
      <c r="Q450">
        <v>2914</v>
      </c>
      <c r="R450">
        <v>0.1</v>
      </c>
      <c r="S450" t="s">
        <v>28</v>
      </c>
      <c r="T450">
        <v>601.97</v>
      </c>
    </row>
    <row r="451" spans="1:20" x14ac:dyDescent="0.25">
      <c r="A451">
        <v>100450</v>
      </c>
      <c r="B451" s="6">
        <v>45851</v>
      </c>
      <c r="C451">
        <v>2025</v>
      </c>
      <c r="D451" t="s">
        <v>39</v>
      </c>
      <c r="E451">
        <v>7</v>
      </c>
      <c r="F451" t="s">
        <v>75</v>
      </c>
      <c r="G451" t="s">
        <v>22</v>
      </c>
      <c r="H451" t="s">
        <v>23</v>
      </c>
      <c r="I451" t="s">
        <v>41</v>
      </c>
      <c r="J451" t="s">
        <v>50</v>
      </c>
      <c r="K451" t="s">
        <v>51</v>
      </c>
      <c r="L451" t="s">
        <v>76</v>
      </c>
      <c r="M451">
        <v>80</v>
      </c>
      <c r="N451">
        <v>40</v>
      </c>
      <c r="O451">
        <v>3136</v>
      </c>
      <c r="P451">
        <v>1840</v>
      </c>
      <c r="Q451">
        <v>1296</v>
      </c>
      <c r="R451">
        <v>0.02</v>
      </c>
      <c r="S451" t="s">
        <v>38</v>
      </c>
      <c r="T451">
        <v>86.6</v>
      </c>
    </row>
    <row r="452" spans="1:20" x14ac:dyDescent="0.25">
      <c r="A452">
        <v>100451</v>
      </c>
      <c r="B452" s="6">
        <v>45654</v>
      </c>
      <c r="C452">
        <v>2024</v>
      </c>
      <c r="D452" t="s">
        <v>43</v>
      </c>
      <c r="E452">
        <v>12</v>
      </c>
      <c r="F452" t="s">
        <v>83</v>
      </c>
      <c r="G452" t="s">
        <v>35</v>
      </c>
      <c r="H452" t="s">
        <v>23</v>
      </c>
      <c r="I452" t="s">
        <v>80</v>
      </c>
      <c r="J452" t="s">
        <v>31</v>
      </c>
      <c r="K452" t="s">
        <v>32</v>
      </c>
      <c r="L452" t="s">
        <v>37</v>
      </c>
      <c r="M452">
        <v>93</v>
      </c>
      <c r="N452">
        <v>120</v>
      </c>
      <c r="O452">
        <v>10044</v>
      </c>
      <c r="P452">
        <v>7254</v>
      </c>
      <c r="Q452">
        <v>2790</v>
      </c>
      <c r="R452">
        <v>0.1</v>
      </c>
      <c r="S452" t="s">
        <v>38</v>
      </c>
      <c r="T452">
        <v>570.11</v>
      </c>
    </row>
    <row r="453" spans="1:20" x14ac:dyDescent="0.25">
      <c r="A453">
        <v>100452</v>
      </c>
      <c r="B453" s="6">
        <v>45162</v>
      </c>
      <c r="C453">
        <v>2023</v>
      </c>
      <c r="D453" t="s">
        <v>39</v>
      </c>
      <c r="E453">
        <v>8</v>
      </c>
      <c r="F453" t="s">
        <v>58</v>
      </c>
      <c r="G453" t="s">
        <v>29</v>
      </c>
      <c r="H453" t="s">
        <v>23</v>
      </c>
      <c r="I453" t="s">
        <v>30</v>
      </c>
      <c r="J453" t="s">
        <v>68</v>
      </c>
      <c r="K453" t="s">
        <v>26</v>
      </c>
      <c r="L453" t="s">
        <v>78</v>
      </c>
      <c r="M453">
        <v>145</v>
      </c>
      <c r="N453">
        <v>95</v>
      </c>
      <c r="O453">
        <v>13499.5</v>
      </c>
      <c r="P453">
        <v>8410</v>
      </c>
      <c r="Q453">
        <v>5089.5</v>
      </c>
      <c r="R453">
        <v>0.02</v>
      </c>
      <c r="S453" t="s">
        <v>38</v>
      </c>
      <c r="T453">
        <v>217.73</v>
      </c>
    </row>
    <row r="454" spans="1:20" x14ac:dyDescent="0.25">
      <c r="A454">
        <v>100453</v>
      </c>
      <c r="B454" s="6">
        <v>45999</v>
      </c>
      <c r="C454">
        <v>2025</v>
      </c>
      <c r="D454" t="s">
        <v>43</v>
      </c>
      <c r="E454">
        <v>12</v>
      </c>
      <c r="F454" t="s">
        <v>83</v>
      </c>
      <c r="G454" t="s">
        <v>29</v>
      </c>
      <c r="H454" t="s">
        <v>23</v>
      </c>
      <c r="I454" t="s">
        <v>73</v>
      </c>
      <c r="J454" t="s">
        <v>68</v>
      </c>
      <c r="K454" t="s">
        <v>51</v>
      </c>
      <c r="L454" t="s">
        <v>72</v>
      </c>
      <c r="M454">
        <v>110</v>
      </c>
      <c r="N454">
        <v>90</v>
      </c>
      <c r="O454">
        <v>9900</v>
      </c>
      <c r="P454">
        <v>5720</v>
      </c>
      <c r="Q454">
        <v>4180</v>
      </c>
      <c r="R454">
        <v>0</v>
      </c>
      <c r="S454" t="s">
        <v>38</v>
      </c>
      <c r="T454">
        <v>637.59</v>
      </c>
    </row>
    <row r="455" spans="1:20" x14ac:dyDescent="0.25">
      <c r="A455">
        <v>100454</v>
      </c>
      <c r="B455" s="6">
        <v>45309</v>
      </c>
      <c r="C455">
        <v>2024</v>
      </c>
      <c r="D455" t="s">
        <v>63</v>
      </c>
      <c r="E455">
        <v>1</v>
      </c>
      <c r="F455" t="s">
        <v>79</v>
      </c>
      <c r="G455" t="s">
        <v>29</v>
      </c>
      <c r="H455" t="s">
        <v>23</v>
      </c>
      <c r="I455" t="s">
        <v>30</v>
      </c>
      <c r="J455" t="s">
        <v>66</v>
      </c>
      <c r="K455" t="s">
        <v>51</v>
      </c>
      <c r="L455" t="s">
        <v>76</v>
      </c>
      <c r="M455">
        <v>139</v>
      </c>
      <c r="N455">
        <v>40</v>
      </c>
      <c r="O455">
        <v>5115.2</v>
      </c>
      <c r="P455">
        <v>3197</v>
      </c>
      <c r="Q455">
        <v>1918.2</v>
      </c>
      <c r="R455">
        <v>0.08</v>
      </c>
      <c r="S455" t="s">
        <v>57</v>
      </c>
      <c r="T455">
        <v>275.54000000000002</v>
      </c>
    </row>
    <row r="456" spans="1:20" x14ac:dyDescent="0.25">
      <c r="A456">
        <v>100455</v>
      </c>
      <c r="B456" s="6">
        <v>45379</v>
      </c>
      <c r="C456">
        <v>2024</v>
      </c>
      <c r="D456" t="s">
        <v>63</v>
      </c>
      <c r="E456">
        <v>3</v>
      </c>
      <c r="F456" t="s">
        <v>64</v>
      </c>
      <c r="G456" t="s">
        <v>29</v>
      </c>
      <c r="H456" t="s">
        <v>23</v>
      </c>
      <c r="I456" t="s">
        <v>85</v>
      </c>
      <c r="J456" t="s">
        <v>54</v>
      </c>
      <c r="K456" t="s">
        <v>26</v>
      </c>
      <c r="L456" t="s">
        <v>82</v>
      </c>
      <c r="M456">
        <v>108</v>
      </c>
      <c r="N456">
        <v>105</v>
      </c>
      <c r="O456">
        <v>11340</v>
      </c>
      <c r="P456">
        <v>6588</v>
      </c>
      <c r="Q456">
        <v>4752</v>
      </c>
      <c r="R456">
        <v>0</v>
      </c>
      <c r="S456" t="s">
        <v>38</v>
      </c>
      <c r="T456">
        <v>278.77999999999997</v>
      </c>
    </row>
    <row r="457" spans="1:20" x14ac:dyDescent="0.25">
      <c r="A457">
        <v>100456</v>
      </c>
      <c r="B457" s="6">
        <v>45661</v>
      </c>
      <c r="C457">
        <v>2025</v>
      </c>
      <c r="D457" t="s">
        <v>63</v>
      </c>
      <c r="E457">
        <v>1</v>
      </c>
      <c r="F457" t="s">
        <v>79</v>
      </c>
      <c r="G457" t="s">
        <v>22</v>
      </c>
      <c r="H457" t="s">
        <v>23</v>
      </c>
      <c r="I457" t="s">
        <v>41</v>
      </c>
      <c r="J457" t="s">
        <v>68</v>
      </c>
      <c r="K457" t="s">
        <v>26</v>
      </c>
      <c r="L457" t="s">
        <v>78</v>
      </c>
      <c r="M457">
        <v>18</v>
      </c>
      <c r="N457">
        <v>95</v>
      </c>
      <c r="O457">
        <v>1675.8</v>
      </c>
      <c r="P457">
        <v>1044</v>
      </c>
      <c r="Q457">
        <v>631.79999999999995</v>
      </c>
      <c r="R457">
        <v>0.02</v>
      </c>
      <c r="S457" t="s">
        <v>57</v>
      </c>
      <c r="T457">
        <v>57.13</v>
      </c>
    </row>
    <row r="458" spans="1:20" x14ac:dyDescent="0.25">
      <c r="A458">
        <v>100457</v>
      </c>
      <c r="B458" s="6">
        <v>45862</v>
      </c>
      <c r="C458">
        <v>2025</v>
      </c>
      <c r="D458" t="s">
        <v>39</v>
      </c>
      <c r="E458">
        <v>7</v>
      </c>
      <c r="F458" t="s">
        <v>75</v>
      </c>
      <c r="G458" t="s">
        <v>45</v>
      </c>
      <c r="H458" t="s">
        <v>23</v>
      </c>
      <c r="I458" t="s">
        <v>90</v>
      </c>
      <c r="J458" t="s">
        <v>31</v>
      </c>
      <c r="K458" t="s">
        <v>32</v>
      </c>
      <c r="L458" t="s">
        <v>74</v>
      </c>
      <c r="M458">
        <v>72</v>
      </c>
      <c r="N458">
        <v>25</v>
      </c>
      <c r="O458">
        <v>1800</v>
      </c>
      <c r="P458">
        <v>1008</v>
      </c>
      <c r="Q458">
        <v>792</v>
      </c>
      <c r="R458">
        <v>0</v>
      </c>
      <c r="S458" t="s">
        <v>28</v>
      </c>
      <c r="T458">
        <v>82.69</v>
      </c>
    </row>
    <row r="459" spans="1:20" x14ac:dyDescent="0.25">
      <c r="A459">
        <v>100458</v>
      </c>
      <c r="B459" s="6">
        <v>45586</v>
      </c>
      <c r="C459">
        <v>2024</v>
      </c>
      <c r="D459" t="s">
        <v>43</v>
      </c>
      <c r="E459">
        <v>10</v>
      </c>
      <c r="F459" t="s">
        <v>44</v>
      </c>
      <c r="G459" t="s">
        <v>35</v>
      </c>
      <c r="H459" t="s">
        <v>23</v>
      </c>
      <c r="I459" t="s">
        <v>53</v>
      </c>
      <c r="J459" t="s">
        <v>54</v>
      </c>
      <c r="K459" t="s">
        <v>59</v>
      </c>
      <c r="L459" t="s">
        <v>60</v>
      </c>
      <c r="M459">
        <v>85</v>
      </c>
      <c r="N459">
        <v>45</v>
      </c>
      <c r="O459">
        <v>3710.25</v>
      </c>
      <c r="P459">
        <v>2295</v>
      </c>
      <c r="Q459">
        <v>1415.25</v>
      </c>
      <c r="R459">
        <v>0.03</v>
      </c>
      <c r="S459" t="s">
        <v>38</v>
      </c>
      <c r="T459">
        <v>226.71</v>
      </c>
    </row>
    <row r="460" spans="1:20" x14ac:dyDescent="0.25">
      <c r="A460">
        <v>100459</v>
      </c>
      <c r="B460" s="6">
        <v>44974</v>
      </c>
      <c r="C460">
        <v>2023</v>
      </c>
      <c r="D460" t="s">
        <v>63</v>
      </c>
      <c r="E460">
        <v>2</v>
      </c>
      <c r="F460" t="s">
        <v>81</v>
      </c>
      <c r="G460" t="s">
        <v>35</v>
      </c>
      <c r="H460" t="s">
        <v>23</v>
      </c>
      <c r="I460" t="s">
        <v>80</v>
      </c>
      <c r="J460" t="s">
        <v>61</v>
      </c>
      <c r="K460" t="s">
        <v>51</v>
      </c>
      <c r="L460" t="s">
        <v>72</v>
      </c>
      <c r="M460">
        <v>98</v>
      </c>
      <c r="N460">
        <v>90</v>
      </c>
      <c r="O460">
        <v>8555.4</v>
      </c>
      <c r="P460">
        <v>5096</v>
      </c>
      <c r="Q460">
        <v>3459.4</v>
      </c>
      <c r="R460">
        <v>0.03</v>
      </c>
      <c r="S460" t="s">
        <v>28</v>
      </c>
      <c r="T460">
        <v>553.38</v>
      </c>
    </row>
    <row r="461" spans="1:20" x14ac:dyDescent="0.25">
      <c r="A461">
        <v>100460</v>
      </c>
      <c r="B461" s="6">
        <v>45905</v>
      </c>
      <c r="C461">
        <v>2025</v>
      </c>
      <c r="D461" t="s">
        <v>39</v>
      </c>
      <c r="E461">
        <v>9</v>
      </c>
      <c r="F461" t="s">
        <v>40</v>
      </c>
      <c r="G461" t="s">
        <v>45</v>
      </c>
      <c r="H461" t="s">
        <v>23</v>
      </c>
      <c r="I461" t="s">
        <v>46</v>
      </c>
      <c r="J461" t="s">
        <v>31</v>
      </c>
      <c r="K461" t="s">
        <v>59</v>
      </c>
      <c r="L461" t="s">
        <v>86</v>
      </c>
      <c r="M461">
        <v>104</v>
      </c>
      <c r="N461">
        <v>160</v>
      </c>
      <c r="O461">
        <v>16140.8</v>
      </c>
      <c r="P461">
        <v>9880</v>
      </c>
      <c r="Q461">
        <v>6260.8</v>
      </c>
      <c r="R461">
        <v>0.03</v>
      </c>
      <c r="S461" t="s">
        <v>38</v>
      </c>
      <c r="T461">
        <v>1103.43</v>
      </c>
    </row>
    <row r="462" spans="1:20" x14ac:dyDescent="0.25">
      <c r="A462">
        <v>100461</v>
      </c>
      <c r="B462" s="6">
        <v>45412</v>
      </c>
      <c r="C462">
        <v>2024</v>
      </c>
      <c r="D462" t="s">
        <v>20</v>
      </c>
      <c r="E462">
        <v>4</v>
      </c>
      <c r="F462" t="s">
        <v>34</v>
      </c>
      <c r="G462" t="s">
        <v>22</v>
      </c>
      <c r="H462" t="s">
        <v>23</v>
      </c>
      <c r="I462" t="s">
        <v>41</v>
      </c>
      <c r="J462" t="s">
        <v>66</v>
      </c>
      <c r="K462" t="s">
        <v>55</v>
      </c>
      <c r="L462" t="s">
        <v>93</v>
      </c>
      <c r="M462">
        <v>140</v>
      </c>
      <c r="N462">
        <v>60</v>
      </c>
      <c r="O462">
        <v>8232</v>
      </c>
      <c r="P462">
        <v>5880</v>
      </c>
      <c r="Q462">
        <v>2352</v>
      </c>
      <c r="R462">
        <v>0.02</v>
      </c>
      <c r="S462" t="s">
        <v>70</v>
      </c>
      <c r="T462">
        <v>497.33</v>
      </c>
    </row>
    <row r="463" spans="1:20" x14ac:dyDescent="0.25">
      <c r="A463">
        <v>100462</v>
      </c>
      <c r="B463" s="6">
        <v>45348</v>
      </c>
      <c r="C463">
        <v>2024</v>
      </c>
      <c r="D463" t="s">
        <v>63</v>
      </c>
      <c r="E463">
        <v>2</v>
      </c>
      <c r="F463" t="s">
        <v>81</v>
      </c>
      <c r="G463" t="s">
        <v>29</v>
      </c>
      <c r="H463" t="s">
        <v>23</v>
      </c>
      <c r="I463" t="s">
        <v>30</v>
      </c>
      <c r="J463" t="s">
        <v>25</v>
      </c>
      <c r="K463" t="s">
        <v>59</v>
      </c>
      <c r="L463" t="s">
        <v>60</v>
      </c>
      <c r="M463">
        <v>15</v>
      </c>
      <c r="N463">
        <v>45</v>
      </c>
      <c r="O463">
        <v>654.75</v>
      </c>
      <c r="P463">
        <v>405</v>
      </c>
      <c r="Q463">
        <v>249.75</v>
      </c>
      <c r="R463">
        <v>0.03</v>
      </c>
      <c r="S463" t="s">
        <v>28</v>
      </c>
      <c r="T463">
        <v>38.549999999999997</v>
      </c>
    </row>
    <row r="464" spans="1:20" x14ac:dyDescent="0.25">
      <c r="A464">
        <v>100463</v>
      </c>
      <c r="B464" s="6">
        <v>45753</v>
      </c>
      <c r="C464">
        <v>2025</v>
      </c>
      <c r="D464" t="s">
        <v>20</v>
      </c>
      <c r="E464">
        <v>4</v>
      </c>
      <c r="F464" t="s">
        <v>34</v>
      </c>
      <c r="G464" t="s">
        <v>22</v>
      </c>
      <c r="H464" t="s">
        <v>23</v>
      </c>
      <c r="I464" t="s">
        <v>71</v>
      </c>
      <c r="J464" t="s">
        <v>66</v>
      </c>
      <c r="K464" t="s">
        <v>26</v>
      </c>
      <c r="L464" t="s">
        <v>78</v>
      </c>
      <c r="M464">
        <v>61</v>
      </c>
      <c r="N464">
        <v>95</v>
      </c>
      <c r="O464">
        <v>5505.25</v>
      </c>
      <c r="P464">
        <v>3538</v>
      </c>
      <c r="Q464">
        <v>1967.25</v>
      </c>
      <c r="R464">
        <v>0.05</v>
      </c>
      <c r="S464" t="s">
        <v>70</v>
      </c>
      <c r="T464">
        <v>149.34</v>
      </c>
    </row>
    <row r="465" spans="1:20" x14ac:dyDescent="0.25">
      <c r="A465">
        <v>100464</v>
      </c>
      <c r="B465" s="6">
        <v>45309</v>
      </c>
      <c r="C465">
        <v>2024</v>
      </c>
      <c r="D465" t="s">
        <v>63</v>
      </c>
      <c r="E465">
        <v>1</v>
      </c>
      <c r="F465" t="s">
        <v>79</v>
      </c>
      <c r="G465" t="s">
        <v>35</v>
      </c>
      <c r="H465" t="s">
        <v>23</v>
      </c>
      <c r="I465" t="s">
        <v>80</v>
      </c>
      <c r="J465" t="s">
        <v>42</v>
      </c>
      <c r="K465" t="s">
        <v>32</v>
      </c>
      <c r="L465" t="s">
        <v>74</v>
      </c>
      <c r="M465">
        <v>123</v>
      </c>
      <c r="N465">
        <v>25</v>
      </c>
      <c r="O465">
        <v>3075</v>
      </c>
      <c r="P465">
        <v>1722</v>
      </c>
      <c r="Q465">
        <v>1353</v>
      </c>
      <c r="R465">
        <v>0</v>
      </c>
      <c r="S465" t="s">
        <v>38</v>
      </c>
      <c r="T465">
        <v>109.81</v>
      </c>
    </row>
    <row r="466" spans="1:20" x14ac:dyDescent="0.25">
      <c r="A466">
        <v>100465</v>
      </c>
      <c r="B466" s="6">
        <v>45407</v>
      </c>
      <c r="C466">
        <v>2024</v>
      </c>
      <c r="D466" t="s">
        <v>20</v>
      </c>
      <c r="E466">
        <v>4</v>
      </c>
      <c r="F466" t="s">
        <v>34</v>
      </c>
      <c r="G466" t="s">
        <v>45</v>
      </c>
      <c r="H466" t="s">
        <v>23</v>
      </c>
      <c r="I466" t="s">
        <v>90</v>
      </c>
      <c r="J466" t="s">
        <v>54</v>
      </c>
      <c r="K466" t="s">
        <v>32</v>
      </c>
      <c r="L466" t="s">
        <v>47</v>
      </c>
      <c r="M466">
        <v>67</v>
      </c>
      <c r="N466">
        <v>180</v>
      </c>
      <c r="O466">
        <v>11818.8</v>
      </c>
      <c r="P466">
        <v>7705</v>
      </c>
      <c r="Q466">
        <v>4113.8</v>
      </c>
      <c r="R466">
        <v>0.02</v>
      </c>
      <c r="S466" t="s">
        <v>38</v>
      </c>
      <c r="T466">
        <v>793.84</v>
      </c>
    </row>
    <row r="467" spans="1:20" x14ac:dyDescent="0.25">
      <c r="A467">
        <v>100466</v>
      </c>
      <c r="B467" s="6">
        <v>45241</v>
      </c>
      <c r="C467">
        <v>2023</v>
      </c>
      <c r="D467" t="s">
        <v>43</v>
      </c>
      <c r="E467">
        <v>11</v>
      </c>
      <c r="F467" t="s">
        <v>87</v>
      </c>
      <c r="G467" t="s">
        <v>35</v>
      </c>
      <c r="H467" t="s">
        <v>23</v>
      </c>
      <c r="I467" t="s">
        <v>53</v>
      </c>
      <c r="J467" t="s">
        <v>54</v>
      </c>
      <c r="K467" t="s">
        <v>55</v>
      </c>
      <c r="L467" t="s">
        <v>89</v>
      </c>
      <c r="M467">
        <v>25</v>
      </c>
      <c r="N467">
        <v>280</v>
      </c>
      <c r="O467">
        <v>6650</v>
      </c>
      <c r="P467">
        <v>5125</v>
      </c>
      <c r="Q467">
        <v>1525</v>
      </c>
      <c r="R467">
        <v>0.05</v>
      </c>
      <c r="S467" t="s">
        <v>70</v>
      </c>
      <c r="T467">
        <v>377.88</v>
      </c>
    </row>
    <row r="468" spans="1:20" x14ac:dyDescent="0.25">
      <c r="A468">
        <v>100467</v>
      </c>
      <c r="B468" s="6">
        <v>45797</v>
      </c>
      <c r="C468">
        <v>2025</v>
      </c>
      <c r="D468" t="s">
        <v>20</v>
      </c>
      <c r="E468">
        <v>5</v>
      </c>
      <c r="F468" t="s">
        <v>21</v>
      </c>
      <c r="G468" t="s">
        <v>45</v>
      </c>
      <c r="H468" t="s">
        <v>23</v>
      </c>
      <c r="I468" t="s">
        <v>62</v>
      </c>
      <c r="J468" t="s">
        <v>66</v>
      </c>
      <c r="K468" t="s">
        <v>51</v>
      </c>
      <c r="L468" t="s">
        <v>76</v>
      </c>
      <c r="M468">
        <v>103</v>
      </c>
      <c r="N468">
        <v>40</v>
      </c>
      <c r="O468">
        <v>3996.4</v>
      </c>
      <c r="P468">
        <v>2369</v>
      </c>
      <c r="Q468">
        <v>1627.4</v>
      </c>
      <c r="R468">
        <v>0.03</v>
      </c>
      <c r="S468" t="s">
        <v>38</v>
      </c>
      <c r="T468">
        <v>208.18</v>
      </c>
    </row>
    <row r="469" spans="1:20" x14ac:dyDescent="0.25">
      <c r="A469">
        <v>100468</v>
      </c>
      <c r="B469" s="6">
        <v>45775</v>
      </c>
      <c r="C469">
        <v>2025</v>
      </c>
      <c r="D469" t="s">
        <v>20</v>
      </c>
      <c r="E469">
        <v>4</v>
      </c>
      <c r="F469" t="s">
        <v>34</v>
      </c>
      <c r="G469" t="s">
        <v>29</v>
      </c>
      <c r="H469" t="s">
        <v>23</v>
      </c>
      <c r="I469" t="s">
        <v>30</v>
      </c>
      <c r="J469" t="s">
        <v>50</v>
      </c>
      <c r="K469" t="s">
        <v>59</v>
      </c>
      <c r="L469" t="s">
        <v>60</v>
      </c>
      <c r="M469">
        <v>117</v>
      </c>
      <c r="N469">
        <v>45</v>
      </c>
      <c r="O469">
        <v>5107.05</v>
      </c>
      <c r="P469">
        <v>3159</v>
      </c>
      <c r="Q469">
        <v>1948.05</v>
      </c>
      <c r="R469">
        <v>0.03</v>
      </c>
      <c r="S469" t="s">
        <v>38</v>
      </c>
      <c r="T469">
        <v>90.72</v>
      </c>
    </row>
    <row r="470" spans="1:20" x14ac:dyDescent="0.25">
      <c r="A470">
        <v>100469</v>
      </c>
      <c r="B470" s="6">
        <v>45234</v>
      </c>
      <c r="C470">
        <v>2023</v>
      </c>
      <c r="D470" t="s">
        <v>43</v>
      </c>
      <c r="E470">
        <v>11</v>
      </c>
      <c r="F470" t="s">
        <v>87</v>
      </c>
      <c r="G470" t="s">
        <v>45</v>
      </c>
      <c r="H470" t="s">
        <v>23</v>
      </c>
      <c r="I470" t="s">
        <v>88</v>
      </c>
      <c r="J470" t="s">
        <v>54</v>
      </c>
      <c r="K470" t="s">
        <v>55</v>
      </c>
      <c r="L470" t="s">
        <v>56</v>
      </c>
      <c r="M470">
        <v>84</v>
      </c>
      <c r="N470">
        <v>320</v>
      </c>
      <c r="O470">
        <v>26073.599999999999</v>
      </c>
      <c r="P470">
        <v>19740</v>
      </c>
      <c r="Q470">
        <v>6333.6</v>
      </c>
      <c r="R470">
        <v>0.03</v>
      </c>
      <c r="S470" t="s">
        <v>70</v>
      </c>
      <c r="T470">
        <v>731.66</v>
      </c>
    </row>
    <row r="471" spans="1:20" x14ac:dyDescent="0.25">
      <c r="A471">
        <v>100470</v>
      </c>
      <c r="B471" s="6">
        <v>45900</v>
      </c>
      <c r="C471">
        <v>2025</v>
      </c>
      <c r="D471" t="s">
        <v>39</v>
      </c>
      <c r="E471">
        <v>8</v>
      </c>
      <c r="F471" t="s">
        <v>58</v>
      </c>
      <c r="G471" t="s">
        <v>45</v>
      </c>
      <c r="H471" t="s">
        <v>23</v>
      </c>
      <c r="I471" t="s">
        <v>46</v>
      </c>
      <c r="J471" t="s">
        <v>66</v>
      </c>
      <c r="K471" t="s">
        <v>32</v>
      </c>
      <c r="L471" t="s">
        <v>74</v>
      </c>
      <c r="M471">
        <v>21</v>
      </c>
      <c r="N471">
        <v>25</v>
      </c>
      <c r="O471">
        <v>509.25</v>
      </c>
      <c r="P471">
        <v>294</v>
      </c>
      <c r="Q471">
        <v>215.25</v>
      </c>
      <c r="R471">
        <v>0.03</v>
      </c>
      <c r="S471" t="s">
        <v>38</v>
      </c>
      <c r="T471">
        <v>30.09</v>
      </c>
    </row>
    <row r="472" spans="1:20" x14ac:dyDescent="0.25">
      <c r="A472">
        <v>100471</v>
      </c>
      <c r="B472" s="6">
        <v>45541</v>
      </c>
      <c r="C472">
        <v>2024</v>
      </c>
      <c r="D472" t="s">
        <v>39</v>
      </c>
      <c r="E472">
        <v>9</v>
      </c>
      <c r="F472" t="s">
        <v>40</v>
      </c>
      <c r="G472" t="s">
        <v>22</v>
      </c>
      <c r="H472" t="s">
        <v>23</v>
      </c>
      <c r="I472" t="s">
        <v>24</v>
      </c>
      <c r="J472" t="s">
        <v>66</v>
      </c>
      <c r="K472" t="s">
        <v>26</v>
      </c>
      <c r="L472" t="s">
        <v>82</v>
      </c>
      <c r="M472">
        <v>94</v>
      </c>
      <c r="N472">
        <v>105</v>
      </c>
      <c r="O472">
        <v>9080.4</v>
      </c>
      <c r="P472">
        <v>5734</v>
      </c>
      <c r="Q472">
        <v>3346.4</v>
      </c>
      <c r="R472">
        <v>0.08</v>
      </c>
      <c r="S472" t="s">
        <v>38</v>
      </c>
      <c r="T472">
        <v>599.35</v>
      </c>
    </row>
    <row r="473" spans="1:20" x14ac:dyDescent="0.25">
      <c r="A473">
        <v>100472</v>
      </c>
      <c r="B473" s="6">
        <v>45419</v>
      </c>
      <c r="C473">
        <v>2024</v>
      </c>
      <c r="D473" t="s">
        <v>20</v>
      </c>
      <c r="E473">
        <v>5</v>
      </c>
      <c r="F473" t="s">
        <v>21</v>
      </c>
      <c r="G473" t="s">
        <v>29</v>
      </c>
      <c r="H473" t="s">
        <v>23</v>
      </c>
      <c r="I473" t="s">
        <v>30</v>
      </c>
      <c r="J473" t="s">
        <v>25</v>
      </c>
      <c r="K473" t="s">
        <v>59</v>
      </c>
      <c r="L473" t="s">
        <v>60</v>
      </c>
      <c r="M473">
        <v>124</v>
      </c>
      <c r="N473">
        <v>45</v>
      </c>
      <c r="O473">
        <v>5468.4</v>
      </c>
      <c r="P473">
        <v>3348</v>
      </c>
      <c r="Q473">
        <v>2120.4</v>
      </c>
      <c r="R473">
        <v>0.02</v>
      </c>
      <c r="S473" t="s">
        <v>38</v>
      </c>
      <c r="T473">
        <v>91.08</v>
      </c>
    </row>
    <row r="474" spans="1:20" x14ac:dyDescent="0.25">
      <c r="A474">
        <v>100473</v>
      </c>
      <c r="B474" s="6">
        <v>45030</v>
      </c>
      <c r="C474">
        <v>2023</v>
      </c>
      <c r="D474" t="s">
        <v>20</v>
      </c>
      <c r="E474">
        <v>4</v>
      </c>
      <c r="F474" t="s">
        <v>34</v>
      </c>
      <c r="G474" t="s">
        <v>22</v>
      </c>
      <c r="H474" t="s">
        <v>23</v>
      </c>
      <c r="I474" t="s">
        <v>24</v>
      </c>
      <c r="J474" t="s">
        <v>68</v>
      </c>
      <c r="K474" t="s">
        <v>51</v>
      </c>
      <c r="L474" t="s">
        <v>92</v>
      </c>
      <c r="M474">
        <v>15</v>
      </c>
      <c r="N474">
        <v>50</v>
      </c>
      <c r="O474">
        <v>712.5</v>
      </c>
      <c r="P474">
        <v>435</v>
      </c>
      <c r="Q474">
        <v>277.5</v>
      </c>
      <c r="R474">
        <v>0.05</v>
      </c>
      <c r="S474" t="s">
        <v>70</v>
      </c>
      <c r="T474">
        <v>23.13</v>
      </c>
    </row>
    <row r="475" spans="1:20" x14ac:dyDescent="0.25">
      <c r="A475">
        <v>100474</v>
      </c>
      <c r="B475" s="6">
        <v>45219</v>
      </c>
      <c r="C475">
        <v>2023</v>
      </c>
      <c r="D475" t="s">
        <v>43</v>
      </c>
      <c r="E475">
        <v>10</v>
      </c>
      <c r="F475" t="s">
        <v>44</v>
      </c>
      <c r="G475" t="s">
        <v>22</v>
      </c>
      <c r="H475" t="s">
        <v>23</v>
      </c>
      <c r="I475" t="s">
        <v>65</v>
      </c>
      <c r="J475" t="s">
        <v>68</v>
      </c>
      <c r="K475" t="s">
        <v>26</v>
      </c>
      <c r="L475" t="s">
        <v>78</v>
      </c>
      <c r="M475">
        <v>52</v>
      </c>
      <c r="N475">
        <v>95</v>
      </c>
      <c r="O475">
        <v>4841.2</v>
      </c>
      <c r="P475">
        <v>3016</v>
      </c>
      <c r="Q475">
        <v>1825.2</v>
      </c>
      <c r="R475">
        <v>0.02</v>
      </c>
      <c r="S475" t="s">
        <v>57</v>
      </c>
      <c r="T475">
        <v>193.93</v>
      </c>
    </row>
    <row r="476" spans="1:20" x14ac:dyDescent="0.25">
      <c r="A476">
        <v>100475</v>
      </c>
      <c r="B476" s="6">
        <v>45626</v>
      </c>
      <c r="C476">
        <v>2024</v>
      </c>
      <c r="D476" t="s">
        <v>43</v>
      </c>
      <c r="E476">
        <v>11</v>
      </c>
      <c r="F476" t="s">
        <v>87</v>
      </c>
      <c r="G476" t="s">
        <v>35</v>
      </c>
      <c r="H476" t="s">
        <v>23</v>
      </c>
      <c r="I476" t="s">
        <v>53</v>
      </c>
      <c r="J476" t="s">
        <v>68</v>
      </c>
      <c r="K476" t="s">
        <v>51</v>
      </c>
      <c r="L476" t="s">
        <v>52</v>
      </c>
      <c r="M476">
        <v>113</v>
      </c>
      <c r="N476">
        <v>75</v>
      </c>
      <c r="O476">
        <v>8305.5</v>
      </c>
      <c r="P476">
        <v>4972</v>
      </c>
      <c r="Q476">
        <v>3333.5</v>
      </c>
      <c r="R476">
        <v>0.02</v>
      </c>
      <c r="S476" t="s">
        <v>38</v>
      </c>
      <c r="T476">
        <v>512.65</v>
      </c>
    </row>
    <row r="477" spans="1:20" x14ac:dyDescent="0.25">
      <c r="A477">
        <v>100476</v>
      </c>
      <c r="B477" s="6">
        <v>45535</v>
      </c>
      <c r="C477">
        <v>2024</v>
      </c>
      <c r="D477" t="s">
        <v>39</v>
      </c>
      <c r="E477">
        <v>8</v>
      </c>
      <c r="F477" t="s">
        <v>58</v>
      </c>
      <c r="G477" t="s">
        <v>22</v>
      </c>
      <c r="H477" t="s">
        <v>23</v>
      </c>
      <c r="I477" t="s">
        <v>65</v>
      </c>
      <c r="J477" t="s">
        <v>42</v>
      </c>
      <c r="K477" t="s">
        <v>32</v>
      </c>
      <c r="L477" t="s">
        <v>47</v>
      </c>
      <c r="M477">
        <v>123</v>
      </c>
      <c r="N477">
        <v>180</v>
      </c>
      <c r="O477">
        <v>19926</v>
      </c>
      <c r="P477">
        <v>14145</v>
      </c>
      <c r="Q477">
        <v>5781</v>
      </c>
      <c r="R477">
        <v>0.1</v>
      </c>
      <c r="S477" t="s">
        <v>38</v>
      </c>
      <c r="T477">
        <v>366.63</v>
      </c>
    </row>
    <row r="478" spans="1:20" x14ac:dyDescent="0.25">
      <c r="A478">
        <v>100477</v>
      </c>
      <c r="B478" s="6">
        <v>45110</v>
      </c>
      <c r="C478">
        <v>2023</v>
      </c>
      <c r="D478" t="s">
        <v>39</v>
      </c>
      <c r="E478">
        <v>7</v>
      </c>
      <c r="F478" t="s">
        <v>75</v>
      </c>
      <c r="G478" t="s">
        <v>29</v>
      </c>
      <c r="H478" t="s">
        <v>23</v>
      </c>
      <c r="I478" t="s">
        <v>30</v>
      </c>
      <c r="J478" t="s">
        <v>31</v>
      </c>
      <c r="K478" t="s">
        <v>32</v>
      </c>
      <c r="L478" t="s">
        <v>33</v>
      </c>
      <c r="M478">
        <v>34</v>
      </c>
      <c r="N478">
        <v>60</v>
      </c>
      <c r="O478">
        <v>1876.8</v>
      </c>
      <c r="P478">
        <v>1292</v>
      </c>
      <c r="Q478">
        <v>584.79999999999995</v>
      </c>
      <c r="R478">
        <v>0.08</v>
      </c>
      <c r="S478" t="s">
        <v>70</v>
      </c>
      <c r="T478">
        <v>47.7</v>
      </c>
    </row>
    <row r="479" spans="1:20" x14ac:dyDescent="0.25">
      <c r="A479">
        <v>100478</v>
      </c>
      <c r="B479" s="6">
        <v>45928</v>
      </c>
      <c r="C479">
        <v>2025</v>
      </c>
      <c r="D479" t="s">
        <v>39</v>
      </c>
      <c r="E479">
        <v>9</v>
      </c>
      <c r="F479" t="s">
        <v>40</v>
      </c>
      <c r="G479" t="s">
        <v>45</v>
      </c>
      <c r="H479" t="s">
        <v>23</v>
      </c>
      <c r="I479" t="s">
        <v>88</v>
      </c>
      <c r="J479" t="s">
        <v>25</v>
      </c>
      <c r="K479" t="s">
        <v>59</v>
      </c>
      <c r="L479" t="s">
        <v>91</v>
      </c>
      <c r="M479">
        <v>19</v>
      </c>
      <c r="N479">
        <v>140</v>
      </c>
      <c r="O479">
        <v>2660</v>
      </c>
      <c r="P479">
        <v>1558</v>
      </c>
      <c r="Q479">
        <v>1102</v>
      </c>
      <c r="R479">
        <v>0</v>
      </c>
      <c r="S479" t="s">
        <v>57</v>
      </c>
      <c r="T479">
        <v>82.95</v>
      </c>
    </row>
    <row r="480" spans="1:20" x14ac:dyDescent="0.25">
      <c r="A480">
        <v>100479</v>
      </c>
      <c r="B480" s="6">
        <v>45390</v>
      </c>
      <c r="C480">
        <v>2024</v>
      </c>
      <c r="D480" t="s">
        <v>20</v>
      </c>
      <c r="E480">
        <v>4</v>
      </c>
      <c r="F480" t="s">
        <v>34</v>
      </c>
      <c r="G480" t="s">
        <v>45</v>
      </c>
      <c r="H480" t="s">
        <v>23</v>
      </c>
      <c r="I480" t="s">
        <v>90</v>
      </c>
      <c r="J480" t="s">
        <v>54</v>
      </c>
      <c r="K480" t="s">
        <v>59</v>
      </c>
      <c r="L480" t="s">
        <v>60</v>
      </c>
      <c r="M480">
        <v>53</v>
      </c>
      <c r="N480">
        <v>45</v>
      </c>
      <c r="O480">
        <v>2313.4499999999998</v>
      </c>
      <c r="P480">
        <v>1431</v>
      </c>
      <c r="Q480">
        <v>882.45</v>
      </c>
      <c r="R480">
        <v>0.03</v>
      </c>
      <c r="S480" t="s">
        <v>38</v>
      </c>
      <c r="T480">
        <v>85.9</v>
      </c>
    </row>
    <row r="481" spans="1:20" x14ac:dyDescent="0.25">
      <c r="A481">
        <v>100480</v>
      </c>
      <c r="B481" s="6">
        <v>45066</v>
      </c>
      <c r="C481">
        <v>2023</v>
      </c>
      <c r="D481" t="s">
        <v>20</v>
      </c>
      <c r="E481">
        <v>5</v>
      </c>
      <c r="F481" t="s">
        <v>21</v>
      </c>
      <c r="G481" t="s">
        <v>22</v>
      </c>
      <c r="H481" t="s">
        <v>23</v>
      </c>
      <c r="I481" t="s">
        <v>65</v>
      </c>
      <c r="J481" t="s">
        <v>66</v>
      </c>
      <c r="K481" t="s">
        <v>51</v>
      </c>
      <c r="L481" t="s">
        <v>52</v>
      </c>
      <c r="M481">
        <v>121</v>
      </c>
      <c r="N481">
        <v>75</v>
      </c>
      <c r="O481">
        <v>8893.5</v>
      </c>
      <c r="P481">
        <v>5324</v>
      </c>
      <c r="Q481">
        <v>3569.5</v>
      </c>
      <c r="R481">
        <v>0.02</v>
      </c>
      <c r="S481" t="s">
        <v>28</v>
      </c>
      <c r="T481">
        <v>226.64</v>
      </c>
    </row>
    <row r="482" spans="1:20" x14ac:dyDescent="0.25">
      <c r="A482">
        <v>100481</v>
      </c>
      <c r="B482" s="6">
        <v>45075</v>
      </c>
      <c r="C482">
        <v>2023</v>
      </c>
      <c r="D482" t="s">
        <v>20</v>
      </c>
      <c r="E482">
        <v>5</v>
      </c>
      <c r="F482" t="s">
        <v>21</v>
      </c>
      <c r="G482" t="s">
        <v>45</v>
      </c>
      <c r="H482" t="s">
        <v>23</v>
      </c>
      <c r="I482" t="s">
        <v>62</v>
      </c>
      <c r="J482" t="s">
        <v>68</v>
      </c>
      <c r="K482" t="s">
        <v>26</v>
      </c>
      <c r="L482" t="s">
        <v>78</v>
      </c>
      <c r="M482">
        <v>125</v>
      </c>
      <c r="N482">
        <v>95</v>
      </c>
      <c r="O482">
        <v>11637.5</v>
      </c>
      <c r="P482">
        <v>7250</v>
      </c>
      <c r="Q482">
        <v>4387.5</v>
      </c>
      <c r="R482">
        <v>0.02</v>
      </c>
      <c r="S482" t="s">
        <v>38</v>
      </c>
      <c r="T482">
        <v>490</v>
      </c>
    </row>
    <row r="483" spans="1:20" x14ac:dyDescent="0.25">
      <c r="A483">
        <v>100482</v>
      </c>
      <c r="B483" s="6">
        <v>45901</v>
      </c>
      <c r="C483">
        <v>2025</v>
      </c>
      <c r="D483" t="s">
        <v>39</v>
      </c>
      <c r="E483">
        <v>9</v>
      </c>
      <c r="F483" t="s">
        <v>40</v>
      </c>
      <c r="G483" t="s">
        <v>35</v>
      </c>
      <c r="H483" t="s">
        <v>23</v>
      </c>
      <c r="I483" t="s">
        <v>77</v>
      </c>
      <c r="J483" t="s">
        <v>31</v>
      </c>
      <c r="K483" t="s">
        <v>32</v>
      </c>
      <c r="L483" t="s">
        <v>37</v>
      </c>
      <c r="M483">
        <v>131</v>
      </c>
      <c r="N483">
        <v>120</v>
      </c>
      <c r="O483">
        <v>15248.4</v>
      </c>
      <c r="P483">
        <v>10218</v>
      </c>
      <c r="Q483">
        <v>5030.3999999999996</v>
      </c>
      <c r="R483">
        <v>0.03</v>
      </c>
      <c r="S483" t="s">
        <v>38</v>
      </c>
      <c r="T483">
        <v>985.55</v>
      </c>
    </row>
    <row r="484" spans="1:20" x14ac:dyDescent="0.25">
      <c r="A484">
        <v>100483</v>
      </c>
      <c r="B484" s="6">
        <v>45397</v>
      </c>
      <c r="C484">
        <v>2024</v>
      </c>
      <c r="D484" t="s">
        <v>20</v>
      </c>
      <c r="E484">
        <v>4</v>
      </c>
      <c r="F484" t="s">
        <v>34</v>
      </c>
      <c r="G484" t="s">
        <v>29</v>
      </c>
      <c r="H484" t="s">
        <v>23</v>
      </c>
      <c r="I484" t="s">
        <v>30</v>
      </c>
      <c r="J484" t="s">
        <v>68</v>
      </c>
      <c r="K484" t="s">
        <v>55</v>
      </c>
      <c r="L484" t="s">
        <v>56</v>
      </c>
      <c r="M484">
        <v>113</v>
      </c>
      <c r="N484">
        <v>320</v>
      </c>
      <c r="O484">
        <v>34352</v>
      </c>
      <c r="P484">
        <v>26555</v>
      </c>
      <c r="Q484">
        <v>7797</v>
      </c>
      <c r="R484">
        <v>0.05</v>
      </c>
      <c r="S484" t="s">
        <v>70</v>
      </c>
      <c r="T484">
        <v>2212.66</v>
      </c>
    </row>
    <row r="485" spans="1:20" x14ac:dyDescent="0.25">
      <c r="A485">
        <v>100484</v>
      </c>
      <c r="B485" s="6">
        <v>45935</v>
      </c>
      <c r="C485">
        <v>2025</v>
      </c>
      <c r="D485" t="s">
        <v>43</v>
      </c>
      <c r="E485">
        <v>10</v>
      </c>
      <c r="F485" t="s">
        <v>44</v>
      </c>
      <c r="G485" t="s">
        <v>29</v>
      </c>
      <c r="H485" t="s">
        <v>23</v>
      </c>
      <c r="I485" t="s">
        <v>30</v>
      </c>
      <c r="J485" t="s">
        <v>61</v>
      </c>
      <c r="K485" t="s">
        <v>51</v>
      </c>
      <c r="L485" t="s">
        <v>72</v>
      </c>
      <c r="M485">
        <v>14</v>
      </c>
      <c r="N485">
        <v>90</v>
      </c>
      <c r="O485">
        <v>1260</v>
      </c>
      <c r="P485">
        <v>728</v>
      </c>
      <c r="Q485">
        <v>532</v>
      </c>
      <c r="R485">
        <v>0</v>
      </c>
      <c r="S485" t="s">
        <v>38</v>
      </c>
      <c r="T485">
        <v>24.14</v>
      </c>
    </row>
    <row r="486" spans="1:20" x14ac:dyDescent="0.25">
      <c r="A486">
        <v>100485</v>
      </c>
      <c r="B486" s="6">
        <v>45796</v>
      </c>
      <c r="C486">
        <v>2025</v>
      </c>
      <c r="D486" t="s">
        <v>20</v>
      </c>
      <c r="E486">
        <v>5</v>
      </c>
      <c r="F486" t="s">
        <v>21</v>
      </c>
      <c r="G486" t="s">
        <v>45</v>
      </c>
      <c r="H486" t="s">
        <v>23</v>
      </c>
      <c r="I486" t="s">
        <v>46</v>
      </c>
      <c r="J486" t="s">
        <v>66</v>
      </c>
      <c r="K486" t="s">
        <v>32</v>
      </c>
      <c r="L486" t="s">
        <v>47</v>
      </c>
      <c r="M486">
        <v>11</v>
      </c>
      <c r="N486">
        <v>180</v>
      </c>
      <c r="O486">
        <v>1881</v>
      </c>
      <c r="P486">
        <v>1265</v>
      </c>
      <c r="Q486">
        <v>616</v>
      </c>
      <c r="R486">
        <v>0.05</v>
      </c>
      <c r="S486" t="s">
        <v>28</v>
      </c>
      <c r="T486">
        <v>31.57</v>
      </c>
    </row>
    <row r="487" spans="1:20" x14ac:dyDescent="0.25">
      <c r="A487">
        <v>100486</v>
      </c>
      <c r="B487" s="6">
        <v>45034</v>
      </c>
      <c r="C487">
        <v>2023</v>
      </c>
      <c r="D487" t="s">
        <v>20</v>
      </c>
      <c r="E487">
        <v>4</v>
      </c>
      <c r="F487" t="s">
        <v>34</v>
      </c>
      <c r="G487" t="s">
        <v>29</v>
      </c>
      <c r="H487" t="s">
        <v>23</v>
      </c>
      <c r="I487" t="s">
        <v>30</v>
      </c>
      <c r="J487" t="s">
        <v>42</v>
      </c>
      <c r="K487" t="s">
        <v>32</v>
      </c>
      <c r="L487" t="s">
        <v>74</v>
      </c>
      <c r="M487">
        <v>134</v>
      </c>
      <c r="N487">
        <v>25</v>
      </c>
      <c r="O487">
        <v>3082</v>
      </c>
      <c r="P487">
        <v>1876</v>
      </c>
      <c r="Q487">
        <v>1206</v>
      </c>
      <c r="R487">
        <v>0.08</v>
      </c>
      <c r="S487" t="s">
        <v>38</v>
      </c>
      <c r="T487">
        <v>212.95</v>
      </c>
    </row>
    <row r="488" spans="1:20" x14ac:dyDescent="0.25">
      <c r="A488">
        <v>100487</v>
      </c>
      <c r="B488" s="6">
        <v>45624</v>
      </c>
      <c r="C488">
        <v>2024</v>
      </c>
      <c r="D488" t="s">
        <v>43</v>
      </c>
      <c r="E488">
        <v>11</v>
      </c>
      <c r="F488" t="s">
        <v>87</v>
      </c>
      <c r="G488" t="s">
        <v>45</v>
      </c>
      <c r="H488" t="s">
        <v>23</v>
      </c>
      <c r="I488" t="s">
        <v>62</v>
      </c>
      <c r="J488" t="s">
        <v>54</v>
      </c>
      <c r="K488" t="s">
        <v>51</v>
      </c>
      <c r="L488" t="s">
        <v>52</v>
      </c>
      <c r="M488">
        <v>40</v>
      </c>
      <c r="N488">
        <v>75</v>
      </c>
      <c r="O488">
        <v>3000</v>
      </c>
      <c r="P488">
        <v>1760</v>
      </c>
      <c r="Q488">
        <v>1240</v>
      </c>
      <c r="R488">
        <v>0</v>
      </c>
      <c r="S488" t="s">
        <v>38</v>
      </c>
      <c r="T488">
        <v>159.18</v>
      </c>
    </row>
    <row r="489" spans="1:20" x14ac:dyDescent="0.25">
      <c r="A489">
        <v>100488</v>
      </c>
      <c r="B489" s="6">
        <v>45037</v>
      </c>
      <c r="C489">
        <v>2023</v>
      </c>
      <c r="D489" t="s">
        <v>20</v>
      </c>
      <c r="E489">
        <v>4</v>
      </c>
      <c r="F489" t="s">
        <v>34</v>
      </c>
      <c r="G489" t="s">
        <v>45</v>
      </c>
      <c r="H489" t="s">
        <v>23</v>
      </c>
      <c r="I489" t="s">
        <v>46</v>
      </c>
      <c r="J489" t="s">
        <v>61</v>
      </c>
      <c r="K489" t="s">
        <v>32</v>
      </c>
      <c r="L489" t="s">
        <v>33</v>
      </c>
      <c r="M489">
        <v>88</v>
      </c>
      <c r="N489">
        <v>60</v>
      </c>
      <c r="O489">
        <v>4857.6000000000004</v>
      </c>
      <c r="P489">
        <v>3344</v>
      </c>
      <c r="Q489">
        <v>1513.6</v>
      </c>
      <c r="R489">
        <v>0.08</v>
      </c>
      <c r="S489" t="s">
        <v>57</v>
      </c>
      <c r="T489">
        <v>200.4</v>
      </c>
    </row>
    <row r="490" spans="1:20" x14ac:dyDescent="0.25">
      <c r="A490">
        <v>100489</v>
      </c>
      <c r="B490" s="6">
        <v>45628</v>
      </c>
      <c r="C490">
        <v>2024</v>
      </c>
      <c r="D490" t="s">
        <v>43</v>
      </c>
      <c r="E490">
        <v>12</v>
      </c>
      <c r="F490" t="s">
        <v>83</v>
      </c>
      <c r="G490" t="s">
        <v>22</v>
      </c>
      <c r="H490" t="s">
        <v>23</v>
      </c>
      <c r="I490" t="s">
        <v>71</v>
      </c>
      <c r="J490" t="s">
        <v>66</v>
      </c>
      <c r="K490" t="s">
        <v>51</v>
      </c>
      <c r="L490" t="s">
        <v>76</v>
      </c>
      <c r="M490">
        <v>150</v>
      </c>
      <c r="N490">
        <v>40</v>
      </c>
      <c r="O490">
        <v>6000</v>
      </c>
      <c r="P490">
        <v>3450</v>
      </c>
      <c r="Q490">
        <v>2550</v>
      </c>
      <c r="R490">
        <v>0</v>
      </c>
      <c r="S490" t="s">
        <v>28</v>
      </c>
      <c r="T490">
        <v>244.01</v>
      </c>
    </row>
    <row r="491" spans="1:20" x14ac:dyDescent="0.25">
      <c r="A491">
        <v>100490</v>
      </c>
      <c r="B491" s="6">
        <v>45089</v>
      </c>
      <c r="C491">
        <v>2023</v>
      </c>
      <c r="D491" t="s">
        <v>20</v>
      </c>
      <c r="E491">
        <v>6</v>
      </c>
      <c r="F491" t="s">
        <v>48</v>
      </c>
      <c r="G491" t="s">
        <v>35</v>
      </c>
      <c r="H491" t="s">
        <v>23</v>
      </c>
      <c r="I491" t="s">
        <v>36</v>
      </c>
      <c r="J491" t="s">
        <v>54</v>
      </c>
      <c r="K491" t="s">
        <v>51</v>
      </c>
      <c r="L491" t="s">
        <v>92</v>
      </c>
      <c r="M491">
        <v>63</v>
      </c>
      <c r="N491">
        <v>50</v>
      </c>
      <c r="O491">
        <v>2992.5</v>
      </c>
      <c r="P491">
        <v>1827</v>
      </c>
      <c r="Q491">
        <v>1165.5</v>
      </c>
      <c r="R491">
        <v>0.05</v>
      </c>
      <c r="S491" t="s">
        <v>38</v>
      </c>
      <c r="T491">
        <v>173.51</v>
      </c>
    </row>
    <row r="492" spans="1:20" x14ac:dyDescent="0.25">
      <c r="A492">
        <v>100491</v>
      </c>
      <c r="B492" s="6">
        <v>45601</v>
      </c>
      <c r="C492">
        <v>2024</v>
      </c>
      <c r="D492" t="s">
        <v>43</v>
      </c>
      <c r="E492">
        <v>11</v>
      </c>
      <c r="F492" t="s">
        <v>87</v>
      </c>
      <c r="G492" t="s">
        <v>29</v>
      </c>
      <c r="H492" t="s">
        <v>23</v>
      </c>
      <c r="I492" t="s">
        <v>85</v>
      </c>
      <c r="J492" t="s">
        <v>54</v>
      </c>
      <c r="K492" t="s">
        <v>26</v>
      </c>
      <c r="L492" t="s">
        <v>78</v>
      </c>
      <c r="M492">
        <v>58</v>
      </c>
      <c r="N492">
        <v>95</v>
      </c>
      <c r="O492">
        <v>5344.7</v>
      </c>
      <c r="P492">
        <v>3364</v>
      </c>
      <c r="Q492">
        <v>1980.7</v>
      </c>
      <c r="R492">
        <v>0.03</v>
      </c>
      <c r="S492" t="s">
        <v>70</v>
      </c>
      <c r="T492">
        <v>257.04000000000002</v>
      </c>
    </row>
    <row r="493" spans="1:20" x14ac:dyDescent="0.25">
      <c r="A493">
        <v>100492</v>
      </c>
      <c r="B493" s="6">
        <v>45316</v>
      </c>
      <c r="C493">
        <v>2024</v>
      </c>
      <c r="D493" t="s">
        <v>63</v>
      </c>
      <c r="E493">
        <v>1</v>
      </c>
      <c r="F493" t="s">
        <v>79</v>
      </c>
      <c r="G493" t="s">
        <v>35</v>
      </c>
      <c r="H493" t="s">
        <v>23</v>
      </c>
      <c r="I493" t="s">
        <v>53</v>
      </c>
      <c r="J493" t="s">
        <v>61</v>
      </c>
      <c r="K493" t="s">
        <v>59</v>
      </c>
      <c r="L493" t="s">
        <v>86</v>
      </c>
      <c r="M493">
        <v>141</v>
      </c>
      <c r="N493">
        <v>160</v>
      </c>
      <c r="O493">
        <v>21432</v>
      </c>
      <c r="P493">
        <v>13395</v>
      </c>
      <c r="Q493">
        <v>8037</v>
      </c>
      <c r="R493">
        <v>0.05</v>
      </c>
      <c r="S493" t="s">
        <v>38</v>
      </c>
      <c r="T493">
        <v>1164</v>
      </c>
    </row>
    <row r="494" spans="1:20" x14ac:dyDescent="0.25">
      <c r="A494">
        <v>100493</v>
      </c>
      <c r="B494" s="6">
        <v>45482</v>
      </c>
      <c r="C494">
        <v>2024</v>
      </c>
      <c r="D494" t="s">
        <v>39</v>
      </c>
      <c r="E494">
        <v>7</v>
      </c>
      <c r="F494" t="s">
        <v>75</v>
      </c>
      <c r="G494" t="s">
        <v>22</v>
      </c>
      <c r="H494" t="s">
        <v>23</v>
      </c>
      <c r="I494" t="s">
        <v>24</v>
      </c>
      <c r="J494" t="s">
        <v>25</v>
      </c>
      <c r="K494" t="s">
        <v>59</v>
      </c>
      <c r="L494" t="s">
        <v>67</v>
      </c>
      <c r="M494">
        <v>90</v>
      </c>
      <c r="N494">
        <v>95</v>
      </c>
      <c r="O494">
        <v>8122.5</v>
      </c>
      <c r="P494">
        <v>5040</v>
      </c>
      <c r="Q494">
        <v>3082.5</v>
      </c>
      <c r="R494">
        <v>0.05</v>
      </c>
      <c r="S494" t="s">
        <v>70</v>
      </c>
      <c r="T494">
        <v>225.25</v>
      </c>
    </row>
    <row r="495" spans="1:20" x14ac:dyDescent="0.25">
      <c r="A495">
        <v>100494</v>
      </c>
      <c r="B495" s="6">
        <v>45358</v>
      </c>
      <c r="C495">
        <v>2024</v>
      </c>
      <c r="D495" t="s">
        <v>63</v>
      </c>
      <c r="E495">
        <v>3</v>
      </c>
      <c r="F495" t="s">
        <v>64</v>
      </c>
      <c r="G495" t="s">
        <v>29</v>
      </c>
      <c r="H495" t="s">
        <v>23</v>
      </c>
      <c r="I495" t="s">
        <v>49</v>
      </c>
      <c r="J495" t="s">
        <v>31</v>
      </c>
      <c r="K495" t="s">
        <v>51</v>
      </c>
      <c r="L495" t="s">
        <v>92</v>
      </c>
      <c r="M495">
        <v>80</v>
      </c>
      <c r="N495">
        <v>50</v>
      </c>
      <c r="O495">
        <v>3920</v>
      </c>
      <c r="P495">
        <v>2320</v>
      </c>
      <c r="Q495">
        <v>1600</v>
      </c>
      <c r="R495">
        <v>0.02</v>
      </c>
      <c r="S495" t="s">
        <v>57</v>
      </c>
      <c r="T495">
        <v>81.63</v>
      </c>
    </row>
    <row r="496" spans="1:20" x14ac:dyDescent="0.25">
      <c r="A496">
        <v>100495</v>
      </c>
      <c r="B496" s="6">
        <v>45752</v>
      </c>
      <c r="C496">
        <v>2025</v>
      </c>
      <c r="D496" t="s">
        <v>20</v>
      </c>
      <c r="E496">
        <v>4</v>
      </c>
      <c r="F496" t="s">
        <v>34</v>
      </c>
      <c r="G496" t="s">
        <v>29</v>
      </c>
      <c r="H496" t="s">
        <v>23</v>
      </c>
      <c r="I496" t="s">
        <v>85</v>
      </c>
      <c r="J496" t="s">
        <v>31</v>
      </c>
      <c r="K496" t="s">
        <v>51</v>
      </c>
      <c r="L496" t="s">
        <v>52</v>
      </c>
      <c r="M496">
        <v>77</v>
      </c>
      <c r="N496">
        <v>75</v>
      </c>
      <c r="O496">
        <v>5601.75</v>
      </c>
      <c r="P496">
        <v>3388</v>
      </c>
      <c r="Q496">
        <v>2213.75</v>
      </c>
      <c r="R496">
        <v>0.03</v>
      </c>
      <c r="S496" t="s">
        <v>38</v>
      </c>
      <c r="T496">
        <v>93.01</v>
      </c>
    </row>
    <row r="497" spans="1:20" x14ac:dyDescent="0.25">
      <c r="A497">
        <v>100496</v>
      </c>
      <c r="B497" s="6">
        <v>45355</v>
      </c>
      <c r="C497">
        <v>2024</v>
      </c>
      <c r="D497" t="s">
        <v>63</v>
      </c>
      <c r="E497">
        <v>3</v>
      </c>
      <c r="F497" t="s">
        <v>64</v>
      </c>
      <c r="G497" t="s">
        <v>35</v>
      </c>
      <c r="H497" t="s">
        <v>23</v>
      </c>
      <c r="I497" t="s">
        <v>80</v>
      </c>
      <c r="J497" t="s">
        <v>54</v>
      </c>
      <c r="K497" t="s">
        <v>59</v>
      </c>
      <c r="L497" t="s">
        <v>86</v>
      </c>
      <c r="M497">
        <v>40</v>
      </c>
      <c r="N497">
        <v>160</v>
      </c>
      <c r="O497">
        <v>6400</v>
      </c>
      <c r="P497">
        <v>3800</v>
      </c>
      <c r="Q497">
        <v>2600</v>
      </c>
      <c r="R497">
        <v>0</v>
      </c>
      <c r="S497" t="s">
        <v>57</v>
      </c>
      <c r="T497">
        <v>207.83</v>
      </c>
    </row>
    <row r="498" spans="1:20" x14ac:dyDescent="0.25">
      <c r="A498">
        <v>100497</v>
      </c>
      <c r="B498" s="6">
        <v>45127</v>
      </c>
      <c r="C498">
        <v>2023</v>
      </c>
      <c r="D498" t="s">
        <v>39</v>
      </c>
      <c r="E498">
        <v>7</v>
      </c>
      <c r="F498" t="s">
        <v>75</v>
      </c>
      <c r="G498" t="s">
        <v>22</v>
      </c>
      <c r="H498" t="s">
        <v>23</v>
      </c>
      <c r="I498" t="s">
        <v>71</v>
      </c>
      <c r="J498" t="s">
        <v>42</v>
      </c>
      <c r="K498" t="s">
        <v>26</v>
      </c>
      <c r="L498" t="s">
        <v>69</v>
      </c>
      <c r="M498">
        <v>117</v>
      </c>
      <c r="N498">
        <v>130</v>
      </c>
      <c r="O498">
        <v>13993.2</v>
      </c>
      <c r="P498">
        <v>8892</v>
      </c>
      <c r="Q498">
        <v>5101.2</v>
      </c>
      <c r="R498">
        <v>0.08</v>
      </c>
      <c r="S498" t="s">
        <v>38</v>
      </c>
      <c r="T498">
        <v>698.93</v>
      </c>
    </row>
    <row r="499" spans="1:20" x14ac:dyDescent="0.25">
      <c r="A499">
        <v>100498</v>
      </c>
      <c r="B499" s="6">
        <v>45724</v>
      </c>
      <c r="C499">
        <v>2025</v>
      </c>
      <c r="D499" t="s">
        <v>63</v>
      </c>
      <c r="E499">
        <v>3</v>
      </c>
      <c r="F499" t="s">
        <v>64</v>
      </c>
      <c r="G499" t="s">
        <v>35</v>
      </c>
      <c r="H499" t="s">
        <v>23</v>
      </c>
      <c r="I499" t="s">
        <v>36</v>
      </c>
      <c r="J499" t="s">
        <v>25</v>
      </c>
      <c r="K499" t="s">
        <v>59</v>
      </c>
      <c r="L499" t="s">
        <v>60</v>
      </c>
      <c r="M499">
        <v>126</v>
      </c>
      <c r="N499">
        <v>45</v>
      </c>
      <c r="O499">
        <v>5499.9</v>
      </c>
      <c r="P499">
        <v>3402</v>
      </c>
      <c r="Q499">
        <v>2097.9</v>
      </c>
      <c r="R499">
        <v>0.03</v>
      </c>
      <c r="S499" t="s">
        <v>28</v>
      </c>
      <c r="T499">
        <v>303.77</v>
      </c>
    </row>
    <row r="500" spans="1:20" x14ac:dyDescent="0.25">
      <c r="A500">
        <v>100499</v>
      </c>
      <c r="B500" s="6">
        <v>45589</v>
      </c>
      <c r="C500">
        <v>2024</v>
      </c>
      <c r="D500" t="s">
        <v>43</v>
      </c>
      <c r="E500">
        <v>10</v>
      </c>
      <c r="F500" t="s">
        <v>44</v>
      </c>
      <c r="G500" t="s">
        <v>45</v>
      </c>
      <c r="H500" t="s">
        <v>23</v>
      </c>
      <c r="I500" t="s">
        <v>88</v>
      </c>
      <c r="J500" t="s">
        <v>31</v>
      </c>
      <c r="K500" t="s">
        <v>59</v>
      </c>
      <c r="L500" t="s">
        <v>86</v>
      </c>
      <c r="M500">
        <v>117</v>
      </c>
      <c r="N500">
        <v>160</v>
      </c>
      <c r="O500">
        <v>18158.400000000001</v>
      </c>
      <c r="P500">
        <v>11115</v>
      </c>
      <c r="Q500">
        <v>7043.4</v>
      </c>
      <c r="R500">
        <v>0.03</v>
      </c>
      <c r="S500" t="s">
        <v>70</v>
      </c>
      <c r="T500">
        <v>1186.26</v>
      </c>
    </row>
    <row r="501" spans="1:20" x14ac:dyDescent="0.25">
      <c r="A501">
        <v>100500</v>
      </c>
      <c r="B501" s="6">
        <v>45534</v>
      </c>
      <c r="C501">
        <v>2024</v>
      </c>
      <c r="D501" t="s">
        <v>39</v>
      </c>
      <c r="E501">
        <v>8</v>
      </c>
      <c r="F501" t="s">
        <v>58</v>
      </c>
      <c r="G501" t="s">
        <v>45</v>
      </c>
      <c r="H501" t="s">
        <v>23</v>
      </c>
      <c r="I501" t="s">
        <v>46</v>
      </c>
      <c r="J501" t="s">
        <v>68</v>
      </c>
      <c r="K501" t="s">
        <v>55</v>
      </c>
      <c r="L501" t="s">
        <v>84</v>
      </c>
      <c r="M501">
        <v>121</v>
      </c>
      <c r="N501">
        <v>55</v>
      </c>
      <c r="O501">
        <v>6122.6</v>
      </c>
      <c r="P501">
        <v>4477</v>
      </c>
      <c r="Q501">
        <v>1645.6</v>
      </c>
      <c r="R501">
        <v>0.08</v>
      </c>
      <c r="S501" t="s">
        <v>38</v>
      </c>
      <c r="T501">
        <v>280.20999999999998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1"/>
  <sheetViews>
    <sheetView workbookViewId="0">
      <selection sqref="A1:T501"/>
    </sheetView>
  </sheetViews>
  <sheetFormatPr defaultRowHeight="15" x14ac:dyDescent="0.25"/>
  <cols>
    <col min="1" max="1" width="11.140625" customWidth="1"/>
    <col min="2" max="2" width="13.42578125" customWidth="1"/>
    <col min="4" max="4" width="10" customWidth="1"/>
    <col min="6" max="6" width="15.42578125" customWidth="1"/>
    <col min="7" max="7" width="9.28515625" customWidth="1"/>
    <col min="8" max="8" width="10.140625" customWidth="1"/>
    <col min="10" max="10" width="14.85546875" customWidth="1"/>
    <col min="11" max="11" width="11" customWidth="1"/>
    <col min="12" max="12" width="10" customWidth="1"/>
    <col min="13" max="13" width="10.85546875" customWidth="1"/>
    <col min="14" max="14" width="12.42578125" customWidth="1"/>
    <col min="18" max="18" width="10.85546875" customWidth="1"/>
    <col min="19" max="19" width="20.5703125" customWidth="1"/>
    <col min="20" max="20" width="18.855468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100001</v>
      </c>
      <c r="B2" s="6">
        <v>45787</v>
      </c>
      <c r="C2">
        <v>2025</v>
      </c>
      <c r="D2" t="s">
        <v>20</v>
      </c>
      <c r="E2">
        <v>5</v>
      </c>
      <c r="F2" t="s">
        <v>21</v>
      </c>
      <c r="G2" t="s">
        <v>22</v>
      </c>
      <c r="H2" t="s">
        <v>23</v>
      </c>
      <c r="I2" t="s">
        <v>24</v>
      </c>
      <c r="J2" t="s">
        <v>25</v>
      </c>
      <c r="K2" t="s">
        <v>26</v>
      </c>
      <c r="L2" t="s">
        <v>27</v>
      </c>
      <c r="M2">
        <v>112</v>
      </c>
      <c r="N2">
        <v>110</v>
      </c>
      <c r="O2">
        <v>11950.4</v>
      </c>
      <c r="P2">
        <v>7616</v>
      </c>
      <c r="Q2">
        <v>4334.3999999999996</v>
      </c>
      <c r="R2">
        <v>0.03</v>
      </c>
      <c r="S2" t="s">
        <v>28</v>
      </c>
      <c r="T2">
        <v>244.97</v>
      </c>
    </row>
    <row r="3" spans="1:20" x14ac:dyDescent="0.25">
      <c r="A3">
        <v>100002</v>
      </c>
      <c r="B3" s="6">
        <v>45798</v>
      </c>
      <c r="C3">
        <v>2025</v>
      </c>
      <c r="D3" t="s">
        <v>20</v>
      </c>
      <c r="E3">
        <v>5</v>
      </c>
      <c r="F3" t="s">
        <v>21</v>
      </c>
      <c r="G3" t="s">
        <v>29</v>
      </c>
      <c r="H3" t="s">
        <v>23</v>
      </c>
      <c r="I3" t="s">
        <v>30</v>
      </c>
      <c r="J3" t="s">
        <v>31</v>
      </c>
      <c r="K3" t="s">
        <v>32</v>
      </c>
      <c r="L3" t="s">
        <v>33</v>
      </c>
      <c r="M3">
        <v>97</v>
      </c>
      <c r="N3">
        <v>60</v>
      </c>
      <c r="O3">
        <v>5354.4</v>
      </c>
      <c r="P3">
        <v>3686</v>
      </c>
      <c r="Q3">
        <v>1668.4</v>
      </c>
      <c r="R3">
        <v>0.08</v>
      </c>
      <c r="S3" t="s">
        <v>28</v>
      </c>
      <c r="T3">
        <v>142.85</v>
      </c>
    </row>
    <row r="4" spans="1:20" x14ac:dyDescent="0.25">
      <c r="A4">
        <v>100003</v>
      </c>
      <c r="B4" s="6">
        <v>45386</v>
      </c>
      <c r="C4">
        <v>2024</v>
      </c>
      <c r="D4" t="s">
        <v>20</v>
      </c>
      <c r="E4">
        <v>4</v>
      </c>
      <c r="F4" t="s">
        <v>34</v>
      </c>
      <c r="G4" t="s">
        <v>35</v>
      </c>
      <c r="H4" t="s">
        <v>23</v>
      </c>
      <c r="I4" t="s">
        <v>36</v>
      </c>
      <c r="J4" t="s">
        <v>31</v>
      </c>
      <c r="K4" t="s">
        <v>32</v>
      </c>
      <c r="L4" t="s">
        <v>37</v>
      </c>
      <c r="M4">
        <v>58</v>
      </c>
      <c r="N4">
        <v>120</v>
      </c>
      <c r="O4">
        <v>6751.2</v>
      </c>
      <c r="P4">
        <v>4524</v>
      </c>
      <c r="Q4">
        <v>2227.1999999999998</v>
      </c>
      <c r="R4">
        <v>0.03</v>
      </c>
      <c r="S4" t="s">
        <v>38</v>
      </c>
      <c r="T4">
        <v>249.74</v>
      </c>
    </row>
    <row r="5" spans="1:20" x14ac:dyDescent="0.25">
      <c r="A5">
        <v>100004</v>
      </c>
      <c r="B5" s="6">
        <v>45902</v>
      </c>
      <c r="C5">
        <v>2025</v>
      </c>
      <c r="D5" t="s">
        <v>39</v>
      </c>
      <c r="E5">
        <v>9</v>
      </c>
      <c r="F5" t="s">
        <v>40</v>
      </c>
      <c r="G5" t="s">
        <v>22</v>
      </c>
      <c r="H5" t="s">
        <v>23</v>
      </c>
      <c r="I5" t="s">
        <v>41</v>
      </c>
      <c r="J5" t="s">
        <v>42</v>
      </c>
      <c r="K5" t="s">
        <v>32</v>
      </c>
      <c r="L5" t="s">
        <v>33</v>
      </c>
      <c r="M5">
        <v>60</v>
      </c>
      <c r="N5">
        <v>60</v>
      </c>
      <c r="O5">
        <v>3492</v>
      </c>
      <c r="P5">
        <v>2280</v>
      </c>
      <c r="Q5">
        <v>1212</v>
      </c>
      <c r="R5">
        <v>0.03</v>
      </c>
      <c r="S5" t="s">
        <v>38</v>
      </c>
      <c r="T5">
        <v>241.22</v>
      </c>
    </row>
    <row r="6" spans="1:20" x14ac:dyDescent="0.25">
      <c r="A6">
        <v>100005</v>
      </c>
      <c r="B6" s="6">
        <v>45573</v>
      </c>
      <c r="C6">
        <v>2024</v>
      </c>
      <c r="D6" t="s">
        <v>43</v>
      </c>
      <c r="E6">
        <v>10</v>
      </c>
      <c r="F6" t="s">
        <v>44</v>
      </c>
      <c r="G6" t="s">
        <v>45</v>
      </c>
      <c r="H6" t="s">
        <v>23</v>
      </c>
      <c r="I6" t="s">
        <v>46</v>
      </c>
      <c r="J6" t="s">
        <v>42</v>
      </c>
      <c r="K6" t="s">
        <v>32</v>
      </c>
      <c r="L6" t="s">
        <v>47</v>
      </c>
      <c r="M6">
        <v>98</v>
      </c>
      <c r="N6">
        <v>180</v>
      </c>
      <c r="O6">
        <v>15876</v>
      </c>
      <c r="P6">
        <v>11270</v>
      </c>
      <c r="Q6">
        <v>4606</v>
      </c>
      <c r="R6">
        <v>0.1</v>
      </c>
      <c r="S6" t="s">
        <v>38</v>
      </c>
      <c r="T6">
        <v>944.02</v>
      </c>
    </row>
    <row r="7" spans="1:20" x14ac:dyDescent="0.25">
      <c r="A7">
        <v>100006</v>
      </c>
      <c r="B7" s="6">
        <v>45824</v>
      </c>
      <c r="C7">
        <v>2025</v>
      </c>
      <c r="D7" t="s">
        <v>20</v>
      </c>
      <c r="E7">
        <v>6</v>
      </c>
      <c r="F7" t="s">
        <v>48</v>
      </c>
      <c r="G7" t="s">
        <v>29</v>
      </c>
      <c r="H7" t="s">
        <v>23</v>
      </c>
      <c r="I7" t="s">
        <v>49</v>
      </c>
      <c r="J7" t="s">
        <v>50</v>
      </c>
      <c r="K7" t="s">
        <v>51</v>
      </c>
      <c r="L7" t="s">
        <v>52</v>
      </c>
      <c r="M7">
        <v>17</v>
      </c>
      <c r="N7">
        <v>75</v>
      </c>
      <c r="O7">
        <v>1275</v>
      </c>
      <c r="P7">
        <v>748</v>
      </c>
      <c r="Q7">
        <v>527</v>
      </c>
      <c r="R7">
        <v>0</v>
      </c>
      <c r="S7" t="s">
        <v>38</v>
      </c>
      <c r="T7">
        <v>82.89</v>
      </c>
    </row>
    <row r="8" spans="1:20" x14ac:dyDescent="0.25">
      <c r="A8">
        <v>100007</v>
      </c>
      <c r="B8" s="6">
        <v>45952</v>
      </c>
      <c r="C8">
        <v>2025</v>
      </c>
      <c r="D8" t="s">
        <v>43</v>
      </c>
      <c r="E8">
        <v>10</v>
      </c>
      <c r="F8" t="s">
        <v>44</v>
      </c>
      <c r="G8" t="s">
        <v>35</v>
      </c>
      <c r="H8" t="s">
        <v>23</v>
      </c>
      <c r="I8" t="s">
        <v>36</v>
      </c>
      <c r="J8" t="s">
        <v>50</v>
      </c>
      <c r="K8" t="s">
        <v>32</v>
      </c>
      <c r="L8" t="s">
        <v>47</v>
      </c>
      <c r="M8">
        <v>63</v>
      </c>
      <c r="N8">
        <v>180</v>
      </c>
      <c r="O8">
        <v>11340</v>
      </c>
      <c r="P8">
        <v>7245</v>
      </c>
      <c r="Q8">
        <v>4095</v>
      </c>
      <c r="R8">
        <v>0</v>
      </c>
      <c r="S8" t="s">
        <v>28</v>
      </c>
      <c r="T8">
        <v>695.43</v>
      </c>
    </row>
    <row r="9" spans="1:20" x14ac:dyDescent="0.25">
      <c r="A9">
        <v>100008</v>
      </c>
      <c r="B9" s="6">
        <v>45922</v>
      </c>
      <c r="C9">
        <v>2025</v>
      </c>
      <c r="D9" t="s">
        <v>39</v>
      </c>
      <c r="E9">
        <v>9</v>
      </c>
      <c r="F9" t="s">
        <v>40</v>
      </c>
      <c r="G9" t="s">
        <v>35</v>
      </c>
      <c r="H9" t="s">
        <v>23</v>
      </c>
      <c r="I9" t="s">
        <v>53</v>
      </c>
      <c r="J9" t="s">
        <v>54</v>
      </c>
      <c r="K9" t="s">
        <v>55</v>
      </c>
      <c r="L9" t="s">
        <v>56</v>
      </c>
      <c r="M9">
        <v>49</v>
      </c>
      <c r="N9">
        <v>320</v>
      </c>
      <c r="O9">
        <v>14425.6</v>
      </c>
      <c r="P9">
        <v>11515</v>
      </c>
      <c r="Q9">
        <v>2910.6</v>
      </c>
      <c r="R9">
        <v>0.08</v>
      </c>
      <c r="S9" t="s">
        <v>57</v>
      </c>
      <c r="T9">
        <v>809.31</v>
      </c>
    </row>
    <row r="10" spans="1:20" x14ac:dyDescent="0.25">
      <c r="A10">
        <v>100009</v>
      </c>
      <c r="B10" s="6">
        <v>45143</v>
      </c>
      <c r="C10">
        <v>2023</v>
      </c>
      <c r="D10" t="s">
        <v>39</v>
      </c>
      <c r="E10">
        <v>8</v>
      </c>
      <c r="F10" t="s">
        <v>58</v>
      </c>
      <c r="G10" t="s">
        <v>29</v>
      </c>
      <c r="H10" t="s">
        <v>23</v>
      </c>
      <c r="I10" t="s">
        <v>49</v>
      </c>
      <c r="J10" t="s">
        <v>42</v>
      </c>
      <c r="K10" t="s">
        <v>59</v>
      </c>
      <c r="L10" t="s">
        <v>60</v>
      </c>
      <c r="M10">
        <v>24</v>
      </c>
      <c r="N10">
        <v>45</v>
      </c>
      <c r="O10">
        <v>1080</v>
      </c>
      <c r="P10">
        <v>648</v>
      </c>
      <c r="Q10">
        <v>432</v>
      </c>
      <c r="R10">
        <v>0</v>
      </c>
      <c r="S10" t="s">
        <v>57</v>
      </c>
      <c r="T10">
        <v>17.13</v>
      </c>
    </row>
    <row r="11" spans="1:20" x14ac:dyDescent="0.25">
      <c r="A11">
        <v>100010</v>
      </c>
      <c r="B11" s="6">
        <v>45574</v>
      </c>
      <c r="C11">
        <v>2024</v>
      </c>
      <c r="D11" t="s">
        <v>43</v>
      </c>
      <c r="E11">
        <v>10</v>
      </c>
      <c r="F11" t="s">
        <v>44</v>
      </c>
      <c r="G11" t="s">
        <v>29</v>
      </c>
      <c r="H11" t="s">
        <v>23</v>
      </c>
      <c r="I11" t="s">
        <v>30</v>
      </c>
      <c r="J11" t="s">
        <v>61</v>
      </c>
      <c r="K11" t="s">
        <v>26</v>
      </c>
      <c r="L11" t="s">
        <v>27</v>
      </c>
      <c r="M11">
        <v>145</v>
      </c>
      <c r="N11">
        <v>110</v>
      </c>
      <c r="O11">
        <v>15152.5</v>
      </c>
      <c r="P11">
        <v>9860</v>
      </c>
      <c r="Q11">
        <v>5292.5</v>
      </c>
      <c r="R11">
        <v>0.05</v>
      </c>
      <c r="S11" t="s">
        <v>28</v>
      </c>
      <c r="T11">
        <v>870.05</v>
      </c>
    </row>
    <row r="12" spans="1:20" x14ac:dyDescent="0.25">
      <c r="A12">
        <v>100011</v>
      </c>
      <c r="B12" s="6">
        <v>45944</v>
      </c>
      <c r="C12">
        <v>2025</v>
      </c>
      <c r="D12" t="s">
        <v>43</v>
      </c>
      <c r="E12">
        <v>10</v>
      </c>
      <c r="F12" t="s">
        <v>44</v>
      </c>
      <c r="G12" t="s">
        <v>45</v>
      </c>
      <c r="H12" t="s">
        <v>23</v>
      </c>
      <c r="I12" t="s">
        <v>62</v>
      </c>
      <c r="J12" t="s">
        <v>54</v>
      </c>
      <c r="K12" t="s">
        <v>55</v>
      </c>
      <c r="L12" t="s">
        <v>56</v>
      </c>
      <c r="M12">
        <v>21</v>
      </c>
      <c r="N12">
        <v>320</v>
      </c>
      <c r="O12">
        <v>6585.6</v>
      </c>
      <c r="P12">
        <v>4935</v>
      </c>
      <c r="Q12">
        <v>1650.6</v>
      </c>
      <c r="R12">
        <v>0.02</v>
      </c>
      <c r="S12" t="s">
        <v>57</v>
      </c>
      <c r="T12">
        <v>121.81</v>
      </c>
    </row>
    <row r="13" spans="1:20" x14ac:dyDescent="0.25">
      <c r="A13">
        <v>100012</v>
      </c>
      <c r="B13" s="6">
        <v>45731</v>
      </c>
      <c r="C13">
        <v>2025</v>
      </c>
      <c r="D13" t="s">
        <v>63</v>
      </c>
      <c r="E13">
        <v>3</v>
      </c>
      <c r="F13" t="s">
        <v>64</v>
      </c>
      <c r="G13" t="s">
        <v>22</v>
      </c>
      <c r="H13" t="s">
        <v>23</v>
      </c>
      <c r="I13" t="s">
        <v>65</v>
      </c>
      <c r="J13" t="s">
        <v>66</v>
      </c>
      <c r="K13" t="s">
        <v>59</v>
      </c>
      <c r="L13" t="s">
        <v>67</v>
      </c>
      <c r="M13">
        <v>44</v>
      </c>
      <c r="N13">
        <v>95</v>
      </c>
      <c r="O13">
        <v>4054.6</v>
      </c>
      <c r="P13">
        <v>2464</v>
      </c>
      <c r="Q13">
        <v>1590.6</v>
      </c>
      <c r="R13">
        <v>0.03</v>
      </c>
      <c r="S13" t="s">
        <v>57</v>
      </c>
      <c r="T13">
        <v>87.49</v>
      </c>
    </row>
    <row r="14" spans="1:20" x14ac:dyDescent="0.25">
      <c r="A14">
        <v>100013</v>
      </c>
      <c r="B14" s="6">
        <v>45955</v>
      </c>
      <c r="C14">
        <v>2025</v>
      </c>
      <c r="D14" t="s">
        <v>43</v>
      </c>
      <c r="E14">
        <v>10</v>
      </c>
      <c r="F14" t="s">
        <v>44</v>
      </c>
      <c r="G14" t="s">
        <v>35</v>
      </c>
      <c r="H14" t="s">
        <v>23</v>
      </c>
      <c r="I14" t="s">
        <v>53</v>
      </c>
      <c r="J14" t="s">
        <v>68</v>
      </c>
      <c r="K14" t="s">
        <v>26</v>
      </c>
      <c r="L14" t="s">
        <v>69</v>
      </c>
      <c r="M14">
        <v>36</v>
      </c>
      <c r="N14">
        <v>130</v>
      </c>
      <c r="O14">
        <v>4539.6000000000004</v>
      </c>
      <c r="P14">
        <v>2736</v>
      </c>
      <c r="Q14">
        <v>1803.6</v>
      </c>
      <c r="R14">
        <v>0.03</v>
      </c>
      <c r="S14" t="s">
        <v>70</v>
      </c>
      <c r="T14">
        <v>174.84</v>
      </c>
    </row>
    <row r="15" spans="1:20" x14ac:dyDescent="0.25">
      <c r="A15">
        <v>100014</v>
      </c>
      <c r="B15" s="6">
        <v>45790</v>
      </c>
      <c r="C15">
        <v>2025</v>
      </c>
      <c r="D15" t="s">
        <v>20</v>
      </c>
      <c r="E15">
        <v>5</v>
      </c>
      <c r="F15" t="s">
        <v>21</v>
      </c>
      <c r="G15" t="s">
        <v>22</v>
      </c>
      <c r="H15" t="s">
        <v>23</v>
      </c>
      <c r="I15" t="s">
        <v>71</v>
      </c>
      <c r="J15" t="s">
        <v>61</v>
      </c>
      <c r="K15" t="s">
        <v>51</v>
      </c>
      <c r="L15" t="s">
        <v>72</v>
      </c>
      <c r="M15">
        <v>141</v>
      </c>
      <c r="N15">
        <v>90</v>
      </c>
      <c r="O15">
        <v>11674.8</v>
      </c>
      <c r="P15">
        <v>7332</v>
      </c>
      <c r="Q15">
        <v>4342.8</v>
      </c>
      <c r="R15">
        <v>0.08</v>
      </c>
      <c r="S15" t="s">
        <v>70</v>
      </c>
      <c r="T15">
        <v>335.2</v>
      </c>
    </row>
    <row r="16" spans="1:20" x14ac:dyDescent="0.25">
      <c r="A16">
        <v>100015</v>
      </c>
      <c r="B16" s="6">
        <v>45467</v>
      </c>
      <c r="C16">
        <v>2024</v>
      </c>
      <c r="D16" t="s">
        <v>20</v>
      </c>
      <c r="E16">
        <v>6</v>
      </c>
      <c r="F16" t="s">
        <v>48</v>
      </c>
      <c r="G16" t="s">
        <v>29</v>
      </c>
      <c r="H16" t="s">
        <v>23</v>
      </c>
      <c r="I16" t="s">
        <v>73</v>
      </c>
      <c r="J16" t="s">
        <v>66</v>
      </c>
      <c r="K16" t="s">
        <v>32</v>
      </c>
      <c r="L16" t="s">
        <v>74</v>
      </c>
      <c r="M16">
        <v>95</v>
      </c>
      <c r="N16">
        <v>25</v>
      </c>
      <c r="O16">
        <v>2185</v>
      </c>
      <c r="P16">
        <v>1330</v>
      </c>
      <c r="Q16">
        <v>855</v>
      </c>
      <c r="R16">
        <v>0.08</v>
      </c>
      <c r="S16" t="s">
        <v>70</v>
      </c>
      <c r="T16">
        <v>107.81</v>
      </c>
    </row>
    <row r="17" spans="1:20" x14ac:dyDescent="0.25">
      <c r="A17">
        <v>100016</v>
      </c>
      <c r="B17" s="6">
        <v>45572</v>
      </c>
      <c r="C17">
        <v>2024</v>
      </c>
      <c r="D17" t="s">
        <v>43</v>
      </c>
      <c r="E17">
        <v>10</v>
      </c>
      <c r="F17" t="s">
        <v>44</v>
      </c>
      <c r="G17" t="s">
        <v>29</v>
      </c>
      <c r="H17" t="s">
        <v>23</v>
      </c>
      <c r="I17" t="s">
        <v>49</v>
      </c>
      <c r="J17" t="s">
        <v>54</v>
      </c>
      <c r="K17" t="s">
        <v>32</v>
      </c>
      <c r="L17" t="s">
        <v>47</v>
      </c>
      <c r="M17">
        <v>39</v>
      </c>
      <c r="N17">
        <v>180</v>
      </c>
      <c r="O17">
        <v>6458.4</v>
      </c>
      <c r="P17">
        <v>4485</v>
      </c>
      <c r="Q17">
        <v>1973.4</v>
      </c>
      <c r="R17">
        <v>0.08</v>
      </c>
      <c r="S17" t="s">
        <v>28</v>
      </c>
      <c r="T17">
        <v>212.09</v>
      </c>
    </row>
    <row r="18" spans="1:20" x14ac:dyDescent="0.25">
      <c r="A18">
        <v>100017</v>
      </c>
      <c r="B18" s="6">
        <v>45116</v>
      </c>
      <c r="C18">
        <v>2023</v>
      </c>
      <c r="D18" t="s">
        <v>39</v>
      </c>
      <c r="E18">
        <v>7</v>
      </c>
      <c r="F18" t="s">
        <v>75</v>
      </c>
      <c r="G18" t="s">
        <v>45</v>
      </c>
      <c r="H18" t="s">
        <v>23</v>
      </c>
      <c r="I18" t="s">
        <v>46</v>
      </c>
      <c r="J18" t="s">
        <v>54</v>
      </c>
      <c r="K18" t="s">
        <v>51</v>
      </c>
      <c r="L18" t="s">
        <v>76</v>
      </c>
      <c r="M18">
        <v>130</v>
      </c>
      <c r="N18">
        <v>40</v>
      </c>
      <c r="O18">
        <v>4784</v>
      </c>
      <c r="P18">
        <v>2990</v>
      </c>
      <c r="Q18">
        <v>1794</v>
      </c>
      <c r="R18">
        <v>0.08</v>
      </c>
      <c r="S18" t="s">
        <v>38</v>
      </c>
      <c r="T18">
        <v>298.24</v>
      </c>
    </row>
    <row r="19" spans="1:20" x14ac:dyDescent="0.25">
      <c r="A19">
        <v>100018</v>
      </c>
      <c r="B19" s="6">
        <v>45575</v>
      </c>
      <c r="C19">
        <v>2024</v>
      </c>
      <c r="D19" t="s">
        <v>43</v>
      </c>
      <c r="E19">
        <v>10</v>
      </c>
      <c r="F19" t="s">
        <v>44</v>
      </c>
      <c r="G19" t="s">
        <v>35</v>
      </c>
      <c r="H19" t="s">
        <v>23</v>
      </c>
      <c r="I19" t="s">
        <v>77</v>
      </c>
      <c r="J19" t="s">
        <v>42</v>
      </c>
      <c r="K19" t="s">
        <v>26</v>
      </c>
      <c r="L19" t="s">
        <v>78</v>
      </c>
      <c r="M19">
        <v>68</v>
      </c>
      <c r="N19">
        <v>95</v>
      </c>
      <c r="O19">
        <v>6330.8</v>
      </c>
      <c r="P19">
        <v>3944</v>
      </c>
      <c r="Q19">
        <v>2386.8000000000002</v>
      </c>
      <c r="R19">
        <v>0.02</v>
      </c>
      <c r="S19" t="s">
        <v>70</v>
      </c>
      <c r="T19">
        <v>275.60000000000002</v>
      </c>
    </row>
    <row r="20" spans="1:20" x14ac:dyDescent="0.25">
      <c r="A20">
        <v>100019</v>
      </c>
      <c r="B20" s="6">
        <v>45368</v>
      </c>
      <c r="C20">
        <v>2024</v>
      </c>
      <c r="D20" t="s">
        <v>63</v>
      </c>
      <c r="E20">
        <v>3</v>
      </c>
      <c r="F20" t="s">
        <v>64</v>
      </c>
      <c r="G20" t="s">
        <v>29</v>
      </c>
      <c r="H20" t="s">
        <v>23</v>
      </c>
      <c r="I20" t="s">
        <v>49</v>
      </c>
      <c r="J20" t="s">
        <v>42</v>
      </c>
      <c r="K20" t="s">
        <v>51</v>
      </c>
      <c r="L20" t="s">
        <v>76</v>
      </c>
      <c r="M20">
        <v>140</v>
      </c>
      <c r="N20">
        <v>40</v>
      </c>
      <c r="O20">
        <v>5488</v>
      </c>
      <c r="P20">
        <v>3220</v>
      </c>
      <c r="Q20">
        <v>2268</v>
      </c>
      <c r="R20">
        <v>0.02</v>
      </c>
      <c r="S20" t="s">
        <v>38</v>
      </c>
      <c r="T20">
        <v>168.3</v>
      </c>
    </row>
    <row r="21" spans="1:20" x14ac:dyDescent="0.25">
      <c r="A21">
        <v>100020</v>
      </c>
      <c r="B21" s="6">
        <v>44928</v>
      </c>
      <c r="C21">
        <v>2023</v>
      </c>
      <c r="D21" t="s">
        <v>63</v>
      </c>
      <c r="E21">
        <v>1</v>
      </c>
      <c r="F21" t="s">
        <v>79</v>
      </c>
      <c r="G21" t="s">
        <v>35</v>
      </c>
      <c r="H21" t="s">
        <v>23</v>
      </c>
      <c r="I21" t="s">
        <v>80</v>
      </c>
      <c r="J21" t="s">
        <v>50</v>
      </c>
      <c r="K21" t="s">
        <v>32</v>
      </c>
      <c r="L21" t="s">
        <v>37</v>
      </c>
      <c r="M21">
        <v>138</v>
      </c>
      <c r="N21">
        <v>120</v>
      </c>
      <c r="O21">
        <v>16228.8</v>
      </c>
      <c r="P21">
        <v>10764</v>
      </c>
      <c r="Q21">
        <v>5464.8</v>
      </c>
      <c r="R21">
        <v>0.02</v>
      </c>
      <c r="S21" t="s">
        <v>70</v>
      </c>
      <c r="T21">
        <v>372.76</v>
      </c>
    </row>
    <row r="22" spans="1:20" x14ac:dyDescent="0.25">
      <c r="A22">
        <v>100021</v>
      </c>
      <c r="B22" s="6">
        <v>45173</v>
      </c>
      <c r="C22">
        <v>2023</v>
      </c>
      <c r="D22" t="s">
        <v>39</v>
      </c>
      <c r="E22">
        <v>9</v>
      </c>
      <c r="F22" t="s">
        <v>40</v>
      </c>
      <c r="G22" t="s">
        <v>29</v>
      </c>
      <c r="H22" t="s">
        <v>23</v>
      </c>
      <c r="I22" t="s">
        <v>30</v>
      </c>
      <c r="J22" t="s">
        <v>66</v>
      </c>
      <c r="K22" t="s">
        <v>26</v>
      </c>
      <c r="L22" t="s">
        <v>69</v>
      </c>
      <c r="M22">
        <v>47</v>
      </c>
      <c r="N22">
        <v>130</v>
      </c>
      <c r="O22">
        <v>5926.7</v>
      </c>
      <c r="P22">
        <v>3572</v>
      </c>
      <c r="Q22">
        <v>2354.6999999999998</v>
      </c>
      <c r="R22">
        <v>0.03</v>
      </c>
      <c r="S22" t="s">
        <v>38</v>
      </c>
      <c r="T22">
        <v>295.01</v>
      </c>
    </row>
    <row r="23" spans="1:20" x14ac:dyDescent="0.25">
      <c r="A23">
        <v>100022</v>
      </c>
      <c r="B23" s="6">
        <v>45678</v>
      </c>
      <c r="C23">
        <v>2025</v>
      </c>
      <c r="D23" t="s">
        <v>63</v>
      </c>
      <c r="E23">
        <v>1</v>
      </c>
      <c r="F23" t="s">
        <v>79</v>
      </c>
      <c r="G23" t="s">
        <v>29</v>
      </c>
      <c r="H23" t="s">
        <v>23</v>
      </c>
      <c r="I23" t="s">
        <v>73</v>
      </c>
      <c r="J23" t="s">
        <v>50</v>
      </c>
      <c r="K23" t="s">
        <v>32</v>
      </c>
      <c r="L23" t="s">
        <v>74</v>
      </c>
      <c r="M23">
        <v>79</v>
      </c>
      <c r="N23">
        <v>25</v>
      </c>
      <c r="O23">
        <v>1876.25</v>
      </c>
      <c r="P23">
        <v>1106</v>
      </c>
      <c r="Q23">
        <v>770.25</v>
      </c>
      <c r="R23">
        <v>0.05</v>
      </c>
      <c r="S23" t="s">
        <v>57</v>
      </c>
      <c r="T23">
        <v>116.72</v>
      </c>
    </row>
    <row r="24" spans="1:20" x14ac:dyDescent="0.25">
      <c r="A24">
        <v>100023</v>
      </c>
      <c r="B24" s="6">
        <v>45329</v>
      </c>
      <c r="C24">
        <v>2024</v>
      </c>
      <c r="D24" t="s">
        <v>63</v>
      </c>
      <c r="E24">
        <v>2</v>
      </c>
      <c r="F24" t="s">
        <v>81</v>
      </c>
      <c r="G24" t="s">
        <v>35</v>
      </c>
      <c r="H24" t="s">
        <v>23</v>
      </c>
      <c r="I24" t="s">
        <v>53</v>
      </c>
      <c r="J24" t="s">
        <v>31</v>
      </c>
      <c r="K24" t="s">
        <v>26</v>
      </c>
      <c r="L24" t="s">
        <v>82</v>
      </c>
      <c r="M24">
        <v>105</v>
      </c>
      <c r="N24">
        <v>105</v>
      </c>
      <c r="O24">
        <v>11025</v>
      </c>
      <c r="P24">
        <v>6405</v>
      </c>
      <c r="Q24">
        <v>4620</v>
      </c>
      <c r="R24">
        <v>0</v>
      </c>
      <c r="S24" t="s">
        <v>38</v>
      </c>
      <c r="T24">
        <v>735.68</v>
      </c>
    </row>
    <row r="25" spans="1:20" x14ac:dyDescent="0.25">
      <c r="A25">
        <v>100024</v>
      </c>
      <c r="B25" s="6">
        <v>45264</v>
      </c>
      <c r="C25">
        <v>2023</v>
      </c>
      <c r="D25" t="s">
        <v>43</v>
      </c>
      <c r="E25">
        <v>12</v>
      </c>
      <c r="F25" t="s">
        <v>83</v>
      </c>
      <c r="G25" t="s">
        <v>29</v>
      </c>
      <c r="H25" t="s">
        <v>23</v>
      </c>
      <c r="I25" t="s">
        <v>73</v>
      </c>
      <c r="J25" t="s">
        <v>68</v>
      </c>
      <c r="K25" t="s">
        <v>26</v>
      </c>
      <c r="L25" t="s">
        <v>27</v>
      </c>
      <c r="M25">
        <v>51</v>
      </c>
      <c r="N25">
        <v>110</v>
      </c>
      <c r="O25">
        <v>5497.8</v>
      </c>
      <c r="P25">
        <v>3468</v>
      </c>
      <c r="Q25">
        <v>2029.8</v>
      </c>
      <c r="R25">
        <v>0.02</v>
      </c>
      <c r="S25" t="s">
        <v>28</v>
      </c>
      <c r="T25">
        <v>282.02999999999997</v>
      </c>
    </row>
    <row r="26" spans="1:20" x14ac:dyDescent="0.25">
      <c r="A26">
        <v>100025</v>
      </c>
      <c r="B26" s="6">
        <v>45807</v>
      </c>
      <c r="C26">
        <v>2025</v>
      </c>
      <c r="D26" t="s">
        <v>20</v>
      </c>
      <c r="E26">
        <v>5</v>
      </c>
      <c r="F26" t="s">
        <v>21</v>
      </c>
      <c r="G26" t="s">
        <v>35</v>
      </c>
      <c r="H26" t="s">
        <v>23</v>
      </c>
      <c r="I26" t="s">
        <v>77</v>
      </c>
      <c r="J26" t="s">
        <v>42</v>
      </c>
      <c r="K26" t="s">
        <v>32</v>
      </c>
      <c r="L26" t="s">
        <v>47</v>
      </c>
      <c r="M26">
        <v>46</v>
      </c>
      <c r="N26">
        <v>180</v>
      </c>
      <c r="O26">
        <v>7617.6</v>
      </c>
      <c r="P26">
        <v>5290</v>
      </c>
      <c r="Q26">
        <v>2327.6</v>
      </c>
      <c r="R26">
        <v>0.08</v>
      </c>
      <c r="S26" t="s">
        <v>38</v>
      </c>
      <c r="T26">
        <v>193.33</v>
      </c>
    </row>
    <row r="27" spans="1:20" x14ac:dyDescent="0.25">
      <c r="A27">
        <v>100026</v>
      </c>
      <c r="B27" s="6">
        <v>45742</v>
      </c>
      <c r="C27">
        <v>2025</v>
      </c>
      <c r="D27" t="s">
        <v>63</v>
      </c>
      <c r="E27">
        <v>3</v>
      </c>
      <c r="F27" t="s">
        <v>64</v>
      </c>
      <c r="G27" t="s">
        <v>29</v>
      </c>
      <c r="H27" t="s">
        <v>23</v>
      </c>
      <c r="I27" t="s">
        <v>30</v>
      </c>
      <c r="J27" t="s">
        <v>42</v>
      </c>
      <c r="K27" t="s">
        <v>55</v>
      </c>
      <c r="L27" t="s">
        <v>84</v>
      </c>
      <c r="M27">
        <v>129</v>
      </c>
      <c r="N27">
        <v>55</v>
      </c>
      <c r="O27">
        <v>6527.4</v>
      </c>
      <c r="P27">
        <v>4773</v>
      </c>
      <c r="Q27">
        <v>1754.4</v>
      </c>
      <c r="R27">
        <v>0.08</v>
      </c>
      <c r="S27" t="s">
        <v>38</v>
      </c>
      <c r="T27">
        <v>403.4</v>
      </c>
    </row>
    <row r="28" spans="1:20" x14ac:dyDescent="0.25">
      <c r="A28">
        <v>100027</v>
      </c>
      <c r="B28" s="6">
        <v>45030</v>
      </c>
      <c r="C28">
        <v>2023</v>
      </c>
      <c r="D28" t="s">
        <v>20</v>
      </c>
      <c r="E28">
        <v>4</v>
      </c>
      <c r="F28" t="s">
        <v>34</v>
      </c>
      <c r="G28" t="s">
        <v>29</v>
      </c>
      <c r="H28" t="s">
        <v>23</v>
      </c>
      <c r="I28" t="s">
        <v>85</v>
      </c>
      <c r="J28" t="s">
        <v>66</v>
      </c>
      <c r="K28" t="s">
        <v>32</v>
      </c>
      <c r="L28" t="s">
        <v>33</v>
      </c>
      <c r="M28">
        <v>108</v>
      </c>
      <c r="N28">
        <v>60</v>
      </c>
      <c r="O28">
        <v>5832</v>
      </c>
      <c r="P28">
        <v>4104</v>
      </c>
      <c r="Q28">
        <v>1728</v>
      </c>
      <c r="R28">
        <v>0.1</v>
      </c>
      <c r="S28" t="s">
        <v>70</v>
      </c>
      <c r="T28">
        <v>178.55</v>
      </c>
    </row>
    <row r="29" spans="1:20" x14ac:dyDescent="0.25">
      <c r="A29">
        <v>100028</v>
      </c>
      <c r="B29" s="6">
        <v>45748</v>
      </c>
      <c r="C29">
        <v>2025</v>
      </c>
      <c r="D29" t="s">
        <v>20</v>
      </c>
      <c r="E29">
        <v>4</v>
      </c>
      <c r="F29" t="s">
        <v>34</v>
      </c>
      <c r="G29" t="s">
        <v>22</v>
      </c>
      <c r="H29" t="s">
        <v>23</v>
      </c>
      <c r="I29" t="s">
        <v>65</v>
      </c>
      <c r="J29" t="s">
        <v>50</v>
      </c>
      <c r="K29" t="s">
        <v>55</v>
      </c>
      <c r="L29" t="s">
        <v>56</v>
      </c>
      <c r="M29">
        <v>77</v>
      </c>
      <c r="N29">
        <v>320</v>
      </c>
      <c r="O29">
        <v>24147.200000000001</v>
      </c>
      <c r="P29">
        <v>18095</v>
      </c>
      <c r="Q29">
        <v>6052.2</v>
      </c>
      <c r="R29">
        <v>0.02</v>
      </c>
      <c r="S29" t="s">
        <v>38</v>
      </c>
      <c r="T29">
        <v>794.37</v>
      </c>
    </row>
    <row r="30" spans="1:20" x14ac:dyDescent="0.25">
      <c r="A30">
        <v>100029</v>
      </c>
      <c r="B30" s="6">
        <v>45327</v>
      </c>
      <c r="C30">
        <v>2024</v>
      </c>
      <c r="D30" t="s">
        <v>63</v>
      </c>
      <c r="E30">
        <v>2</v>
      </c>
      <c r="F30" t="s">
        <v>81</v>
      </c>
      <c r="G30" t="s">
        <v>29</v>
      </c>
      <c r="H30" t="s">
        <v>23</v>
      </c>
      <c r="I30" t="s">
        <v>73</v>
      </c>
      <c r="J30" t="s">
        <v>66</v>
      </c>
      <c r="K30" t="s">
        <v>59</v>
      </c>
      <c r="L30" t="s">
        <v>67</v>
      </c>
      <c r="M30">
        <v>124</v>
      </c>
      <c r="N30">
        <v>95</v>
      </c>
      <c r="O30">
        <v>11191</v>
      </c>
      <c r="P30">
        <v>6944</v>
      </c>
      <c r="Q30">
        <v>4247</v>
      </c>
      <c r="R30">
        <v>0.05</v>
      </c>
      <c r="S30" t="s">
        <v>28</v>
      </c>
      <c r="T30">
        <v>322.02999999999997</v>
      </c>
    </row>
    <row r="31" spans="1:20" x14ac:dyDescent="0.25">
      <c r="A31">
        <v>100030</v>
      </c>
      <c r="B31" s="6">
        <v>45489</v>
      </c>
      <c r="C31">
        <v>2024</v>
      </c>
      <c r="D31" t="s">
        <v>39</v>
      </c>
      <c r="E31">
        <v>7</v>
      </c>
      <c r="F31" t="s">
        <v>75</v>
      </c>
      <c r="G31" t="s">
        <v>35</v>
      </c>
      <c r="H31" t="s">
        <v>23</v>
      </c>
      <c r="I31" t="s">
        <v>80</v>
      </c>
      <c r="J31" t="s">
        <v>31</v>
      </c>
      <c r="K31" t="s">
        <v>59</v>
      </c>
      <c r="L31" t="s">
        <v>86</v>
      </c>
      <c r="M31">
        <v>30</v>
      </c>
      <c r="N31">
        <v>160</v>
      </c>
      <c r="O31">
        <v>4656</v>
      </c>
      <c r="P31">
        <v>2850</v>
      </c>
      <c r="Q31">
        <v>1806</v>
      </c>
      <c r="R31">
        <v>0.03</v>
      </c>
      <c r="S31" t="s">
        <v>28</v>
      </c>
      <c r="T31">
        <v>217.57</v>
      </c>
    </row>
    <row r="32" spans="1:20" x14ac:dyDescent="0.25">
      <c r="A32">
        <v>100031</v>
      </c>
      <c r="B32" s="6">
        <v>45946</v>
      </c>
      <c r="C32">
        <v>2025</v>
      </c>
      <c r="D32" t="s">
        <v>43</v>
      </c>
      <c r="E32">
        <v>10</v>
      </c>
      <c r="F32" t="s">
        <v>44</v>
      </c>
      <c r="G32" t="s">
        <v>45</v>
      </c>
      <c r="H32" t="s">
        <v>23</v>
      </c>
      <c r="I32" t="s">
        <v>62</v>
      </c>
      <c r="J32" t="s">
        <v>66</v>
      </c>
      <c r="K32" t="s">
        <v>51</v>
      </c>
      <c r="L32" t="s">
        <v>52</v>
      </c>
      <c r="M32">
        <v>58</v>
      </c>
      <c r="N32">
        <v>75</v>
      </c>
      <c r="O32">
        <v>4350</v>
      </c>
      <c r="P32">
        <v>2552</v>
      </c>
      <c r="Q32">
        <v>1798</v>
      </c>
      <c r="R32">
        <v>0</v>
      </c>
      <c r="S32" t="s">
        <v>28</v>
      </c>
      <c r="T32">
        <v>303.2</v>
      </c>
    </row>
    <row r="33" spans="1:20" x14ac:dyDescent="0.25">
      <c r="A33">
        <v>100032</v>
      </c>
      <c r="B33" s="6">
        <v>45444</v>
      </c>
      <c r="C33">
        <v>2024</v>
      </c>
      <c r="D33" t="s">
        <v>20</v>
      </c>
      <c r="E33">
        <v>6</v>
      </c>
      <c r="F33" t="s">
        <v>48</v>
      </c>
      <c r="G33" t="s">
        <v>22</v>
      </c>
      <c r="H33" t="s">
        <v>23</v>
      </c>
      <c r="I33" t="s">
        <v>65</v>
      </c>
      <c r="J33" t="s">
        <v>25</v>
      </c>
      <c r="K33" t="s">
        <v>32</v>
      </c>
      <c r="L33" t="s">
        <v>47</v>
      </c>
      <c r="M33">
        <v>102</v>
      </c>
      <c r="N33">
        <v>180</v>
      </c>
      <c r="O33">
        <v>17809.2</v>
      </c>
      <c r="P33">
        <v>11730</v>
      </c>
      <c r="Q33">
        <v>6079.2</v>
      </c>
      <c r="R33">
        <v>0.03</v>
      </c>
      <c r="S33" t="s">
        <v>28</v>
      </c>
      <c r="T33">
        <v>1213.98</v>
      </c>
    </row>
    <row r="34" spans="1:20" x14ac:dyDescent="0.25">
      <c r="A34">
        <v>100033</v>
      </c>
      <c r="B34" s="6">
        <v>45117</v>
      </c>
      <c r="C34">
        <v>2023</v>
      </c>
      <c r="D34" t="s">
        <v>39</v>
      </c>
      <c r="E34">
        <v>7</v>
      </c>
      <c r="F34" t="s">
        <v>75</v>
      </c>
      <c r="G34" t="s">
        <v>45</v>
      </c>
      <c r="H34" t="s">
        <v>23</v>
      </c>
      <c r="I34" t="s">
        <v>46</v>
      </c>
      <c r="J34" t="s">
        <v>54</v>
      </c>
      <c r="K34" t="s">
        <v>32</v>
      </c>
      <c r="L34" t="s">
        <v>37</v>
      </c>
      <c r="M34">
        <v>76</v>
      </c>
      <c r="N34">
        <v>120</v>
      </c>
      <c r="O34">
        <v>9120</v>
      </c>
      <c r="P34">
        <v>5928</v>
      </c>
      <c r="Q34">
        <v>3192</v>
      </c>
      <c r="R34">
        <v>0</v>
      </c>
      <c r="S34" t="s">
        <v>57</v>
      </c>
      <c r="T34">
        <v>416.09</v>
      </c>
    </row>
    <row r="35" spans="1:20" x14ac:dyDescent="0.25">
      <c r="A35">
        <v>100034</v>
      </c>
      <c r="B35" s="6">
        <v>45612</v>
      </c>
      <c r="C35">
        <v>2024</v>
      </c>
      <c r="D35" t="s">
        <v>43</v>
      </c>
      <c r="E35">
        <v>11</v>
      </c>
      <c r="F35" t="s">
        <v>87</v>
      </c>
      <c r="G35" t="s">
        <v>29</v>
      </c>
      <c r="H35" t="s">
        <v>23</v>
      </c>
      <c r="I35" t="s">
        <v>85</v>
      </c>
      <c r="J35" t="s">
        <v>42</v>
      </c>
      <c r="K35" t="s">
        <v>59</v>
      </c>
      <c r="L35" t="s">
        <v>86</v>
      </c>
      <c r="M35">
        <v>136</v>
      </c>
      <c r="N35">
        <v>160</v>
      </c>
      <c r="O35">
        <v>21107.200000000001</v>
      </c>
      <c r="P35">
        <v>12920</v>
      </c>
      <c r="Q35">
        <v>8187.2</v>
      </c>
      <c r="R35">
        <v>0.03</v>
      </c>
      <c r="S35" t="s">
        <v>57</v>
      </c>
      <c r="T35">
        <v>1335.15</v>
      </c>
    </row>
    <row r="36" spans="1:20" x14ac:dyDescent="0.25">
      <c r="A36">
        <v>100035</v>
      </c>
      <c r="B36" s="6">
        <v>45172</v>
      </c>
      <c r="C36">
        <v>2023</v>
      </c>
      <c r="D36" t="s">
        <v>39</v>
      </c>
      <c r="E36">
        <v>9</v>
      </c>
      <c r="F36" t="s">
        <v>40</v>
      </c>
      <c r="G36" t="s">
        <v>29</v>
      </c>
      <c r="H36" t="s">
        <v>23</v>
      </c>
      <c r="I36" t="s">
        <v>30</v>
      </c>
      <c r="J36" t="s">
        <v>61</v>
      </c>
      <c r="K36" t="s">
        <v>51</v>
      </c>
      <c r="L36" t="s">
        <v>52</v>
      </c>
      <c r="M36">
        <v>35</v>
      </c>
      <c r="N36">
        <v>75</v>
      </c>
      <c r="O36">
        <v>2415</v>
      </c>
      <c r="P36">
        <v>1540</v>
      </c>
      <c r="Q36">
        <v>875</v>
      </c>
      <c r="R36">
        <v>0.08</v>
      </c>
      <c r="S36" t="s">
        <v>38</v>
      </c>
      <c r="T36">
        <v>151.38999999999999</v>
      </c>
    </row>
    <row r="37" spans="1:20" x14ac:dyDescent="0.25">
      <c r="A37">
        <v>100036</v>
      </c>
      <c r="B37" s="6">
        <v>45829</v>
      </c>
      <c r="C37">
        <v>2025</v>
      </c>
      <c r="D37" t="s">
        <v>20</v>
      </c>
      <c r="E37">
        <v>6</v>
      </c>
      <c r="F37" t="s">
        <v>48</v>
      </c>
      <c r="G37" t="s">
        <v>45</v>
      </c>
      <c r="H37" t="s">
        <v>23</v>
      </c>
      <c r="I37" t="s">
        <v>62</v>
      </c>
      <c r="J37" t="s">
        <v>50</v>
      </c>
      <c r="K37" t="s">
        <v>26</v>
      </c>
      <c r="L37" t="s">
        <v>27</v>
      </c>
      <c r="M37">
        <v>17</v>
      </c>
      <c r="N37">
        <v>110</v>
      </c>
      <c r="O37">
        <v>1776.5</v>
      </c>
      <c r="P37">
        <v>1156</v>
      </c>
      <c r="Q37">
        <v>620.5</v>
      </c>
      <c r="R37">
        <v>0.05</v>
      </c>
      <c r="S37" t="s">
        <v>28</v>
      </c>
      <c r="T37">
        <v>104.4</v>
      </c>
    </row>
    <row r="38" spans="1:20" x14ac:dyDescent="0.25">
      <c r="A38">
        <v>100037</v>
      </c>
      <c r="B38" s="6">
        <v>45760</v>
      </c>
      <c r="C38">
        <v>2025</v>
      </c>
      <c r="D38" t="s">
        <v>20</v>
      </c>
      <c r="E38">
        <v>4</v>
      </c>
      <c r="F38" t="s">
        <v>34</v>
      </c>
      <c r="G38" t="s">
        <v>29</v>
      </c>
      <c r="H38" t="s">
        <v>23</v>
      </c>
      <c r="I38" t="s">
        <v>30</v>
      </c>
      <c r="J38" t="s">
        <v>68</v>
      </c>
      <c r="K38" t="s">
        <v>26</v>
      </c>
      <c r="L38" t="s">
        <v>69</v>
      </c>
      <c r="M38">
        <v>72</v>
      </c>
      <c r="N38">
        <v>130</v>
      </c>
      <c r="O38">
        <v>8424</v>
      </c>
      <c r="P38">
        <v>5472</v>
      </c>
      <c r="Q38">
        <v>2952</v>
      </c>
      <c r="R38">
        <v>0.1</v>
      </c>
      <c r="S38" t="s">
        <v>38</v>
      </c>
      <c r="T38">
        <v>515.04999999999995</v>
      </c>
    </row>
    <row r="39" spans="1:20" x14ac:dyDescent="0.25">
      <c r="A39">
        <v>100038</v>
      </c>
      <c r="B39" s="6">
        <v>45608</v>
      </c>
      <c r="C39">
        <v>2024</v>
      </c>
      <c r="D39" t="s">
        <v>43</v>
      </c>
      <c r="E39">
        <v>11</v>
      </c>
      <c r="F39" t="s">
        <v>87</v>
      </c>
      <c r="G39" t="s">
        <v>35</v>
      </c>
      <c r="H39" t="s">
        <v>23</v>
      </c>
      <c r="I39" t="s">
        <v>53</v>
      </c>
      <c r="J39" t="s">
        <v>50</v>
      </c>
      <c r="K39" t="s">
        <v>51</v>
      </c>
      <c r="L39" t="s">
        <v>72</v>
      </c>
      <c r="M39">
        <v>110</v>
      </c>
      <c r="N39">
        <v>90</v>
      </c>
      <c r="O39">
        <v>9603</v>
      </c>
      <c r="P39">
        <v>5720</v>
      </c>
      <c r="Q39">
        <v>3883</v>
      </c>
      <c r="R39">
        <v>0.03</v>
      </c>
      <c r="S39" t="s">
        <v>28</v>
      </c>
      <c r="T39">
        <v>550.73</v>
      </c>
    </row>
    <row r="40" spans="1:20" x14ac:dyDescent="0.25">
      <c r="A40">
        <v>100039</v>
      </c>
      <c r="B40" s="6">
        <v>45700</v>
      </c>
      <c r="C40">
        <v>2025</v>
      </c>
      <c r="D40" t="s">
        <v>63</v>
      </c>
      <c r="E40">
        <v>2</v>
      </c>
      <c r="F40" t="s">
        <v>81</v>
      </c>
      <c r="G40" t="s">
        <v>45</v>
      </c>
      <c r="H40" t="s">
        <v>23</v>
      </c>
      <c r="I40" t="s">
        <v>62</v>
      </c>
      <c r="J40" t="s">
        <v>61</v>
      </c>
      <c r="K40" t="s">
        <v>59</v>
      </c>
      <c r="L40" t="s">
        <v>67</v>
      </c>
      <c r="M40">
        <v>108</v>
      </c>
      <c r="N40">
        <v>95</v>
      </c>
      <c r="O40">
        <v>9747</v>
      </c>
      <c r="P40">
        <v>6048</v>
      </c>
      <c r="Q40">
        <v>3699</v>
      </c>
      <c r="R40">
        <v>0.05</v>
      </c>
      <c r="S40" t="s">
        <v>28</v>
      </c>
      <c r="T40">
        <v>535.45000000000005</v>
      </c>
    </row>
    <row r="41" spans="1:20" x14ac:dyDescent="0.25">
      <c r="A41">
        <v>100040</v>
      </c>
      <c r="B41" s="6">
        <v>45583</v>
      </c>
      <c r="C41">
        <v>2024</v>
      </c>
      <c r="D41" t="s">
        <v>43</v>
      </c>
      <c r="E41">
        <v>10</v>
      </c>
      <c r="F41" t="s">
        <v>44</v>
      </c>
      <c r="G41" t="s">
        <v>29</v>
      </c>
      <c r="H41" t="s">
        <v>23</v>
      </c>
      <c r="I41" t="s">
        <v>30</v>
      </c>
      <c r="J41" t="s">
        <v>54</v>
      </c>
      <c r="K41" t="s">
        <v>51</v>
      </c>
      <c r="L41" t="s">
        <v>76</v>
      </c>
      <c r="M41">
        <v>99</v>
      </c>
      <c r="N41">
        <v>40</v>
      </c>
      <c r="O41">
        <v>3960</v>
      </c>
      <c r="P41">
        <v>2277</v>
      </c>
      <c r="Q41">
        <v>1683</v>
      </c>
      <c r="R41">
        <v>0</v>
      </c>
      <c r="S41" t="s">
        <v>70</v>
      </c>
      <c r="T41">
        <v>269.06</v>
      </c>
    </row>
    <row r="42" spans="1:20" x14ac:dyDescent="0.25">
      <c r="A42">
        <v>100041</v>
      </c>
      <c r="B42" s="6">
        <v>45939</v>
      </c>
      <c r="C42">
        <v>2025</v>
      </c>
      <c r="D42" t="s">
        <v>43</v>
      </c>
      <c r="E42">
        <v>10</v>
      </c>
      <c r="F42" t="s">
        <v>44</v>
      </c>
      <c r="G42" t="s">
        <v>45</v>
      </c>
      <c r="H42" t="s">
        <v>23</v>
      </c>
      <c r="I42" t="s">
        <v>88</v>
      </c>
      <c r="J42" t="s">
        <v>42</v>
      </c>
      <c r="K42" t="s">
        <v>55</v>
      </c>
      <c r="L42" t="s">
        <v>89</v>
      </c>
      <c r="M42">
        <v>43</v>
      </c>
      <c r="N42">
        <v>280</v>
      </c>
      <c r="O42">
        <v>11799.2</v>
      </c>
      <c r="P42">
        <v>8815</v>
      </c>
      <c r="Q42">
        <v>2984.2</v>
      </c>
      <c r="R42">
        <v>0.02</v>
      </c>
      <c r="S42" t="s">
        <v>57</v>
      </c>
      <c r="T42">
        <v>237.91</v>
      </c>
    </row>
    <row r="43" spans="1:20" x14ac:dyDescent="0.25">
      <c r="A43">
        <v>100042</v>
      </c>
      <c r="B43" s="6">
        <v>45823</v>
      </c>
      <c r="C43">
        <v>2025</v>
      </c>
      <c r="D43" t="s">
        <v>20</v>
      </c>
      <c r="E43">
        <v>6</v>
      </c>
      <c r="F43" t="s">
        <v>48</v>
      </c>
      <c r="G43" t="s">
        <v>29</v>
      </c>
      <c r="H43" t="s">
        <v>23</v>
      </c>
      <c r="I43" t="s">
        <v>73</v>
      </c>
      <c r="J43" t="s">
        <v>50</v>
      </c>
      <c r="K43" t="s">
        <v>26</v>
      </c>
      <c r="L43" t="s">
        <v>69</v>
      </c>
      <c r="M43">
        <v>78</v>
      </c>
      <c r="N43">
        <v>130</v>
      </c>
      <c r="O43">
        <v>9633</v>
      </c>
      <c r="P43">
        <v>5928</v>
      </c>
      <c r="Q43">
        <v>3705</v>
      </c>
      <c r="R43">
        <v>0.05</v>
      </c>
      <c r="S43" t="s">
        <v>70</v>
      </c>
      <c r="T43">
        <v>366.81</v>
      </c>
    </row>
    <row r="44" spans="1:20" x14ac:dyDescent="0.25">
      <c r="A44">
        <v>100043</v>
      </c>
      <c r="B44" s="6">
        <v>45923</v>
      </c>
      <c r="C44">
        <v>2025</v>
      </c>
      <c r="D44" t="s">
        <v>39</v>
      </c>
      <c r="E44">
        <v>9</v>
      </c>
      <c r="F44" t="s">
        <v>40</v>
      </c>
      <c r="G44" t="s">
        <v>35</v>
      </c>
      <c r="H44" t="s">
        <v>23</v>
      </c>
      <c r="I44" t="s">
        <v>77</v>
      </c>
      <c r="J44" t="s">
        <v>66</v>
      </c>
      <c r="K44" t="s">
        <v>51</v>
      </c>
      <c r="L44" t="s">
        <v>72</v>
      </c>
      <c r="M44">
        <v>78</v>
      </c>
      <c r="N44">
        <v>90</v>
      </c>
      <c r="O44">
        <v>7020</v>
      </c>
      <c r="P44">
        <v>4056</v>
      </c>
      <c r="Q44">
        <v>2964</v>
      </c>
      <c r="R44">
        <v>0</v>
      </c>
      <c r="S44" t="s">
        <v>57</v>
      </c>
      <c r="T44">
        <v>225.54</v>
      </c>
    </row>
    <row r="45" spans="1:20" x14ac:dyDescent="0.25">
      <c r="A45">
        <v>100044</v>
      </c>
      <c r="B45" s="6">
        <v>45838</v>
      </c>
      <c r="C45">
        <v>2025</v>
      </c>
      <c r="D45" t="s">
        <v>20</v>
      </c>
      <c r="E45">
        <v>6</v>
      </c>
      <c r="F45" t="s">
        <v>48</v>
      </c>
      <c r="G45" t="s">
        <v>35</v>
      </c>
      <c r="H45" t="s">
        <v>23</v>
      </c>
      <c r="I45" t="s">
        <v>36</v>
      </c>
      <c r="J45" t="s">
        <v>54</v>
      </c>
      <c r="K45" t="s">
        <v>59</v>
      </c>
      <c r="L45" t="s">
        <v>67</v>
      </c>
      <c r="M45">
        <v>109</v>
      </c>
      <c r="N45">
        <v>95</v>
      </c>
      <c r="O45">
        <v>10355</v>
      </c>
      <c r="P45">
        <v>6104</v>
      </c>
      <c r="Q45">
        <v>4251</v>
      </c>
      <c r="R45">
        <v>0</v>
      </c>
      <c r="S45" t="s">
        <v>38</v>
      </c>
      <c r="T45">
        <v>402.41</v>
      </c>
    </row>
    <row r="46" spans="1:20" x14ac:dyDescent="0.25">
      <c r="A46">
        <v>100045</v>
      </c>
      <c r="B46" s="6">
        <v>45728</v>
      </c>
      <c r="C46">
        <v>2025</v>
      </c>
      <c r="D46" t="s">
        <v>63</v>
      </c>
      <c r="E46">
        <v>3</v>
      </c>
      <c r="F46" t="s">
        <v>64</v>
      </c>
      <c r="G46" t="s">
        <v>29</v>
      </c>
      <c r="H46" t="s">
        <v>23</v>
      </c>
      <c r="I46" t="s">
        <v>30</v>
      </c>
      <c r="J46" t="s">
        <v>50</v>
      </c>
      <c r="K46" t="s">
        <v>32</v>
      </c>
      <c r="L46" t="s">
        <v>74</v>
      </c>
      <c r="M46">
        <v>105</v>
      </c>
      <c r="N46">
        <v>25</v>
      </c>
      <c r="O46">
        <v>2415</v>
      </c>
      <c r="P46">
        <v>1470</v>
      </c>
      <c r="Q46">
        <v>945</v>
      </c>
      <c r="R46">
        <v>0.08</v>
      </c>
      <c r="S46" t="s">
        <v>70</v>
      </c>
      <c r="T46">
        <v>123.72</v>
      </c>
    </row>
    <row r="47" spans="1:20" x14ac:dyDescent="0.25">
      <c r="A47">
        <v>100046</v>
      </c>
      <c r="B47" s="6">
        <v>45262</v>
      </c>
      <c r="C47">
        <v>2023</v>
      </c>
      <c r="D47" t="s">
        <v>43</v>
      </c>
      <c r="E47">
        <v>12</v>
      </c>
      <c r="F47" t="s">
        <v>83</v>
      </c>
      <c r="G47" t="s">
        <v>22</v>
      </c>
      <c r="H47" t="s">
        <v>23</v>
      </c>
      <c r="I47" t="s">
        <v>41</v>
      </c>
      <c r="J47" t="s">
        <v>50</v>
      </c>
      <c r="K47" t="s">
        <v>32</v>
      </c>
      <c r="L47" t="s">
        <v>47</v>
      </c>
      <c r="M47">
        <v>93</v>
      </c>
      <c r="N47">
        <v>180</v>
      </c>
      <c r="O47">
        <v>15903</v>
      </c>
      <c r="P47">
        <v>10695</v>
      </c>
      <c r="Q47">
        <v>5208</v>
      </c>
      <c r="R47">
        <v>0.05</v>
      </c>
      <c r="S47" t="s">
        <v>38</v>
      </c>
      <c r="T47">
        <v>578.05999999999995</v>
      </c>
    </row>
    <row r="48" spans="1:20" x14ac:dyDescent="0.25">
      <c r="A48">
        <v>100047</v>
      </c>
      <c r="B48" s="6">
        <v>45883</v>
      </c>
      <c r="C48">
        <v>2025</v>
      </c>
      <c r="D48" t="s">
        <v>39</v>
      </c>
      <c r="E48">
        <v>8</v>
      </c>
      <c r="F48" t="s">
        <v>58</v>
      </c>
      <c r="G48" t="s">
        <v>22</v>
      </c>
      <c r="H48" t="s">
        <v>23</v>
      </c>
      <c r="I48" t="s">
        <v>24</v>
      </c>
      <c r="J48" t="s">
        <v>50</v>
      </c>
      <c r="K48" t="s">
        <v>55</v>
      </c>
      <c r="L48" t="s">
        <v>89</v>
      </c>
      <c r="M48">
        <v>74</v>
      </c>
      <c r="N48">
        <v>280</v>
      </c>
      <c r="O48">
        <v>18648</v>
      </c>
      <c r="P48">
        <v>15170</v>
      </c>
      <c r="Q48">
        <v>3478</v>
      </c>
      <c r="R48">
        <v>0.1</v>
      </c>
      <c r="S48" t="s">
        <v>38</v>
      </c>
      <c r="T48">
        <v>1208.28</v>
      </c>
    </row>
    <row r="49" spans="1:20" x14ac:dyDescent="0.25">
      <c r="A49">
        <v>100048</v>
      </c>
      <c r="B49" s="6">
        <v>44938</v>
      </c>
      <c r="C49">
        <v>2023</v>
      </c>
      <c r="D49" t="s">
        <v>63</v>
      </c>
      <c r="E49">
        <v>1</v>
      </c>
      <c r="F49" t="s">
        <v>79</v>
      </c>
      <c r="G49" t="s">
        <v>22</v>
      </c>
      <c r="H49" t="s">
        <v>23</v>
      </c>
      <c r="I49" t="s">
        <v>41</v>
      </c>
      <c r="J49" t="s">
        <v>61</v>
      </c>
      <c r="K49" t="s">
        <v>32</v>
      </c>
      <c r="L49" t="s">
        <v>74</v>
      </c>
      <c r="M49">
        <v>44</v>
      </c>
      <c r="N49">
        <v>25</v>
      </c>
      <c r="O49">
        <v>1078</v>
      </c>
      <c r="P49">
        <v>616</v>
      </c>
      <c r="Q49">
        <v>462</v>
      </c>
      <c r="R49">
        <v>0.02</v>
      </c>
      <c r="S49" t="s">
        <v>57</v>
      </c>
      <c r="T49">
        <v>55.05</v>
      </c>
    </row>
    <row r="50" spans="1:20" x14ac:dyDescent="0.25">
      <c r="A50">
        <v>100049</v>
      </c>
      <c r="B50" s="6">
        <v>45948</v>
      </c>
      <c r="C50">
        <v>2025</v>
      </c>
      <c r="D50" t="s">
        <v>43</v>
      </c>
      <c r="E50">
        <v>10</v>
      </c>
      <c r="F50" t="s">
        <v>44</v>
      </c>
      <c r="G50" t="s">
        <v>35</v>
      </c>
      <c r="H50" t="s">
        <v>23</v>
      </c>
      <c r="I50" t="s">
        <v>53</v>
      </c>
      <c r="J50" t="s">
        <v>61</v>
      </c>
      <c r="K50" t="s">
        <v>51</v>
      </c>
      <c r="L50" t="s">
        <v>72</v>
      </c>
      <c r="M50">
        <v>67</v>
      </c>
      <c r="N50">
        <v>90</v>
      </c>
      <c r="O50">
        <v>5728.5</v>
      </c>
      <c r="P50">
        <v>3484</v>
      </c>
      <c r="Q50">
        <v>2244.5</v>
      </c>
      <c r="R50">
        <v>0.05</v>
      </c>
      <c r="S50" t="s">
        <v>38</v>
      </c>
      <c r="T50">
        <v>284.08999999999997</v>
      </c>
    </row>
    <row r="51" spans="1:20" x14ac:dyDescent="0.25">
      <c r="A51">
        <v>100050</v>
      </c>
      <c r="B51" s="6">
        <v>45655</v>
      </c>
      <c r="C51">
        <v>2024</v>
      </c>
      <c r="D51" t="s">
        <v>43</v>
      </c>
      <c r="E51">
        <v>12</v>
      </c>
      <c r="F51" t="s">
        <v>83</v>
      </c>
      <c r="G51" t="s">
        <v>45</v>
      </c>
      <c r="H51" t="s">
        <v>23</v>
      </c>
      <c r="I51" t="s">
        <v>46</v>
      </c>
      <c r="J51" t="s">
        <v>42</v>
      </c>
      <c r="K51" t="s">
        <v>51</v>
      </c>
      <c r="L51" t="s">
        <v>76</v>
      </c>
      <c r="M51">
        <v>110</v>
      </c>
      <c r="N51">
        <v>40</v>
      </c>
      <c r="O51">
        <v>4180</v>
      </c>
      <c r="P51">
        <v>2530</v>
      </c>
      <c r="Q51">
        <v>1650</v>
      </c>
      <c r="R51">
        <v>0.05</v>
      </c>
      <c r="S51" t="s">
        <v>57</v>
      </c>
      <c r="T51">
        <v>248.19</v>
      </c>
    </row>
    <row r="52" spans="1:20" x14ac:dyDescent="0.25">
      <c r="A52">
        <v>100051</v>
      </c>
      <c r="B52" s="6">
        <v>45904</v>
      </c>
      <c r="C52">
        <v>2025</v>
      </c>
      <c r="D52" t="s">
        <v>39</v>
      </c>
      <c r="E52">
        <v>9</v>
      </c>
      <c r="F52" t="s">
        <v>40</v>
      </c>
      <c r="G52" t="s">
        <v>45</v>
      </c>
      <c r="H52" t="s">
        <v>23</v>
      </c>
      <c r="I52" t="s">
        <v>90</v>
      </c>
      <c r="J52" t="s">
        <v>54</v>
      </c>
      <c r="K52" t="s">
        <v>59</v>
      </c>
      <c r="L52" t="s">
        <v>67</v>
      </c>
      <c r="M52">
        <v>46</v>
      </c>
      <c r="N52">
        <v>95</v>
      </c>
      <c r="O52">
        <v>4282.6000000000004</v>
      </c>
      <c r="P52">
        <v>2576</v>
      </c>
      <c r="Q52">
        <v>1706.6</v>
      </c>
      <c r="R52">
        <v>0.02</v>
      </c>
      <c r="S52" t="s">
        <v>57</v>
      </c>
      <c r="T52">
        <v>224.37</v>
      </c>
    </row>
    <row r="53" spans="1:20" x14ac:dyDescent="0.25">
      <c r="A53">
        <v>100052</v>
      </c>
      <c r="B53" s="6">
        <v>45799</v>
      </c>
      <c r="C53">
        <v>2025</v>
      </c>
      <c r="D53" t="s">
        <v>20</v>
      </c>
      <c r="E53">
        <v>5</v>
      </c>
      <c r="F53" t="s">
        <v>21</v>
      </c>
      <c r="G53" t="s">
        <v>35</v>
      </c>
      <c r="H53" t="s">
        <v>23</v>
      </c>
      <c r="I53" t="s">
        <v>77</v>
      </c>
      <c r="J53" t="s">
        <v>25</v>
      </c>
      <c r="K53" t="s">
        <v>59</v>
      </c>
      <c r="L53" t="s">
        <v>91</v>
      </c>
      <c r="M53">
        <v>121</v>
      </c>
      <c r="N53">
        <v>140</v>
      </c>
      <c r="O53">
        <v>16431.8</v>
      </c>
      <c r="P53">
        <v>9922</v>
      </c>
      <c r="Q53">
        <v>6509.8</v>
      </c>
      <c r="R53">
        <v>0.03</v>
      </c>
      <c r="S53" t="s">
        <v>38</v>
      </c>
      <c r="T53">
        <v>515.46</v>
      </c>
    </row>
    <row r="54" spans="1:20" x14ac:dyDescent="0.25">
      <c r="A54">
        <v>100053</v>
      </c>
      <c r="B54" s="6">
        <v>45322</v>
      </c>
      <c r="C54">
        <v>2024</v>
      </c>
      <c r="D54" t="s">
        <v>63</v>
      </c>
      <c r="E54">
        <v>1</v>
      </c>
      <c r="F54" t="s">
        <v>79</v>
      </c>
      <c r="G54" t="s">
        <v>45</v>
      </c>
      <c r="H54" t="s">
        <v>23</v>
      </c>
      <c r="I54" t="s">
        <v>46</v>
      </c>
      <c r="J54" t="s">
        <v>25</v>
      </c>
      <c r="K54" t="s">
        <v>26</v>
      </c>
      <c r="L54" t="s">
        <v>27</v>
      </c>
      <c r="M54">
        <v>37</v>
      </c>
      <c r="N54">
        <v>110</v>
      </c>
      <c r="O54">
        <v>3663</v>
      </c>
      <c r="P54">
        <v>2516</v>
      </c>
      <c r="Q54">
        <v>1147</v>
      </c>
      <c r="R54">
        <v>0.1</v>
      </c>
      <c r="S54" t="s">
        <v>70</v>
      </c>
      <c r="T54">
        <v>246.46</v>
      </c>
    </row>
    <row r="55" spans="1:20" x14ac:dyDescent="0.25">
      <c r="A55">
        <v>100054</v>
      </c>
      <c r="B55" s="6">
        <v>45070</v>
      </c>
      <c r="C55">
        <v>2023</v>
      </c>
      <c r="D55" t="s">
        <v>20</v>
      </c>
      <c r="E55">
        <v>5</v>
      </c>
      <c r="F55" t="s">
        <v>21</v>
      </c>
      <c r="G55" t="s">
        <v>45</v>
      </c>
      <c r="H55" t="s">
        <v>23</v>
      </c>
      <c r="I55" t="s">
        <v>46</v>
      </c>
      <c r="J55" t="s">
        <v>31</v>
      </c>
      <c r="K55" t="s">
        <v>51</v>
      </c>
      <c r="L55" t="s">
        <v>92</v>
      </c>
      <c r="M55">
        <v>132</v>
      </c>
      <c r="N55">
        <v>50</v>
      </c>
      <c r="O55">
        <v>6468</v>
      </c>
      <c r="P55">
        <v>3828</v>
      </c>
      <c r="Q55">
        <v>2640</v>
      </c>
      <c r="R55">
        <v>0.02</v>
      </c>
      <c r="S55" t="s">
        <v>57</v>
      </c>
      <c r="T55">
        <v>433.62</v>
      </c>
    </row>
    <row r="56" spans="1:20" x14ac:dyDescent="0.25">
      <c r="A56">
        <v>100055</v>
      </c>
      <c r="B56" s="6">
        <v>45035</v>
      </c>
      <c r="C56">
        <v>2023</v>
      </c>
      <c r="D56" t="s">
        <v>20</v>
      </c>
      <c r="E56">
        <v>4</v>
      </c>
      <c r="F56" t="s">
        <v>34</v>
      </c>
      <c r="G56" t="s">
        <v>45</v>
      </c>
      <c r="H56" t="s">
        <v>23</v>
      </c>
      <c r="I56" t="s">
        <v>88</v>
      </c>
      <c r="J56" t="s">
        <v>25</v>
      </c>
      <c r="K56" t="s">
        <v>55</v>
      </c>
      <c r="L56" t="s">
        <v>84</v>
      </c>
      <c r="M56">
        <v>131</v>
      </c>
      <c r="N56">
        <v>55</v>
      </c>
      <c r="O56">
        <v>6988.85</v>
      </c>
      <c r="P56">
        <v>4847</v>
      </c>
      <c r="Q56">
        <v>2141.85</v>
      </c>
      <c r="R56">
        <v>0.03</v>
      </c>
      <c r="S56" t="s">
        <v>57</v>
      </c>
      <c r="T56">
        <v>446.05</v>
      </c>
    </row>
    <row r="57" spans="1:20" x14ac:dyDescent="0.25">
      <c r="A57">
        <v>100056</v>
      </c>
      <c r="B57" s="6">
        <v>45677</v>
      </c>
      <c r="C57">
        <v>2025</v>
      </c>
      <c r="D57" t="s">
        <v>63</v>
      </c>
      <c r="E57">
        <v>1</v>
      </c>
      <c r="F57" t="s">
        <v>79</v>
      </c>
      <c r="G57" t="s">
        <v>29</v>
      </c>
      <c r="H57" t="s">
        <v>23</v>
      </c>
      <c r="I57" t="s">
        <v>73</v>
      </c>
      <c r="J57" t="s">
        <v>42</v>
      </c>
      <c r="K57" t="s">
        <v>26</v>
      </c>
      <c r="L57" t="s">
        <v>82</v>
      </c>
      <c r="M57">
        <v>16</v>
      </c>
      <c r="N57">
        <v>105</v>
      </c>
      <c r="O57">
        <v>1629.6</v>
      </c>
      <c r="P57">
        <v>976</v>
      </c>
      <c r="Q57">
        <v>653.6</v>
      </c>
      <c r="R57">
        <v>0.03</v>
      </c>
      <c r="S57" t="s">
        <v>57</v>
      </c>
      <c r="T57">
        <v>44.39</v>
      </c>
    </row>
    <row r="58" spans="1:20" x14ac:dyDescent="0.25">
      <c r="A58">
        <v>100057</v>
      </c>
      <c r="B58" s="6">
        <v>45560</v>
      </c>
      <c r="C58">
        <v>2024</v>
      </c>
      <c r="D58" t="s">
        <v>39</v>
      </c>
      <c r="E58">
        <v>9</v>
      </c>
      <c r="F58" t="s">
        <v>40</v>
      </c>
      <c r="G58" t="s">
        <v>35</v>
      </c>
      <c r="H58" t="s">
        <v>23</v>
      </c>
      <c r="I58" t="s">
        <v>77</v>
      </c>
      <c r="J58" t="s">
        <v>66</v>
      </c>
      <c r="K58" t="s">
        <v>59</v>
      </c>
      <c r="L58" t="s">
        <v>86</v>
      </c>
      <c r="M58">
        <v>92</v>
      </c>
      <c r="N58">
        <v>160</v>
      </c>
      <c r="O58">
        <v>13984</v>
      </c>
      <c r="P58">
        <v>8740</v>
      </c>
      <c r="Q58">
        <v>5244</v>
      </c>
      <c r="R58">
        <v>0.05</v>
      </c>
      <c r="S58" t="s">
        <v>57</v>
      </c>
      <c r="T58">
        <v>873.62</v>
      </c>
    </row>
    <row r="59" spans="1:20" x14ac:dyDescent="0.25">
      <c r="A59">
        <v>100058</v>
      </c>
      <c r="B59" s="6">
        <v>45437</v>
      </c>
      <c r="C59">
        <v>2024</v>
      </c>
      <c r="D59" t="s">
        <v>20</v>
      </c>
      <c r="E59">
        <v>5</v>
      </c>
      <c r="F59" t="s">
        <v>21</v>
      </c>
      <c r="G59" t="s">
        <v>22</v>
      </c>
      <c r="H59" t="s">
        <v>23</v>
      </c>
      <c r="I59" t="s">
        <v>71</v>
      </c>
      <c r="J59" t="s">
        <v>50</v>
      </c>
      <c r="K59" t="s">
        <v>59</v>
      </c>
      <c r="L59" t="s">
        <v>91</v>
      </c>
      <c r="M59">
        <v>79</v>
      </c>
      <c r="N59">
        <v>140</v>
      </c>
      <c r="O59">
        <v>10507</v>
      </c>
      <c r="P59">
        <v>6478</v>
      </c>
      <c r="Q59">
        <v>4029</v>
      </c>
      <c r="R59">
        <v>0.05</v>
      </c>
      <c r="S59" t="s">
        <v>70</v>
      </c>
      <c r="T59">
        <v>435.95</v>
      </c>
    </row>
    <row r="60" spans="1:20" x14ac:dyDescent="0.25">
      <c r="A60">
        <v>100059</v>
      </c>
      <c r="B60" s="6">
        <v>45017</v>
      </c>
      <c r="C60">
        <v>2023</v>
      </c>
      <c r="D60" t="s">
        <v>20</v>
      </c>
      <c r="E60">
        <v>4</v>
      </c>
      <c r="F60" t="s">
        <v>34</v>
      </c>
      <c r="G60" t="s">
        <v>35</v>
      </c>
      <c r="H60" t="s">
        <v>23</v>
      </c>
      <c r="I60" t="s">
        <v>36</v>
      </c>
      <c r="J60" t="s">
        <v>50</v>
      </c>
      <c r="K60" t="s">
        <v>51</v>
      </c>
      <c r="L60" t="s">
        <v>76</v>
      </c>
      <c r="M60">
        <v>150</v>
      </c>
      <c r="N60">
        <v>40</v>
      </c>
      <c r="O60">
        <v>5820</v>
      </c>
      <c r="P60">
        <v>3450</v>
      </c>
      <c r="Q60">
        <v>2370</v>
      </c>
      <c r="R60">
        <v>0.03</v>
      </c>
      <c r="S60" t="s">
        <v>38</v>
      </c>
      <c r="T60">
        <v>270.23</v>
      </c>
    </row>
    <row r="61" spans="1:20" x14ac:dyDescent="0.25">
      <c r="A61">
        <v>100060</v>
      </c>
      <c r="B61" s="6">
        <v>45755</v>
      </c>
      <c r="C61">
        <v>2025</v>
      </c>
      <c r="D61" t="s">
        <v>20</v>
      </c>
      <c r="E61">
        <v>4</v>
      </c>
      <c r="F61" t="s">
        <v>34</v>
      </c>
      <c r="G61" t="s">
        <v>22</v>
      </c>
      <c r="H61" t="s">
        <v>23</v>
      </c>
      <c r="I61" t="s">
        <v>71</v>
      </c>
      <c r="J61" t="s">
        <v>42</v>
      </c>
      <c r="K61" t="s">
        <v>26</v>
      </c>
      <c r="L61" t="s">
        <v>69</v>
      </c>
      <c r="M61">
        <v>101</v>
      </c>
      <c r="N61">
        <v>130</v>
      </c>
      <c r="O61">
        <v>11817</v>
      </c>
      <c r="P61">
        <v>7676</v>
      </c>
      <c r="Q61">
        <v>4141</v>
      </c>
      <c r="R61">
        <v>0.1</v>
      </c>
      <c r="S61" t="s">
        <v>38</v>
      </c>
      <c r="T61">
        <v>420.9</v>
      </c>
    </row>
    <row r="62" spans="1:20" x14ac:dyDescent="0.25">
      <c r="A62">
        <v>100061</v>
      </c>
      <c r="B62" s="6">
        <v>45855</v>
      </c>
      <c r="C62">
        <v>2025</v>
      </c>
      <c r="D62" t="s">
        <v>39</v>
      </c>
      <c r="E62">
        <v>7</v>
      </c>
      <c r="F62" t="s">
        <v>75</v>
      </c>
      <c r="G62" t="s">
        <v>35</v>
      </c>
      <c r="H62" t="s">
        <v>23</v>
      </c>
      <c r="I62" t="s">
        <v>77</v>
      </c>
      <c r="J62" t="s">
        <v>61</v>
      </c>
      <c r="K62" t="s">
        <v>55</v>
      </c>
      <c r="L62" t="s">
        <v>56</v>
      </c>
      <c r="M62">
        <v>70</v>
      </c>
      <c r="N62">
        <v>320</v>
      </c>
      <c r="O62">
        <v>21952</v>
      </c>
      <c r="P62">
        <v>16450</v>
      </c>
      <c r="Q62">
        <v>5502</v>
      </c>
      <c r="R62">
        <v>0.02</v>
      </c>
      <c r="S62" t="s">
        <v>28</v>
      </c>
      <c r="T62">
        <v>381.68</v>
      </c>
    </row>
    <row r="63" spans="1:20" x14ac:dyDescent="0.25">
      <c r="A63">
        <v>100062</v>
      </c>
      <c r="B63" s="6">
        <v>44973</v>
      </c>
      <c r="C63">
        <v>2023</v>
      </c>
      <c r="D63" t="s">
        <v>63</v>
      </c>
      <c r="E63">
        <v>2</v>
      </c>
      <c r="F63" t="s">
        <v>81</v>
      </c>
      <c r="G63" t="s">
        <v>45</v>
      </c>
      <c r="H63" t="s">
        <v>23</v>
      </c>
      <c r="I63" t="s">
        <v>46</v>
      </c>
      <c r="J63" t="s">
        <v>31</v>
      </c>
      <c r="K63" t="s">
        <v>26</v>
      </c>
      <c r="L63" t="s">
        <v>69</v>
      </c>
      <c r="M63">
        <v>10</v>
      </c>
      <c r="N63">
        <v>130</v>
      </c>
      <c r="O63">
        <v>1235</v>
      </c>
      <c r="P63">
        <v>760</v>
      </c>
      <c r="Q63">
        <v>475</v>
      </c>
      <c r="R63">
        <v>0.05</v>
      </c>
      <c r="S63" t="s">
        <v>57</v>
      </c>
      <c r="T63">
        <v>58.21</v>
      </c>
    </row>
    <row r="64" spans="1:20" x14ac:dyDescent="0.25">
      <c r="A64">
        <v>100063</v>
      </c>
      <c r="B64" s="6">
        <v>45897</v>
      </c>
      <c r="C64">
        <v>2025</v>
      </c>
      <c r="D64" t="s">
        <v>39</v>
      </c>
      <c r="E64">
        <v>8</v>
      </c>
      <c r="F64" t="s">
        <v>58</v>
      </c>
      <c r="G64" t="s">
        <v>29</v>
      </c>
      <c r="H64" t="s">
        <v>23</v>
      </c>
      <c r="I64" t="s">
        <v>85</v>
      </c>
      <c r="J64" t="s">
        <v>31</v>
      </c>
      <c r="K64" t="s">
        <v>55</v>
      </c>
      <c r="L64" t="s">
        <v>56</v>
      </c>
      <c r="M64">
        <v>111</v>
      </c>
      <c r="N64">
        <v>320</v>
      </c>
      <c r="O64">
        <v>34454.400000000001</v>
      </c>
      <c r="P64">
        <v>26085</v>
      </c>
      <c r="Q64">
        <v>8369.4</v>
      </c>
      <c r="R64">
        <v>0.03</v>
      </c>
      <c r="S64" t="s">
        <v>38</v>
      </c>
      <c r="T64">
        <v>1691.96</v>
      </c>
    </row>
    <row r="65" spans="1:20" x14ac:dyDescent="0.25">
      <c r="A65">
        <v>100064</v>
      </c>
      <c r="B65" s="6">
        <v>45602</v>
      </c>
      <c r="C65">
        <v>2024</v>
      </c>
      <c r="D65" t="s">
        <v>43</v>
      </c>
      <c r="E65">
        <v>11</v>
      </c>
      <c r="F65" t="s">
        <v>87</v>
      </c>
      <c r="G65" t="s">
        <v>35</v>
      </c>
      <c r="H65" t="s">
        <v>23</v>
      </c>
      <c r="I65" t="s">
        <v>80</v>
      </c>
      <c r="J65" t="s">
        <v>31</v>
      </c>
      <c r="K65" t="s">
        <v>51</v>
      </c>
      <c r="L65" t="s">
        <v>76</v>
      </c>
      <c r="M65">
        <v>37</v>
      </c>
      <c r="N65">
        <v>40</v>
      </c>
      <c r="O65">
        <v>1480</v>
      </c>
      <c r="P65">
        <v>851</v>
      </c>
      <c r="Q65">
        <v>629</v>
      </c>
      <c r="R65">
        <v>0</v>
      </c>
      <c r="S65" t="s">
        <v>70</v>
      </c>
      <c r="T65">
        <v>101.52</v>
      </c>
    </row>
    <row r="66" spans="1:20" x14ac:dyDescent="0.25">
      <c r="A66">
        <v>100065</v>
      </c>
      <c r="B66" s="6">
        <v>45885</v>
      </c>
      <c r="C66">
        <v>2025</v>
      </c>
      <c r="D66" t="s">
        <v>39</v>
      </c>
      <c r="E66">
        <v>8</v>
      </c>
      <c r="F66" t="s">
        <v>58</v>
      </c>
      <c r="G66" t="s">
        <v>45</v>
      </c>
      <c r="H66" t="s">
        <v>23</v>
      </c>
      <c r="I66" t="s">
        <v>46</v>
      </c>
      <c r="J66" t="s">
        <v>68</v>
      </c>
      <c r="K66" t="s">
        <v>51</v>
      </c>
      <c r="L66" t="s">
        <v>72</v>
      </c>
      <c r="M66">
        <v>150</v>
      </c>
      <c r="N66">
        <v>90</v>
      </c>
      <c r="O66">
        <v>12420</v>
      </c>
      <c r="P66">
        <v>7800</v>
      </c>
      <c r="Q66">
        <v>4620</v>
      </c>
      <c r="R66">
        <v>0.08</v>
      </c>
      <c r="S66" t="s">
        <v>70</v>
      </c>
      <c r="T66">
        <v>748.18</v>
      </c>
    </row>
    <row r="67" spans="1:20" x14ac:dyDescent="0.25">
      <c r="A67">
        <v>100066</v>
      </c>
      <c r="B67" s="6">
        <v>45635</v>
      </c>
      <c r="C67">
        <v>2024</v>
      </c>
      <c r="D67" t="s">
        <v>43</v>
      </c>
      <c r="E67">
        <v>12</v>
      </c>
      <c r="F67" t="s">
        <v>83</v>
      </c>
      <c r="G67" t="s">
        <v>22</v>
      </c>
      <c r="H67" t="s">
        <v>23</v>
      </c>
      <c r="I67" t="s">
        <v>71</v>
      </c>
      <c r="J67" t="s">
        <v>54</v>
      </c>
      <c r="K67" t="s">
        <v>51</v>
      </c>
      <c r="L67" t="s">
        <v>72</v>
      </c>
      <c r="M67">
        <v>39</v>
      </c>
      <c r="N67">
        <v>90</v>
      </c>
      <c r="O67">
        <v>3229.2</v>
      </c>
      <c r="P67">
        <v>2028</v>
      </c>
      <c r="Q67">
        <v>1201.2</v>
      </c>
      <c r="R67">
        <v>0.08</v>
      </c>
      <c r="S67" t="s">
        <v>70</v>
      </c>
      <c r="T67">
        <v>56.47</v>
      </c>
    </row>
    <row r="68" spans="1:20" x14ac:dyDescent="0.25">
      <c r="A68">
        <v>100067</v>
      </c>
      <c r="B68" s="6">
        <v>45300</v>
      </c>
      <c r="C68">
        <v>2024</v>
      </c>
      <c r="D68" t="s">
        <v>63</v>
      </c>
      <c r="E68">
        <v>1</v>
      </c>
      <c r="F68" t="s">
        <v>79</v>
      </c>
      <c r="G68" t="s">
        <v>45</v>
      </c>
      <c r="H68" t="s">
        <v>23</v>
      </c>
      <c r="I68" t="s">
        <v>88</v>
      </c>
      <c r="J68" t="s">
        <v>66</v>
      </c>
      <c r="K68" t="s">
        <v>55</v>
      </c>
      <c r="L68" t="s">
        <v>93</v>
      </c>
      <c r="M68">
        <v>20</v>
      </c>
      <c r="N68">
        <v>60</v>
      </c>
      <c r="O68">
        <v>1140</v>
      </c>
      <c r="P68">
        <v>840</v>
      </c>
      <c r="Q68">
        <v>300</v>
      </c>
      <c r="R68">
        <v>0.05</v>
      </c>
      <c r="S68" t="s">
        <v>57</v>
      </c>
      <c r="T68">
        <v>40.98</v>
      </c>
    </row>
    <row r="69" spans="1:20" x14ac:dyDescent="0.25">
      <c r="A69">
        <v>100068</v>
      </c>
      <c r="B69" s="6">
        <v>45615</v>
      </c>
      <c r="C69">
        <v>2024</v>
      </c>
      <c r="D69" t="s">
        <v>43</v>
      </c>
      <c r="E69">
        <v>11</v>
      </c>
      <c r="F69" t="s">
        <v>87</v>
      </c>
      <c r="G69" t="s">
        <v>45</v>
      </c>
      <c r="H69" t="s">
        <v>23</v>
      </c>
      <c r="I69" t="s">
        <v>46</v>
      </c>
      <c r="J69" t="s">
        <v>50</v>
      </c>
      <c r="K69" t="s">
        <v>59</v>
      </c>
      <c r="L69" t="s">
        <v>67</v>
      </c>
      <c r="M69">
        <v>138</v>
      </c>
      <c r="N69">
        <v>95</v>
      </c>
      <c r="O69">
        <v>13110</v>
      </c>
      <c r="P69">
        <v>7728</v>
      </c>
      <c r="Q69">
        <v>5382</v>
      </c>
      <c r="R69">
        <v>0</v>
      </c>
      <c r="S69" t="s">
        <v>57</v>
      </c>
      <c r="T69">
        <v>250.99</v>
      </c>
    </row>
    <row r="70" spans="1:20" x14ac:dyDescent="0.25">
      <c r="A70">
        <v>100069</v>
      </c>
      <c r="B70" s="6">
        <v>45697</v>
      </c>
      <c r="C70">
        <v>2025</v>
      </c>
      <c r="D70" t="s">
        <v>63</v>
      </c>
      <c r="E70">
        <v>2</v>
      </c>
      <c r="F70" t="s">
        <v>81</v>
      </c>
      <c r="G70" t="s">
        <v>45</v>
      </c>
      <c r="H70" t="s">
        <v>23</v>
      </c>
      <c r="I70" t="s">
        <v>90</v>
      </c>
      <c r="J70" t="s">
        <v>66</v>
      </c>
      <c r="K70" t="s">
        <v>26</v>
      </c>
      <c r="L70" t="s">
        <v>27</v>
      </c>
      <c r="M70">
        <v>92</v>
      </c>
      <c r="N70">
        <v>110</v>
      </c>
      <c r="O70">
        <v>9917.6</v>
      </c>
      <c r="P70">
        <v>6256</v>
      </c>
      <c r="Q70">
        <v>3661.6</v>
      </c>
      <c r="R70">
        <v>0.02</v>
      </c>
      <c r="S70" t="s">
        <v>38</v>
      </c>
      <c r="T70">
        <v>394.52</v>
      </c>
    </row>
    <row r="71" spans="1:20" x14ac:dyDescent="0.25">
      <c r="A71">
        <v>100070</v>
      </c>
      <c r="B71" s="6">
        <v>45611</v>
      </c>
      <c r="C71">
        <v>2024</v>
      </c>
      <c r="D71" t="s">
        <v>43</v>
      </c>
      <c r="E71">
        <v>11</v>
      </c>
      <c r="F71" t="s">
        <v>87</v>
      </c>
      <c r="G71" t="s">
        <v>45</v>
      </c>
      <c r="H71" t="s">
        <v>23</v>
      </c>
      <c r="I71" t="s">
        <v>62</v>
      </c>
      <c r="J71" t="s">
        <v>54</v>
      </c>
      <c r="K71" t="s">
        <v>51</v>
      </c>
      <c r="L71" t="s">
        <v>92</v>
      </c>
      <c r="M71">
        <v>41</v>
      </c>
      <c r="N71">
        <v>50</v>
      </c>
      <c r="O71">
        <v>2050</v>
      </c>
      <c r="P71">
        <v>1189</v>
      </c>
      <c r="Q71">
        <v>861</v>
      </c>
      <c r="R71">
        <v>0</v>
      </c>
      <c r="S71" t="s">
        <v>57</v>
      </c>
      <c r="T71">
        <v>61.04</v>
      </c>
    </row>
    <row r="72" spans="1:20" x14ac:dyDescent="0.25">
      <c r="A72">
        <v>100071</v>
      </c>
      <c r="B72" s="6">
        <v>45600</v>
      </c>
      <c r="C72">
        <v>2024</v>
      </c>
      <c r="D72" t="s">
        <v>43</v>
      </c>
      <c r="E72">
        <v>11</v>
      </c>
      <c r="F72" t="s">
        <v>87</v>
      </c>
      <c r="G72" t="s">
        <v>35</v>
      </c>
      <c r="H72" t="s">
        <v>23</v>
      </c>
      <c r="I72" t="s">
        <v>36</v>
      </c>
      <c r="J72" t="s">
        <v>66</v>
      </c>
      <c r="K72" t="s">
        <v>26</v>
      </c>
      <c r="L72" t="s">
        <v>78</v>
      </c>
      <c r="M72">
        <v>21</v>
      </c>
      <c r="N72">
        <v>95</v>
      </c>
      <c r="O72">
        <v>1835.4</v>
      </c>
      <c r="P72">
        <v>1218</v>
      </c>
      <c r="Q72">
        <v>617.4</v>
      </c>
      <c r="R72">
        <v>0.08</v>
      </c>
      <c r="S72" t="s">
        <v>28</v>
      </c>
      <c r="T72">
        <v>125.25</v>
      </c>
    </row>
    <row r="73" spans="1:20" x14ac:dyDescent="0.25">
      <c r="A73">
        <v>100072</v>
      </c>
      <c r="B73" s="6">
        <v>45327</v>
      </c>
      <c r="C73">
        <v>2024</v>
      </c>
      <c r="D73" t="s">
        <v>63</v>
      </c>
      <c r="E73">
        <v>2</v>
      </c>
      <c r="F73" t="s">
        <v>81</v>
      </c>
      <c r="G73" t="s">
        <v>29</v>
      </c>
      <c r="H73" t="s">
        <v>23</v>
      </c>
      <c r="I73" t="s">
        <v>30</v>
      </c>
      <c r="J73" t="s">
        <v>54</v>
      </c>
      <c r="K73" t="s">
        <v>32</v>
      </c>
      <c r="L73" t="s">
        <v>74</v>
      </c>
      <c r="M73">
        <v>94</v>
      </c>
      <c r="N73">
        <v>25</v>
      </c>
      <c r="O73">
        <v>2232.5</v>
      </c>
      <c r="P73">
        <v>1316</v>
      </c>
      <c r="Q73">
        <v>916.5</v>
      </c>
      <c r="R73">
        <v>0.05</v>
      </c>
      <c r="S73" t="s">
        <v>38</v>
      </c>
      <c r="T73">
        <v>132.34</v>
      </c>
    </row>
    <row r="74" spans="1:20" x14ac:dyDescent="0.25">
      <c r="A74">
        <v>100073</v>
      </c>
      <c r="B74" s="6">
        <v>45690</v>
      </c>
      <c r="C74">
        <v>2025</v>
      </c>
      <c r="D74" t="s">
        <v>63</v>
      </c>
      <c r="E74">
        <v>2</v>
      </c>
      <c r="F74" t="s">
        <v>81</v>
      </c>
      <c r="G74" t="s">
        <v>35</v>
      </c>
      <c r="H74" t="s">
        <v>23</v>
      </c>
      <c r="I74" t="s">
        <v>36</v>
      </c>
      <c r="J74" t="s">
        <v>68</v>
      </c>
      <c r="K74" t="s">
        <v>59</v>
      </c>
      <c r="L74" t="s">
        <v>86</v>
      </c>
      <c r="M74">
        <v>39</v>
      </c>
      <c r="N74">
        <v>160</v>
      </c>
      <c r="O74">
        <v>6052.8</v>
      </c>
      <c r="P74">
        <v>3705</v>
      </c>
      <c r="Q74">
        <v>2347.8000000000002</v>
      </c>
      <c r="R74">
        <v>0.03</v>
      </c>
      <c r="S74" t="s">
        <v>38</v>
      </c>
      <c r="T74">
        <v>121.09</v>
      </c>
    </row>
    <row r="75" spans="1:20" x14ac:dyDescent="0.25">
      <c r="A75">
        <v>100074</v>
      </c>
      <c r="B75" s="6">
        <v>45092</v>
      </c>
      <c r="C75">
        <v>2023</v>
      </c>
      <c r="D75" t="s">
        <v>20</v>
      </c>
      <c r="E75">
        <v>6</v>
      </c>
      <c r="F75" t="s">
        <v>48</v>
      </c>
      <c r="G75" t="s">
        <v>45</v>
      </c>
      <c r="H75" t="s">
        <v>23</v>
      </c>
      <c r="I75" t="s">
        <v>62</v>
      </c>
      <c r="J75" t="s">
        <v>50</v>
      </c>
      <c r="K75" t="s">
        <v>55</v>
      </c>
      <c r="L75" t="s">
        <v>84</v>
      </c>
      <c r="M75">
        <v>115</v>
      </c>
      <c r="N75">
        <v>55</v>
      </c>
      <c r="O75">
        <v>5819</v>
      </c>
      <c r="P75">
        <v>4255</v>
      </c>
      <c r="Q75">
        <v>1564</v>
      </c>
      <c r="R75">
        <v>0.08</v>
      </c>
      <c r="S75" t="s">
        <v>70</v>
      </c>
      <c r="T75">
        <v>391.17</v>
      </c>
    </row>
    <row r="76" spans="1:20" x14ac:dyDescent="0.25">
      <c r="A76">
        <v>100075</v>
      </c>
      <c r="B76" s="6">
        <v>45711</v>
      </c>
      <c r="C76">
        <v>2025</v>
      </c>
      <c r="D76" t="s">
        <v>63</v>
      </c>
      <c r="E76">
        <v>2</v>
      </c>
      <c r="F76" t="s">
        <v>81</v>
      </c>
      <c r="G76" t="s">
        <v>29</v>
      </c>
      <c r="H76" t="s">
        <v>23</v>
      </c>
      <c r="I76" t="s">
        <v>49</v>
      </c>
      <c r="J76" t="s">
        <v>25</v>
      </c>
      <c r="K76" t="s">
        <v>51</v>
      </c>
      <c r="L76" t="s">
        <v>76</v>
      </c>
      <c r="M76">
        <v>15</v>
      </c>
      <c r="N76">
        <v>40</v>
      </c>
      <c r="O76">
        <v>582</v>
      </c>
      <c r="P76">
        <v>345</v>
      </c>
      <c r="Q76">
        <v>237</v>
      </c>
      <c r="R76">
        <v>0.03</v>
      </c>
      <c r="S76" t="s">
        <v>70</v>
      </c>
      <c r="T76">
        <v>19.25</v>
      </c>
    </row>
    <row r="77" spans="1:20" x14ac:dyDescent="0.25">
      <c r="A77">
        <v>100076</v>
      </c>
      <c r="B77" s="6">
        <v>45037</v>
      </c>
      <c r="C77">
        <v>2023</v>
      </c>
      <c r="D77" t="s">
        <v>20</v>
      </c>
      <c r="E77">
        <v>4</v>
      </c>
      <c r="F77" t="s">
        <v>34</v>
      </c>
      <c r="G77" t="s">
        <v>45</v>
      </c>
      <c r="H77" t="s">
        <v>23</v>
      </c>
      <c r="I77" t="s">
        <v>90</v>
      </c>
      <c r="J77" t="s">
        <v>50</v>
      </c>
      <c r="K77" t="s">
        <v>32</v>
      </c>
      <c r="L77" t="s">
        <v>74</v>
      </c>
      <c r="M77">
        <v>127</v>
      </c>
      <c r="N77">
        <v>25</v>
      </c>
      <c r="O77">
        <v>3016.25</v>
      </c>
      <c r="P77">
        <v>1778</v>
      </c>
      <c r="Q77">
        <v>1238.25</v>
      </c>
      <c r="R77">
        <v>0.05</v>
      </c>
      <c r="S77" t="s">
        <v>38</v>
      </c>
      <c r="T77">
        <v>75.12</v>
      </c>
    </row>
    <row r="78" spans="1:20" x14ac:dyDescent="0.25">
      <c r="A78">
        <v>100077</v>
      </c>
      <c r="B78" s="6">
        <v>45593</v>
      </c>
      <c r="C78">
        <v>2024</v>
      </c>
      <c r="D78" t="s">
        <v>43</v>
      </c>
      <c r="E78">
        <v>10</v>
      </c>
      <c r="F78" t="s">
        <v>44</v>
      </c>
      <c r="G78" t="s">
        <v>45</v>
      </c>
      <c r="H78" t="s">
        <v>23</v>
      </c>
      <c r="I78" t="s">
        <v>62</v>
      </c>
      <c r="J78" t="s">
        <v>50</v>
      </c>
      <c r="K78" t="s">
        <v>32</v>
      </c>
      <c r="L78" t="s">
        <v>33</v>
      </c>
      <c r="M78">
        <v>60</v>
      </c>
      <c r="N78">
        <v>60</v>
      </c>
      <c r="O78">
        <v>3600</v>
      </c>
      <c r="P78">
        <v>2280</v>
      </c>
      <c r="Q78">
        <v>1320</v>
      </c>
      <c r="R78">
        <v>0</v>
      </c>
      <c r="S78" t="s">
        <v>38</v>
      </c>
      <c r="T78">
        <v>87.45</v>
      </c>
    </row>
    <row r="79" spans="1:20" x14ac:dyDescent="0.25">
      <c r="A79">
        <v>100078</v>
      </c>
      <c r="B79" s="6">
        <v>45460</v>
      </c>
      <c r="C79">
        <v>2024</v>
      </c>
      <c r="D79" t="s">
        <v>20</v>
      </c>
      <c r="E79">
        <v>6</v>
      </c>
      <c r="F79" t="s">
        <v>48</v>
      </c>
      <c r="G79" t="s">
        <v>45</v>
      </c>
      <c r="H79" t="s">
        <v>23</v>
      </c>
      <c r="I79" t="s">
        <v>88</v>
      </c>
      <c r="J79" t="s">
        <v>66</v>
      </c>
      <c r="K79" t="s">
        <v>32</v>
      </c>
      <c r="L79" t="s">
        <v>37</v>
      </c>
      <c r="M79">
        <v>21</v>
      </c>
      <c r="N79">
        <v>120</v>
      </c>
      <c r="O79">
        <v>2469.6</v>
      </c>
      <c r="P79">
        <v>1638</v>
      </c>
      <c r="Q79">
        <v>831.6</v>
      </c>
      <c r="R79">
        <v>0.02</v>
      </c>
      <c r="S79" t="s">
        <v>38</v>
      </c>
      <c r="T79">
        <v>86.52</v>
      </c>
    </row>
    <row r="80" spans="1:20" x14ac:dyDescent="0.25">
      <c r="A80">
        <v>100079</v>
      </c>
      <c r="B80" s="6">
        <v>45720</v>
      </c>
      <c r="C80">
        <v>2025</v>
      </c>
      <c r="D80" t="s">
        <v>63</v>
      </c>
      <c r="E80">
        <v>3</v>
      </c>
      <c r="F80" t="s">
        <v>64</v>
      </c>
      <c r="G80" t="s">
        <v>45</v>
      </c>
      <c r="H80" t="s">
        <v>23</v>
      </c>
      <c r="I80" t="s">
        <v>90</v>
      </c>
      <c r="J80" t="s">
        <v>61</v>
      </c>
      <c r="K80" t="s">
        <v>59</v>
      </c>
      <c r="L80" t="s">
        <v>67</v>
      </c>
      <c r="M80">
        <v>65</v>
      </c>
      <c r="N80">
        <v>95</v>
      </c>
      <c r="O80">
        <v>5681</v>
      </c>
      <c r="P80">
        <v>3640</v>
      </c>
      <c r="Q80">
        <v>2041</v>
      </c>
      <c r="R80">
        <v>0.08</v>
      </c>
      <c r="S80" t="s">
        <v>38</v>
      </c>
      <c r="T80">
        <v>372.95</v>
      </c>
    </row>
    <row r="81" spans="1:20" x14ac:dyDescent="0.25">
      <c r="A81">
        <v>100080</v>
      </c>
      <c r="B81" s="6">
        <v>45730</v>
      </c>
      <c r="C81">
        <v>2025</v>
      </c>
      <c r="D81" t="s">
        <v>63</v>
      </c>
      <c r="E81">
        <v>3</v>
      </c>
      <c r="F81" t="s">
        <v>64</v>
      </c>
      <c r="G81" t="s">
        <v>45</v>
      </c>
      <c r="H81" t="s">
        <v>23</v>
      </c>
      <c r="I81" t="s">
        <v>62</v>
      </c>
      <c r="J81" t="s">
        <v>68</v>
      </c>
      <c r="K81" t="s">
        <v>26</v>
      </c>
      <c r="L81" t="s">
        <v>27</v>
      </c>
      <c r="M81">
        <v>56</v>
      </c>
      <c r="N81">
        <v>110</v>
      </c>
      <c r="O81">
        <v>5975.2</v>
      </c>
      <c r="P81">
        <v>3808</v>
      </c>
      <c r="Q81">
        <v>2167.1999999999998</v>
      </c>
      <c r="R81">
        <v>0.03</v>
      </c>
      <c r="S81" t="s">
        <v>57</v>
      </c>
      <c r="T81">
        <v>248.86</v>
      </c>
    </row>
    <row r="82" spans="1:20" x14ac:dyDescent="0.25">
      <c r="A82">
        <v>100081</v>
      </c>
      <c r="B82" s="6">
        <v>45004</v>
      </c>
      <c r="C82">
        <v>2023</v>
      </c>
      <c r="D82" t="s">
        <v>63</v>
      </c>
      <c r="E82">
        <v>3</v>
      </c>
      <c r="F82" t="s">
        <v>64</v>
      </c>
      <c r="G82" t="s">
        <v>29</v>
      </c>
      <c r="H82" t="s">
        <v>23</v>
      </c>
      <c r="I82" t="s">
        <v>85</v>
      </c>
      <c r="J82" t="s">
        <v>54</v>
      </c>
      <c r="K82" t="s">
        <v>26</v>
      </c>
      <c r="L82" t="s">
        <v>78</v>
      </c>
      <c r="M82">
        <v>65</v>
      </c>
      <c r="N82">
        <v>95</v>
      </c>
      <c r="O82">
        <v>6175</v>
      </c>
      <c r="P82">
        <v>3770</v>
      </c>
      <c r="Q82">
        <v>2405</v>
      </c>
      <c r="R82">
        <v>0</v>
      </c>
      <c r="S82" t="s">
        <v>70</v>
      </c>
      <c r="T82">
        <v>326</v>
      </c>
    </row>
    <row r="83" spans="1:20" x14ac:dyDescent="0.25">
      <c r="A83">
        <v>100082</v>
      </c>
      <c r="B83" s="6">
        <v>45732</v>
      </c>
      <c r="C83">
        <v>2025</v>
      </c>
      <c r="D83" t="s">
        <v>63</v>
      </c>
      <c r="E83">
        <v>3</v>
      </c>
      <c r="F83" t="s">
        <v>64</v>
      </c>
      <c r="G83" t="s">
        <v>22</v>
      </c>
      <c r="H83" t="s">
        <v>23</v>
      </c>
      <c r="I83" t="s">
        <v>24</v>
      </c>
      <c r="J83" t="s">
        <v>42</v>
      </c>
      <c r="K83" t="s">
        <v>51</v>
      </c>
      <c r="L83" t="s">
        <v>92</v>
      </c>
      <c r="M83">
        <v>128</v>
      </c>
      <c r="N83">
        <v>50</v>
      </c>
      <c r="O83">
        <v>6208</v>
      </c>
      <c r="P83">
        <v>3712</v>
      </c>
      <c r="Q83">
        <v>2496</v>
      </c>
      <c r="R83">
        <v>0.03</v>
      </c>
      <c r="S83" t="s">
        <v>57</v>
      </c>
      <c r="T83">
        <v>99.97</v>
      </c>
    </row>
    <row r="84" spans="1:20" x14ac:dyDescent="0.25">
      <c r="A84">
        <v>100083</v>
      </c>
      <c r="B84" s="6">
        <v>45012</v>
      </c>
      <c r="C84">
        <v>2023</v>
      </c>
      <c r="D84" t="s">
        <v>63</v>
      </c>
      <c r="E84">
        <v>3</v>
      </c>
      <c r="F84" t="s">
        <v>64</v>
      </c>
      <c r="G84" t="s">
        <v>35</v>
      </c>
      <c r="H84" t="s">
        <v>23</v>
      </c>
      <c r="I84" t="s">
        <v>36</v>
      </c>
      <c r="J84" t="s">
        <v>25</v>
      </c>
      <c r="K84" t="s">
        <v>32</v>
      </c>
      <c r="L84" t="s">
        <v>37</v>
      </c>
      <c r="M84">
        <v>22</v>
      </c>
      <c r="N84">
        <v>120</v>
      </c>
      <c r="O84">
        <v>2508</v>
      </c>
      <c r="P84">
        <v>1716</v>
      </c>
      <c r="Q84">
        <v>792</v>
      </c>
      <c r="R84">
        <v>0.05</v>
      </c>
      <c r="S84" t="s">
        <v>70</v>
      </c>
      <c r="T84">
        <v>131.30000000000001</v>
      </c>
    </row>
    <row r="85" spans="1:20" x14ac:dyDescent="0.25">
      <c r="A85">
        <v>100084</v>
      </c>
      <c r="B85" s="6">
        <v>45037</v>
      </c>
      <c r="C85">
        <v>2023</v>
      </c>
      <c r="D85" t="s">
        <v>20</v>
      </c>
      <c r="E85">
        <v>4</v>
      </c>
      <c r="F85" t="s">
        <v>34</v>
      </c>
      <c r="G85" t="s">
        <v>29</v>
      </c>
      <c r="H85" t="s">
        <v>23</v>
      </c>
      <c r="I85" t="s">
        <v>30</v>
      </c>
      <c r="J85" t="s">
        <v>68</v>
      </c>
      <c r="K85" t="s">
        <v>26</v>
      </c>
      <c r="L85" t="s">
        <v>69</v>
      </c>
      <c r="M85">
        <v>17</v>
      </c>
      <c r="N85">
        <v>130</v>
      </c>
      <c r="O85">
        <v>2099.5</v>
      </c>
      <c r="P85">
        <v>1292</v>
      </c>
      <c r="Q85">
        <v>807.5</v>
      </c>
      <c r="R85">
        <v>0.05</v>
      </c>
      <c r="S85" t="s">
        <v>38</v>
      </c>
      <c r="T85">
        <v>96.67</v>
      </c>
    </row>
    <row r="86" spans="1:20" x14ac:dyDescent="0.25">
      <c r="A86">
        <v>100085</v>
      </c>
      <c r="B86" s="6">
        <v>45618</v>
      </c>
      <c r="C86">
        <v>2024</v>
      </c>
      <c r="D86" t="s">
        <v>43</v>
      </c>
      <c r="E86">
        <v>11</v>
      </c>
      <c r="F86" t="s">
        <v>87</v>
      </c>
      <c r="G86" t="s">
        <v>35</v>
      </c>
      <c r="H86" t="s">
        <v>23</v>
      </c>
      <c r="I86" t="s">
        <v>80</v>
      </c>
      <c r="J86" t="s">
        <v>42</v>
      </c>
      <c r="K86" t="s">
        <v>59</v>
      </c>
      <c r="L86" t="s">
        <v>91</v>
      </c>
      <c r="M86">
        <v>68</v>
      </c>
      <c r="N86">
        <v>140</v>
      </c>
      <c r="O86">
        <v>8568</v>
      </c>
      <c r="P86">
        <v>5576</v>
      </c>
      <c r="Q86">
        <v>2992</v>
      </c>
      <c r="R86">
        <v>0.1</v>
      </c>
      <c r="S86" t="s">
        <v>38</v>
      </c>
      <c r="T86">
        <v>413.99</v>
      </c>
    </row>
    <row r="87" spans="1:20" x14ac:dyDescent="0.25">
      <c r="A87">
        <v>100086</v>
      </c>
      <c r="B87" s="6">
        <v>45203</v>
      </c>
      <c r="C87">
        <v>2023</v>
      </c>
      <c r="D87" t="s">
        <v>43</v>
      </c>
      <c r="E87">
        <v>10</v>
      </c>
      <c r="F87" t="s">
        <v>44</v>
      </c>
      <c r="G87" t="s">
        <v>35</v>
      </c>
      <c r="H87" t="s">
        <v>23</v>
      </c>
      <c r="I87" t="s">
        <v>36</v>
      </c>
      <c r="J87" t="s">
        <v>54</v>
      </c>
      <c r="K87" t="s">
        <v>51</v>
      </c>
      <c r="L87" t="s">
        <v>72</v>
      </c>
      <c r="M87">
        <v>103</v>
      </c>
      <c r="N87">
        <v>90</v>
      </c>
      <c r="O87">
        <v>9084.6</v>
      </c>
      <c r="P87">
        <v>5356</v>
      </c>
      <c r="Q87">
        <v>3728.6</v>
      </c>
      <c r="R87">
        <v>0.02</v>
      </c>
      <c r="S87" t="s">
        <v>38</v>
      </c>
      <c r="T87">
        <v>278.72000000000003</v>
      </c>
    </row>
    <row r="88" spans="1:20" x14ac:dyDescent="0.25">
      <c r="A88">
        <v>100087</v>
      </c>
      <c r="B88" s="6">
        <v>45685</v>
      </c>
      <c r="C88">
        <v>2025</v>
      </c>
      <c r="D88" t="s">
        <v>63</v>
      </c>
      <c r="E88">
        <v>1</v>
      </c>
      <c r="F88" t="s">
        <v>79</v>
      </c>
      <c r="G88" t="s">
        <v>22</v>
      </c>
      <c r="H88" t="s">
        <v>23</v>
      </c>
      <c r="I88" t="s">
        <v>24</v>
      </c>
      <c r="J88" t="s">
        <v>50</v>
      </c>
      <c r="K88" t="s">
        <v>32</v>
      </c>
      <c r="L88" t="s">
        <v>37</v>
      </c>
      <c r="M88">
        <v>45</v>
      </c>
      <c r="N88">
        <v>120</v>
      </c>
      <c r="O88">
        <v>4860</v>
      </c>
      <c r="P88">
        <v>3510</v>
      </c>
      <c r="Q88">
        <v>1350</v>
      </c>
      <c r="R88">
        <v>0.1</v>
      </c>
      <c r="S88" t="s">
        <v>28</v>
      </c>
      <c r="T88">
        <v>312.56</v>
      </c>
    </row>
    <row r="89" spans="1:20" x14ac:dyDescent="0.25">
      <c r="A89">
        <v>100088</v>
      </c>
      <c r="B89" s="6">
        <v>44930</v>
      </c>
      <c r="C89">
        <v>2023</v>
      </c>
      <c r="D89" t="s">
        <v>63</v>
      </c>
      <c r="E89">
        <v>1</v>
      </c>
      <c r="F89" t="s">
        <v>79</v>
      </c>
      <c r="G89" t="s">
        <v>22</v>
      </c>
      <c r="H89" t="s">
        <v>23</v>
      </c>
      <c r="I89" t="s">
        <v>41</v>
      </c>
      <c r="J89" t="s">
        <v>31</v>
      </c>
      <c r="K89" t="s">
        <v>55</v>
      </c>
      <c r="L89" t="s">
        <v>84</v>
      </c>
      <c r="M89">
        <v>71</v>
      </c>
      <c r="N89">
        <v>55</v>
      </c>
      <c r="O89">
        <v>3514.5</v>
      </c>
      <c r="P89">
        <v>2627</v>
      </c>
      <c r="Q89">
        <v>887.5</v>
      </c>
      <c r="R89">
        <v>0.1</v>
      </c>
      <c r="S89" t="s">
        <v>70</v>
      </c>
      <c r="T89">
        <v>160.34</v>
      </c>
    </row>
    <row r="90" spans="1:20" x14ac:dyDescent="0.25">
      <c r="A90">
        <v>100089</v>
      </c>
      <c r="B90" s="6">
        <v>45099</v>
      </c>
      <c r="C90">
        <v>2023</v>
      </c>
      <c r="D90" t="s">
        <v>20</v>
      </c>
      <c r="E90">
        <v>6</v>
      </c>
      <c r="F90" t="s">
        <v>48</v>
      </c>
      <c r="G90" t="s">
        <v>29</v>
      </c>
      <c r="H90" t="s">
        <v>23</v>
      </c>
      <c r="I90" t="s">
        <v>73</v>
      </c>
      <c r="J90" t="s">
        <v>42</v>
      </c>
      <c r="K90" t="s">
        <v>32</v>
      </c>
      <c r="L90" t="s">
        <v>33</v>
      </c>
      <c r="M90">
        <v>77</v>
      </c>
      <c r="N90">
        <v>60</v>
      </c>
      <c r="O90">
        <v>4481.3999999999996</v>
      </c>
      <c r="P90">
        <v>2926</v>
      </c>
      <c r="Q90">
        <v>1555.4</v>
      </c>
      <c r="R90">
        <v>0.03</v>
      </c>
      <c r="S90" t="s">
        <v>70</v>
      </c>
      <c r="T90">
        <v>192.34</v>
      </c>
    </row>
    <row r="91" spans="1:20" x14ac:dyDescent="0.25">
      <c r="A91">
        <v>100090</v>
      </c>
      <c r="B91" s="6">
        <v>44927</v>
      </c>
      <c r="C91">
        <v>2023</v>
      </c>
      <c r="D91" t="s">
        <v>63</v>
      </c>
      <c r="E91">
        <v>1</v>
      </c>
      <c r="F91" t="s">
        <v>79</v>
      </c>
      <c r="G91" t="s">
        <v>35</v>
      </c>
      <c r="H91" t="s">
        <v>23</v>
      </c>
      <c r="I91" t="s">
        <v>36</v>
      </c>
      <c r="J91" t="s">
        <v>25</v>
      </c>
      <c r="K91" t="s">
        <v>51</v>
      </c>
      <c r="L91" t="s">
        <v>92</v>
      </c>
      <c r="M91">
        <v>135</v>
      </c>
      <c r="N91">
        <v>50</v>
      </c>
      <c r="O91">
        <v>6750</v>
      </c>
      <c r="P91">
        <v>3915</v>
      </c>
      <c r="Q91">
        <v>2835</v>
      </c>
      <c r="R91">
        <v>0</v>
      </c>
      <c r="S91" t="s">
        <v>70</v>
      </c>
      <c r="T91">
        <v>279.87</v>
      </c>
    </row>
    <row r="92" spans="1:20" x14ac:dyDescent="0.25">
      <c r="A92">
        <v>100091</v>
      </c>
      <c r="B92" s="6">
        <v>45828</v>
      </c>
      <c r="C92">
        <v>2025</v>
      </c>
      <c r="D92" t="s">
        <v>20</v>
      </c>
      <c r="E92">
        <v>6</v>
      </c>
      <c r="F92" t="s">
        <v>48</v>
      </c>
      <c r="G92" t="s">
        <v>35</v>
      </c>
      <c r="H92" t="s">
        <v>23</v>
      </c>
      <c r="I92" t="s">
        <v>80</v>
      </c>
      <c r="J92" t="s">
        <v>68</v>
      </c>
      <c r="K92" t="s">
        <v>32</v>
      </c>
      <c r="L92" t="s">
        <v>74</v>
      </c>
      <c r="M92">
        <v>147</v>
      </c>
      <c r="N92">
        <v>25</v>
      </c>
      <c r="O92">
        <v>3307.5</v>
      </c>
      <c r="P92">
        <v>2058</v>
      </c>
      <c r="Q92">
        <v>1249.5</v>
      </c>
      <c r="R92">
        <v>0.1</v>
      </c>
      <c r="S92" t="s">
        <v>38</v>
      </c>
      <c r="T92">
        <v>108.25</v>
      </c>
    </row>
    <row r="93" spans="1:20" x14ac:dyDescent="0.25">
      <c r="A93">
        <v>100092</v>
      </c>
      <c r="B93" s="6">
        <v>45255</v>
      </c>
      <c r="C93">
        <v>2023</v>
      </c>
      <c r="D93" t="s">
        <v>43</v>
      </c>
      <c r="E93">
        <v>11</v>
      </c>
      <c r="F93" t="s">
        <v>87</v>
      </c>
      <c r="G93" t="s">
        <v>45</v>
      </c>
      <c r="H93" t="s">
        <v>23</v>
      </c>
      <c r="I93" t="s">
        <v>46</v>
      </c>
      <c r="J93" t="s">
        <v>42</v>
      </c>
      <c r="K93" t="s">
        <v>59</v>
      </c>
      <c r="L93" t="s">
        <v>91</v>
      </c>
      <c r="M93">
        <v>47</v>
      </c>
      <c r="N93">
        <v>140</v>
      </c>
      <c r="O93">
        <v>6382.6</v>
      </c>
      <c r="P93">
        <v>3854</v>
      </c>
      <c r="Q93">
        <v>2528.6</v>
      </c>
      <c r="R93">
        <v>0.03</v>
      </c>
      <c r="S93" t="s">
        <v>28</v>
      </c>
      <c r="T93">
        <v>218.21</v>
      </c>
    </row>
    <row r="94" spans="1:20" x14ac:dyDescent="0.25">
      <c r="A94">
        <v>100093</v>
      </c>
      <c r="B94" s="6">
        <v>45162</v>
      </c>
      <c r="C94">
        <v>2023</v>
      </c>
      <c r="D94" t="s">
        <v>39</v>
      </c>
      <c r="E94">
        <v>8</v>
      </c>
      <c r="F94" t="s">
        <v>58</v>
      </c>
      <c r="G94" t="s">
        <v>35</v>
      </c>
      <c r="H94" t="s">
        <v>23</v>
      </c>
      <c r="I94" t="s">
        <v>36</v>
      </c>
      <c r="J94" t="s">
        <v>42</v>
      </c>
      <c r="K94" t="s">
        <v>55</v>
      </c>
      <c r="L94" t="s">
        <v>89</v>
      </c>
      <c r="M94">
        <v>146</v>
      </c>
      <c r="N94">
        <v>280</v>
      </c>
      <c r="O94">
        <v>40062.400000000001</v>
      </c>
      <c r="P94">
        <v>29930</v>
      </c>
      <c r="Q94">
        <v>10132.4</v>
      </c>
      <c r="R94">
        <v>0.02</v>
      </c>
      <c r="S94" t="s">
        <v>57</v>
      </c>
      <c r="T94">
        <v>1436.54</v>
      </c>
    </row>
    <row r="95" spans="1:20" x14ac:dyDescent="0.25">
      <c r="A95">
        <v>100094</v>
      </c>
      <c r="B95" s="6">
        <v>45844</v>
      </c>
      <c r="C95">
        <v>2025</v>
      </c>
      <c r="D95" t="s">
        <v>39</v>
      </c>
      <c r="E95">
        <v>7</v>
      </c>
      <c r="F95" t="s">
        <v>75</v>
      </c>
      <c r="G95" t="s">
        <v>29</v>
      </c>
      <c r="H95" t="s">
        <v>23</v>
      </c>
      <c r="I95" t="s">
        <v>49</v>
      </c>
      <c r="J95" t="s">
        <v>25</v>
      </c>
      <c r="K95" t="s">
        <v>26</v>
      </c>
      <c r="L95" t="s">
        <v>69</v>
      </c>
      <c r="M95">
        <v>114</v>
      </c>
      <c r="N95">
        <v>130</v>
      </c>
      <c r="O95">
        <v>14079</v>
      </c>
      <c r="P95">
        <v>8664</v>
      </c>
      <c r="Q95">
        <v>5415</v>
      </c>
      <c r="R95">
        <v>0.05</v>
      </c>
      <c r="S95" t="s">
        <v>38</v>
      </c>
      <c r="T95">
        <v>830.3</v>
      </c>
    </row>
    <row r="96" spans="1:20" x14ac:dyDescent="0.25">
      <c r="A96">
        <v>100095</v>
      </c>
      <c r="B96" s="6">
        <v>44931</v>
      </c>
      <c r="C96">
        <v>2023</v>
      </c>
      <c r="D96" t="s">
        <v>63</v>
      </c>
      <c r="E96">
        <v>1</v>
      </c>
      <c r="F96" t="s">
        <v>79</v>
      </c>
      <c r="G96" t="s">
        <v>22</v>
      </c>
      <c r="H96" t="s">
        <v>23</v>
      </c>
      <c r="I96" t="s">
        <v>24</v>
      </c>
      <c r="J96" t="s">
        <v>68</v>
      </c>
      <c r="K96" t="s">
        <v>59</v>
      </c>
      <c r="L96" t="s">
        <v>86</v>
      </c>
      <c r="M96">
        <v>141</v>
      </c>
      <c r="N96">
        <v>160</v>
      </c>
      <c r="O96">
        <v>22108.799999999999</v>
      </c>
      <c r="P96">
        <v>13395</v>
      </c>
      <c r="Q96">
        <v>8713.7999999999993</v>
      </c>
      <c r="R96">
        <v>0.02</v>
      </c>
      <c r="S96" t="s">
        <v>57</v>
      </c>
      <c r="T96">
        <v>1047</v>
      </c>
    </row>
    <row r="97" spans="1:20" x14ac:dyDescent="0.25">
      <c r="A97">
        <v>100096</v>
      </c>
      <c r="B97" s="6">
        <v>45542</v>
      </c>
      <c r="C97">
        <v>2024</v>
      </c>
      <c r="D97" t="s">
        <v>39</v>
      </c>
      <c r="E97">
        <v>9</v>
      </c>
      <c r="F97" t="s">
        <v>40</v>
      </c>
      <c r="G97" t="s">
        <v>35</v>
      </c>
      <c r="H97" t="s">
        <v>23</v>
      </c>
      <c r="I97" t="s">
        <v>80</v>
      </c>
      <c r="J97" t="s">
        <v>42</v>
      </c>
      <c r="K97" t="s">
        <v>59</v>
      </c>
      <c r="L97" t="s">
        <v>86</v>
      </c>
      <c r="M97">
        <v>106</v>
      </c>
      <c r="N97">
        <v>160</v>
      </c>
      <c r="O97">
        <v>16112</v>
      </c>
      <c r="P97">
        <v>10070</v>
      </c>
      <c r="Q97">
        <v>6042</v>
      </c>
      <c r="R97">
        <v>0.05</v>
      </c>
      <c r="S97" t="s">
        <v>38</v>
      </c>
      <c r="T97">
        <v>687.17</v>
      </c>
    </row>
    <row r="98" spans="1:20" x14ac:dyDescent="0.25">
      <c r="A98">
        <v>100097</v>
      </c>
      <c r="B98" s="6">
        <v>45933</v>
      </c>
      <c r="C98">
        <v>2025</v>
      </c>
      <c r="D98" t="s">
        <v>43</v>
      </c>
      <c r="E98">
        <v>10</v>
      </c>
      <c r="F98" t="s">
        <v>44</v>
      </c>
      <c r="G98" t="s">
        <v>22</v>
      </c>
      <c r="H98" t="s">
        <v>23</v>
      </c>
      <c r="I98" t="s">
        <v>41</v>
      </c>
      <c r="J98" t="s">
        <v>66</v>
      </c>
      <c r="K98" t="s">
        <v>59</v>
      </c>
      <c r="L98" t="s">
        <v>91</v>
      </c>
      <c r="M98">
        <v>113</v>
      </c>
      <c r="N98">
        <v>140</v>
      </c>
      <c r="O98">
        <v>15029</v>
      </c>
      <c r="P98">
        <v>9266</v>
      </c>
      <c r="Q98">
        <v>5763</v>
      </c>
      <c r="R98">
        <v>0.05</v>
      </c>
      <c r="S98" t="s">
        <v>38</v>
      </c>
      <c r="T98">
        <v>322.06</v>
      </c>
    </row>
    <row r="99" spans="1:20" x14ac:dyDescent="0.25">
      <c r="A99">
        <v>100098</v>
      </c>
      <c r="B99" s="6">
        <v>45480</v>
      </c>
      <c r="C99">
        <v>2024</v>
      </c>
      <c r="D99" t="s">
        <v>39</v>
      </c>
      <c r="E99">
        <v>7</v>
      </c>
      <c r="F99" t="s">
        <v>75</v>
      </c>
      <c r="G99" t="s">
        <v>29</v>
      </c>
      <c r="H99" t="s">
        <v>23</v>
      </c>
      <c r="I99" t="s">
        <v>49</v>
      </c>
      <c r="J99" t="s">
        <v>50</v>
      </c>
      <c r="K99" t="s">
        <v>26</v>
      </c>
      <c r="L99" t="s">
        <v>27</v>
      </c>
      <c r="M99">
        <v>42</v>
      </c>
      <c r="N99">
        <v>110</v>
      </c>
      <c r="O99">
        <v>4481.3999999999996</v>
      </c>
      <c r="P99">
        <v>2856</v>
      </c>
      <c r="Q99">
        <v>1625.4</v>
      </c>
      <c r="R99">
        <v>0.03</v>
      </c>
      <c r="S99" t="s">
        <v>28</v>
      </c>
      <c r="T99">
        <v>287.54000000000002</v>
      </c>
    </row>
    <row r="100" spans="1:20" x14ac:dyDescent="0.25">
      <c r="A100">
        <v>100099</v>
      </c>
      <c r="B100" s="6">
        <v>45947</v>
      </c>
      <c r="C100">
        <v>2025</v>
      </c>
      <c r="D100" t="s">
        <v>43</v>
      </c>
      <c r="E100">
        <v>10</v>
      </c>
      <c r="F100" t="s">
        <v>44</v>
      </c>
      <c r="G100" t="s">
        <v>45</v>
      </c>
      <c r="H100" t="s">
        <v>23</v>
      </c>
      <c r="I100" t="s">
        <v>90</v>
      </c>
      <c r="J100" t="s">
        <v>68</v>
      </c>
      <c r="K100" t="s">
        <v>26</v>
      </c>
      <c r="L100" t="s">
        <v>78</v>
      </c>
      <c r="M100">
        <v>95</v>
      </c>
      <c r="N100">
        <v>95</v>
      </c>
      <c r="O100">
        <v>8573.75</v>
      </c>
      <c r="P100">
        <v>5510</v>
      </c>
      <c r="Q100">
        <v>3063.75</v>
      </c>
      <c r="R100">
        <v>0.05</v>
      </c>
      <c r="S100" t="s">
        <v>38</v>
      </c>
      <c r="T100">
        <v>361.55</v>
      </c>
    </row>
    <row r="101" spans="1:20" x14ac:dyDescent="0.25">
      <c r="A101">
        <v>100100</v>
      </c>
      <c r="B101" s="6">
        <v>45732</v>
      </c>
      <c r="C101">
        <v>2025</v>
      </c>
      <c r="D101" t="s">
        <v>63</v>
      </c>
      <c r="E101">
        <v>3</v>
      </c>
      <c r="F101" t="s">
        <v>64</v>
      </c>
      <c r="G101" t="s">
        <v>45</v>
      </c>
      <c r="H101" t="s">
        <v>23</v>
      </c>
      <c r="I101" t="s">
        <v>90</v>
      </c>
      <c r="J101" t="s">
        <v>54</v>
      </c>
      <c r="K101" t="s">
        <v>51</v>
      </c>
      <c r="L101" t="s">
        <v>92</v>
      </c>
      <c r="M101">
        <v>24</v>
      </c>
      <c r="N101">
        <v>50</v>
      </c>
      <c r="O101">
        <v>1140</v>
      </c>
      <c r="P101">
        <v>696</v>
      </c>
      <c r="Q101">
        <v>444</v>
      </c>
      <c r="R101">
        <v>0.05</v>
      </c>
      <c r="S101" t="s">
        <v>70</v>
      </c>
      <c r="T101">
        <v>26.5</v>
      </c>
    </row>
    <row r="102" spans="1:20" x14ac:dyDescent="0.25">
      <c r="A102">
        <v>100101</v>
      </c>
      <c r="B102" s="6">
        <v>45056</v>
      </c>
      <c r="C102">
        <v>2023</v>
      </c>
      <c r="D102" t="s">
        <v>20</v>
      </c>
      <c r="E102">
        <v>5</v>
      </c>
      <c r="F102" t="s">
        <v>21</v>
      </c>
      <c r="G102" t="s">
        <v>22</v>
      </c>
      <c r="H102" t="s">
        <v>23</v>
      </c>
      <c r="I102" t="s">
        <v>24</v>
      </c>
      <c r="J102" t="s">
        <v>50</v>
      </c>
      <c r="K102" t="s">
        <v>59</v>
      </c>
      <c r="L102" t="s">
        <v>91</v>
      </c>
      <c r="M102">
        <v>45</v>
      </c>
      <c r="N102">
        <v>140</v>
      </c>
      <c r="O102">
        <v>5985</v>
      </c>
      <c r="P102">
        <v>3690</v>
      </c>
      <c r="Q102">
        <v>2295</v>
      </c>
      <c r="R102">
        <v>0.05</v>
      </c>
      <c r="S102" t="s">
        <v>38</v>
      </c>
      <c r="T102">
        <v>286.95999999999998</v>
      </c>
    </row>
    <row r="103" spans="1:20" x14ac:dyDescent="0.25">
      <c r="A103">
        <v>100102</v>
      </c>
      <c r="B103" s="6">
        <v>45798</v>
      </c>
      <c r="C103">
        <v>2025</v>
      </c>
      <c r="D103" t="s">
        <v>20</v>
      </c>
      <c r="E103">
        <v>5</v>
      </c>
      <c r="F103" t="s">
        <v>21</v>
      </c>
      <c r="G103" t="s">
        <v>35</v>
      </c>
      <c r="H103" t="s">
        <v>23</v>
      </c>
      <c r="I103" t="s">
        <v>36</v>
      </c>
      <c r="J103" t="s">
        <v>61</v>
      </c>
      <c r="K103" t="s">
        <v>51</v>
      </c>
      <c r="L103" t="s">
        <v>52</v>
      </c>
      <c r="M103">
        <v>99</v>
      </c>
      <c r="N103">
        <v>75</v>
      </c>
      <c r="O103">
        <v>6682.5</v>
      </c>
      <c r="P103">
        <v>4356</v>
      </c>
      <c r="Q103">
        <v>2326.5</v>
      </c>
      <c r="R103">
        <v>0.1</v>
      </c>
      <c r="S103" t="s">
        <v>38</v>
      </c>
      <c r="T103">
        <v>156.6</v>
      </c>
    </row>
    <row r="104" spans="1:20" x14ac:dyDescent="0.25">
      <c r="A104">
        <v>100103</v>
      </c>
      <c r="B104" s="6">
        <v>45911</v>
      </c>
      <c r="C104">
        <v>2025</v>
      </c>
      <c r="D104" t="s">
        <v>39</v>
      </c>
      <c r="E104">
        <v>9</v>
      </c>
      <c r="F104" t="s">
        <v>40</v>
      </c>
      <c r="G104" t="s">
        <v>45</v>
      </c>
      <c r="H104" t="s">
        <v>23</v>
      </c>
      <c r="I104" t="s">
        <v>90</v>
      </c>
      <c r="J104" t="s">
        <v>61</v>
      </c>
      <c r="K104" t="s">
        <v>26</v>
      </c>
      <c r="L104" t="s">
        <v>69</v>
      </c>
      <c r="M104">
        <v>109</v>
      </c>
      <c r="N104">
        <v>130</v>
      </c>
      <c r="O104">
        <v>13036.4</v>
      </c>
      <c r="P104">
        <v>8284</v>
      </c>
      <c r="Q104">
        <v>4752.3999999999996</v>
      </c>
      <c r="R104">
        <v>0.08</v>
      </c>
      <c r="S104" t="s">
        <v>57</v>
      </c>
      <c r="T104">
        <v>762.04</v>
      </c>
    </row>
    <row r="105" spans="1:20" x14ac:dyDescent="0.25">
      <c r="A105">
        <v>100104</v>
      </c>
      <c r="B105" s="6">
        <v>45935</v>
      </c>
      <c r="C105">
        <v>2025</v>
      </c>
      <c r="D105" t="s">
        <v>43</v>
      </c>
      <c r="E105">
        <v>10</v>
      </c>
      <c r="F105" t="s">
        <v>44</v>
      </c>
      <c r="G105" t="s">
        <v>29</v>
      </c>
      <c r="H105" t="s">
        <v>23</v>
      </c>
      <c r="I105" t="s">
        <v>30</v>
      </c>
      <c r="J105" t="s">
        <v>66</v>
      </c>
      <c r="K105" t="s">
        <v>59</v>
      </c>
      <c r="L105" t="s">
        <v>86</v>
      </c>
      <c r="M105">
        <v>60</v>
      </c>
      <c r="N105">
        <v>160</v>
      </c>
      <c r="O105">
        <v>9120</v>
      </c>
      <c r="P105">
        <v>5700</v>
      </c>
      <c r="Q105">
        <v>3420</v>
      </c>
      <c r="R105">
        <v>0.05</v>
      </c>
      <c r="S105" t="s">
        <v>28</v>
      </c>
      <c r="T105">
        <v>605.48</v>
      </c>
    </row>
    <row r="106" spans="1:20" x14ac:dyDescent="0.25">
      <c r="A106">
        <v>100105</v>
      </c>
      <c r="B106" s="6">
        <v>45740</v>
      </c>
      <c r="C106">
        <v>2025</v>
      </c>
      <c r="D106" t="s">
        <v>63</v>
      </c>
      <c r="E106">
        <v>3</v>
      </c>
      <c r="F106" t="s">
        <v>64</v>
      </c>
      <c r="G106" t="s">
        <v>45</v>
      </c>
      <c r="H106" t="s">
        <v>23</v>
      </c>
      <c r="I106" t="s">
        <v>46</v>
      </c>
      <c r="J106" t="s">
        <v>25</v>
      </c>
      <c r="K106" t="s">
        <v>32</v>
      </c>
      <c r="L106" t="s">
        <v>47</v>
      </c>
      <c r="M106">
        <v>66</v>
      </c>
      <c r="N106">
        <v>180</v>
      </c>
      <c r="O106">
        <v>11642.4</v>
      </c>
      <c r="P106">
        <v>7590</v>
      </c>
      <c r="Q106">
        <v>4052.4</v>
      </c>
      <c r="R106">
        <v>0.02</v>
      </c>
      <c r="S106" t="s">
        <v>70</v>
      </c>
      <c r="T106">
        <v>374.06</v>
      </c>
    </row>
    <row r="107" spans="1:20" x14ac:dyDescent="0.25">
      <c r="A107">
        <v>100106</v>
      </c>
      <c r="B107" s="6">
        <v>45587</v>
      </c>
      <c r="C107">
        <v>2024</v>
      </c>
      <c r="D107" t="s">
        <v>43</v>
      </c>
      <c r="E107">
        <v>10</v>
      </c>
      <c r="F107" t="s">
        <v>44</v>
      </c>
      <c r="G107" t="s">
        <v>22</v>
      </c>
      <c r="H107" t="s">
        <v>23</v>
      </c>
      <c r="I107" t="s">
        <v>71</v>
      </c>
      <c r="J107" t="s">
        <v>54</v>
      </c>
      <c r="K107" t="s">
        <v>26</v>
      </c>
      <c r="L107" t="s">
        <v>78</v>
      </c>
      <c r="M107">
        <v>66</v>
      </c>
      <c r="N107">
        <v>95</v>
      </c>
      <c r="O107">
        <v>6270</v>
      </c>
      <c r="P107">
        <v>3828</v>
      </c>
      <c r="Q107">
        <v>2442</v>
      </c>
      <c r="R107">
        <v>0</v>
      </c>
      <c r="S107" t="s">
        <v>70</v>
      </c>
      <c r="T107">
        <v>209.06</v>
      </c>
    </row>
    <row r="108" spans="1:20" x14ac:dyDescent="0.25">
      <c r="A108">
        <v>100107</v>
      </c>
      <c r="B108" s="6">
        <v>45001</v>
      </c>
      <c r="C108">
        <v>2023</v>
      </c>
      <c r="D108" t="s">
        <v>63</v>
      </c>
      <c r="E108">
        <v>3</v>
      </c>
      <c r="F108" t="s">
        <v>64</v>
      </c>
      <c r="G108" t="s">
        <v>35</v>
      </c>
      <c r="H108" t="s">
        <v>23</v>
      </c>
      <c r="I108" t="s">
        <v>36</v>
      </c>
      <c r="J108" t="s">
        <v>50</v>
      </c>
      <c r="K108" t="s">
        <v>59</v>
      </c>
      <c r="L108" t="s">
        <v>67</v>
      </c>
      <c r="M108">
        <v>100</v>
      </c>
      <c r="N108">
        <v>95</v>
      </c>
      <c r="O108">
        <v>9215</v>
      </c>
      <c r="P108">
        <v>5600</v>
      </c>
      <c r="Q108">
        <v>3615</v>
      </c>
      <c r="R108">
        <v>0.03</v>
      </c>
      <c r="S108" t="s">
        <v>28</v>
      </c>
      <c r="T108">
        <v>252.06</v>
      </c>
    </row>
    <row r="109" spans="1:20" x14ac:dyDescent="0.25">
      <c r="A109">
        <v>100108</v>
      </c>
      <c r="B109" s="6">
        <v>45590</v>
      </c>
      <c r="C109">
        <v>2024</v>
      </c>
      <c r="D109" t="s">
        <v>43</v>
      </c>
      <c r="E109">
        <v>10</v>
      </c>
      <c r="F109" t="s">
        <v>44</v>
      </c>
      <c r="G109" t="s">
        <v>45</v>
      </c>
      <c r="H109" t="s">
        <v>23</v>
      </c>
      <c r="I109" t="s">
        <v>90</v>
      </c>
      <c r="J109" t="s">
        <v>25</v>
      </c>
      <c r="K109" t="s">
        <v>32</v>
      </c>
      <c r="L109" t="s">
        <v>37</v>
      </c>
      <c r="M109">
        <v>97</v>
      </c>
      <c r="N109">
        <v>120</v>
      </c>
      <c r="O109">
        <v>11407.2</v>
      </c>
      <c r="P109">
        <v>7566</v>
      </c>
      <c r="Q109">
        <v>3841.2</v>
      </c>
      <c r="R109">
        <v>0.02</v>
      </c>
      <c r="S109" t="s">
        <v>70</v>
      </c>
      <c r="T109">
        <v>660.79</v>
      </c>
    </row>
    <row r="110" spans="1:20" x14ac:dyDescent="0.25">
      <c r="A110">
        <v>100109</v>
      </c>
      <c r="B110" s="6">
        <v>45082</v>
      </c>
      <c r="C110">
        <v>2023</v>
      </c>
      <c r="D110" t="s">
        <v>20</v>
      </c>
      <c r="E110">
        <v>6</v>
      </c>
      <c r="F110" t="s">
        <v>48</v>
      </c>
      <c r="G110" t="s">
        <v>35</v>
      </c>
      <c r="H110" t="s">
        <v>23</v>
      </c>
      <c r="I110" t="s">
        <v>77</v>
      </c>
      <c r="J110" t="s">
        <v>66</v>
      </c>
      <c r="K110" t="s">
        <v>59</v>
      </c>
      <c r="L110" t="s">
        <v>60</v>
      </c>
      <c r="M110">
        <v>93</v>
      </c>
      <c r="N110">
        <v>45</v>
      </c>
      <c r="O110">
        <v>4059.45</v>
      </c>
      <c r="P110">
        <v>2511</v>
      </c>
      <c r="Q110">
        <v>1548.45</v>
      </c>
      <c r="R110">
        <v>0.03</v>
      </c>
      <c r="S110" t="s">
        <v>38</v>
      </c>
      <c r="T110">
        <v>185.32</v>
      </c>
    </row>
    <row r="111" spans="1:20" x14ac:dyDescent="0.25">
      <c r="A111">
        <v>100110</v>
      </c>
      <c r="B111" s="6">
        <v>45487</v>
      </c>
      <c r="C111">
        <v>2024</v>
      </c>
      <c r="D111" t="s">
        <v>39</v>
      </c>
      <c r="E111">
        <v>7</v>
      </c>
      <c r="F111" t="s">
        <v>75</v>
      </c>
      <c r="G111" t="s">
        <v>22</v>
      </c>
      <c r="H111" t="s">
        <v>23</v>
      </c>
      <c r="I111" t="s">
        <v>71</v>
      </c>
      <c r="J111" t="s">
        <v>66</v>
      </c>
      <c r="K111" t="s">
        <v>51</v>
      </c>
      <c r="L111" t="s">
        <v>76</v>
      </c>
      <c r="M111">
        <v>132</v>
      </c>
      <c r="N111">
        <v>40</v>
      </c>
      <c r="O111">
        <v>5016</v>
      </c>
      <c r="P111">
        <v>3036</v>
      </c>
      <c r="Q111">
        <v>1980</v>
      </c>
      <c r="R111">
        <v>0.05</v>
      </c>
      <c r="S111" t="s">
        <v>38</v>
      </c>
      <c r="T111">
        <v>171.63</v>
      </c>
    </row>
    <row r="112" spans="1:20" x14ac:dyDescent="0.25">
      <c r="A112">
        <v>100111</v>
      </c>
      <c r="B112" s="6">
        <v>45355</v>
      </c>
      <c r="C112">
        <v>2024</v>
      </c>
      <c r="D112" t="s">
        <v>63</v>
      </c>
      <c r="E112">
        <v>3</v>
      </c>
      <c r="F112" t="s">
        <v>64</v>
      </c>
      <c r="G112" t="s">
        <v>45</v>
      </c>
      <c r="H112" t="s">
        <v>23</v>
      </c>
      <c r="I112" t="s">
        <v>88</v>
      </c>
      <c r="J112" t="s">
        <v>68</v>
      </c>
      <c r="K112" t="s">
        <v>26</v>
      </c>
      <c r="L112" t="s">
        <v>69</v>
      </c>
      <c r="M112">
        <v>27</v>
      </c>
      <c r="N112">
        <v>130</v>
      </c>
      <c r="O112">
        <v>3439.8</v>
      </c>
      <c r="P112">
        <v>2052</v>
      </c>
      <c r="Q112">
        <v>1387.8</v>
      </c>
      <c r="R112">
        <v>0.02</v>
      </c>
      <c r="S112" t="s">
        <v>70</v>
      </c>
      <c r="T112">
        <v>186.69</v>
      </c>
    </row>
    <row r="113" spans="1:20" x14ac:dyDescent="0.25">
      <c r="A113">
        <v>100112</v>
      </c>
      <c r="B113" s="6">
        <v>45914</v>
      </c>
      <c r="C113">
        <v>2025</v>
      </c>
      <c r="D113" t="s">
        <v>39</v>
      </c>
      <c r="E113">
        <v>9</v>
      </c>
      <c r="F113" t="s">
        <v>40</v>
      </c>
      <c r="G113" t="s">
        <v>45</v>
      </c>
      <c r="H113" t="s">
        <v>23</v>
      </c>
      <c r="I113" t="s">
        <v>88</v>
      </c>
      <c r="J113" t="s">
        <v>54</v>
      </c>
      <c r="K113" t="s">
        <v>59</v>
      </c>
      <c r="L113" t="s">
        <v>67</v>
      </c>
      <c r="M113">
        <v>72</v>
      </c>
      <c r="N113">
        <v>95</v>
      </c>
      <c r="O113">
        <v>6840</v>
      </c>
      <c r="P113">
        <v>4032</v>
      </c>
      <c r="Q113">
        <v>2808</v>
      </c>
      <c r="R113">
        <v>0</v>
      </c>
      <c r="S113" t="s">
        <v>28</v>
      </c>
      <c r="T113">
        <v>228.39</v>
      </c>
    </row>
    <row r="114" spans="1:20" x14ac:dyDescent="0.25">
      <c r="A114">
        <v>100113</v>
      </c>
      <c r="B114" s="6">
        <v>45726</v>
      </c>
      <c r="C114">
        <v>2025</v>
      </c>
      <c r="D114" t="s">
        <v>63</v>
      </c>
      <c r="E114">
        <v>3</v>
      </c>
      <c r="F114" t="s">
        <v>64</v>
      </c>
      <c r="G114" t="s">
        <v>35</v>
      </c>
      <c r="H114" t="s">
        <v>23</v>
      </c>
      <c r="I114" t="s">
        <v>36</v>
      </c>
      <c r="J114" t="s">
        <v>31</v>
      </c>
      <c r="K114" t="s">
        <v>55</v>
      </c>
      <c r="L114" t="s">
        <v>84</v>
      </c>
      <c r="M114">
        <v>133</v>
      </c>
      <c r="N114">
        <v>55</v>
      </c>
      <c r="O114">
        <v>6729.8</v>
      </c>
      <c r="P114">
        <v>4921</v>
      </c>
      <c r="Q114">
        <v>1808.8</v>
      </c>
      <c r="R114">
        <v>0.08</v>
      </c>
      <c r="S114" t="s">
        <v>57</v>
      </c>
      <c r="T114">
        <v>463.29</v>
      </c>
    </row>
    <row r="115" spans="1:20" x14ac:dyDescent="0.25">
      <c r="A115">
        <v>100114</v>
      </c>
      <c r="B115" s="6">
        <v>45958</v>
      </c>
      <c r="C115">
        <v>2025</v>
      </c>
      <c r="D115" t="s">
        <v>43</v>
      </c>
      <c r="E115">
        <v>10</v>
      </c>
      <c r="F115" t="s">
        <v>44</v>
      </c>
      <c r="G115" t="s">
        <v>45</v>
      </c>
      <c r="H115" t="s">
        <v>23</v>
      </c>
      <c r="I115" t="s">
        <v>46</v>
      </c>
      <c r="J115" t="s">
        <v>25</v>
      </c>
      <c r="K115" t="s">
        <v>51</v>
      </c>
      <c r="L115" t="s">
        <v>72</v>
      </c>
      <c r="M115">
        <v>81</v>
      </c>
      <c r="N115">
        <v>90</v>
      </c>
      <c r="O115">
        <v>7290</v>
      </c>
      <c r="P115">
        <v>4212</v>
      </c>
      <c r="Q115">
        <v>3078</v>
      </c>
      <c r="R115">
        <v>0</v>
      </c>
      <c r="S115" t="s">
        <v>28</v>
      </c>
      <c r="T115">
        <v>430.08</v>
      </c>
    </row>
    <row r="116" spans="1:20" x14ac:dyDescent="0.25">
      <c r="A116">
        <v>100115</v>
      </c>
      <c r="B116" s="6">
        <v>45933</v>
      </c>
      <c r="C116">
        <v>2025</v>
      </c>
      <c r="D116" t="s">
        <v>43</v>
      </c>
      <c r="E116">
        <v>10</v>
      </c>
      <c r="F116" t="s">
        <v>44</v>
      </c>
      <c r="G116" t="s">
        <v>29</v>
      </c>
      <c r="H116" t="s">
        <v>23</v>
      </c>
      <c r="I116" t="s">
        <v>85</v>
      </c>
      <c r="J116" t="s">
        <v>31</v>
      </c>
      <c r="K116" t="s">
        <v>26</v>
      </c>
      <c r="L116" t="s">
        <v>82</v>
      </c>
      <c r="M116">
        <v>87</v>
      </c>
      <c r="N116">
        <v>105</v>
      </c>
      <c r="O116">
        <v>8678.25</v>
      </c>
      <c r="P116">
        <v>5307</v>
      </c>
      <c r="Q116">
        <v>3371.25</v>
      </c>
      <c r="R116">
        <v>0.05</v>
      </c>
      <c r="S116" t="s">
        <v>38</v>
      </c>
      <c r="T116">
        <v>515.29</v>
      </c>
    </row>
    <row r="117" spans="1:20" x14ac:dyDescent="0.25">
      <c r="A117">
        <v>100116</v>
      </c>
      <c r="B117" s="6">
        <v>45091</v>
      </c>
      <c r="C117">
        <v>2023</v>
      </c>
      <c r="D117" t="s">
        <v>20</v>
      </c>
      <c r="E117">
        <v>6</v>
      </c>
      <c r="F117" t="s">
        <v>48</v>
      </c>
      <c r="G117" t="s">
        <v>35</v>
      </c>
      <c r="H117" t="s">
        <v>23</v>
      </c>
      <c r="I117" t="s">
        <v>77</v>
      </c>
      <c r="J117" t="s">
        <v>61</v>
      </c>
      <c r="K117" t="s">
        <v>51</v>
      </c>
      <c r="L117" t="s">
        <v>52</v>
      </c>
      <c r="M117">
        <v>16</v>
      </c>
      <c r="N117">
        <v>75</v>
      </c>
      <c r="O117">
        <v>1140</v>
      </c>
      <c r="P117">
        <v>704</v>
      </c>
      <c r="Q117">
        <v>436</v>
      </c>
      <c r="R117">
        <v>0.05</v>
      </c>
      <c r="S117" t="s">
        <v>38</v>
      </c>
      <c r="T117">
        <v>63.24</v>
      </c>
    </row>
    <row r="118" spans="1:20" x14ac:dyDescent="0.25">
      <c r="A118">
        <v>100117</v>
      </c>
      <c r="B118" s="6">
        <v>45841</v>
      </c>
      <c r="C118">
        <v>2025</v>
      </c>
      <c r="D118" t="s">
        <v>39</v>
      </c>
      <c r="E118">
        <v>7</v>
      </c>
      <c r="F118" t="s">
        <v>75</v>
      </c>
      <c r="G118" t="s">
        <v>29</v>
      </c>
      <c r="H118" t="s">
        <v>23</v>
      </c>
      <c r="I118" t="s">
        <v>73</v>
      </c>
      <c r="J118" t="s">
        <v>68</v>
      </c>
      <c r="K118" t="s">
        <v>51</v>
      </c>
      <c r="L118" t="s">
        <v>76</v>
      </c>
      <c r="M118">
        <v>138</v>
      </c>
      <c r="N118">
        <v>40</v>
      </c>
      <c r="O118">
        <v>5078.3999999999996</v>
      </c>
      <c r="P118">
        <v>3174</v>
      </c>
      <c r="Q118">
        <v>1904.4</v>
      </c>
      <c r="R118">
        <v>0.08</v>
      </c>
      <c r="S118" t="s">
        <v>57</v>
      </c>
      <c r="T118">
        <v>171.65</v>
      </c>
    </row>
    <row r="119" spans="1:20" x14ac:dyDescent="0.25">
      <c r="A119">
        <v>100118</v>
      </c>
      <c r="B119" s="6">
        <v>45633</v>
      </c>
      <c r="C119">
        <v>2024</v>
      </c>
      <c r="D119" t="s">
        <v>43</v>
      </c>
      <c r="E119">
        <v>12</v>
      </c>
      <c r="F119" t="s">
        <v>83</v>
      </c>
      <c r="G119" t="s">
        <v>22</v>
      </c>
      <c r="H119" t="s">
        <v>23</v>
      </c>
      <c r="I119" t="s">
        <v>24</v>
      </c>
      <c r="J119" t="s">
        <v>68</v>
      </c>
      <c r="K119" t="s">
        <v>51</v>
      </c>
      <c r="L119" t="s">
        <v>92</v>
      </c>
      <c r="M119">
        <v>46</v>
      </c>
      <c r="N119">
        <v>50</v>
      </c>
      <c r="O119">
        <v>2231</v>
      </c>
      <c r="P119">
        <v>1334</v>
      </c>
      <c r="Q119">
        <v>897</v>
      </c>
      <c r="R119">
        <v>0.03</v>
      </c>
      <c r="S119" t="s">
        <v>28</v>
      </c>
      <c r="T119">
        <v>101.2</v>
      </c>
    </row>
    <row r="120" spans="1:20" x14ac:dyDescent="0.25">
      <c r="A120">
        <v>100119</v>
      </c>
      <c r="B120" s="6">
        <v>45780</v>
      </c>
      <c r="C120">
        <v>2025</v>
      </c>
      <c r="D120" t="s">
        <v>20</v>
      </c>
      <c r="E120">
        <v>5</v>
      </c>
      <c r="F120" t="s">
        <v>21</v>
      </c>
      <c r="G120" t="s">
        <v>29</v>
      </c>
      <c r="H120" t="s">
        <v>23</v>
      </c>
      <c r="I120" t="s">
        <v>49</v>
      </c>
      <c r="J120" t="s">
        <v>31</v>
      </c>
      <c r="K120" t="s">
        <v>32</v>
      </c>
      <c r="L120" t="s">
        <v>33</v>
      </c>
      <c r="M120">
        <v>129</v>
      </c>
      <c r="N120">
        <v>60</v>
      </c>
      <c r="O120">
        <v>6966</v>
      </c>
      <c r="P120">
        <v>4902</v>
      </c>
      <c r="Q120">
        <v>2064</v>
      </c>
      <c r="R120">
        <v>0.1</v>
      </c>
      <c r="S120" t="s">
        <v>70</v>
      </c>
      <c r="T120">
        <v>284.97000000000003</v>
      </c>
    </row>
    <row r="121" spans="1:20" x14ac:dyDescent="0.25">
      <c r="A121">
        <v>100120</v>
      </c>
      <c r="B121" s="6">
        <v>45452</v>
      </c>
      <c r="C121">
        <v>2024</v>
      </c>
      <c r="D121" t="s">
        <v>20</v>
      </c>
      <c r="E121">
        <v>6</v>
      </c>
      <c r="F121" t="s">
        <v>48</v>
      </c>
      <c r="G121" t="s">
        <v>45</v>
      </c>
      <c r="H121" t="s">
        <v>23</v>
      </c>
      <c r="I121" t="s">
        <v>62</v>
      </c>
      <c r="J121" t="s">
        <v>66</v>
      </c>
      <c r="K121" t="s">
        <v>26</v>
      </c>
      <c r="L121" t="s">
        <v>27</v>
      </c>
      <c r="M121">
        <v>112</v>
      </c>
      <c r="N121">
        <v>110</v>
      </c>
      <c r="O121">
        <v>12073.6</v>
      </c>
      <c r="P121">
        <v>7616</v>
      </c>
      <c r="Q121">
        <v>4457.6000000000004</v>
      </c>
      <c r="R121">
        <v>0.02</v>
      </c>
      <c r="S121" t="s">
        <v>28</v>
      </c>
      <c r="T121">
        <v>609.45000000000005</v>
      </c>
    </row>
    <row r="122" spans="1:20" x14ac:dyDescent="0.25">
      <c r="A122">
        <v>100121</v>
      </c>
      <c r="B122" s="6">
        <v>45368</v>
      </c>
      <c r="C122">
        <v>2024</v>
      </c>
      <c r="D122" t="s">
        <v>63</v>
      </c>
      <c r="E122">
        <v>3</v>
      </c>
      <c r="F122" t="s">
        <v>64</v>
      </c>
      <c r="G122" t="s">
        <v>45</v>
      </c>
      <c r="H122" t="s">
        <v>23</v>
      </c>
      <c r="I122" t="s">
        <v>46</v>
      </c>
      <c r="J122" t="s">
        <v>68</v>
      </c>
      <c r="K122" t="s">
        <v>26</v>
      </c>
      <c r="L122" t="s">
        <v>27</v>
      </c>
      <c r="M122">
        <v>84</v>
      </c>
      <c r="N122">
        <v>110</v>
      </c>
      <c r="O122">
        <v>8500.7999999999993</v>
      </c>
      <c r="P122">
        <v>5712</v>
      </c>
      <c r="Q122">
        <v>2788.8</v>
      </c>
      <c r="R122">
        <v>0.08</v>
      </c>
      <c r="S122" t="s">
        <v>70</v>
      </c>
      <c r="T122">
        <v>375.15</v>
      </c>
    </row>
    <row r="123" spans="1:20" x14ac:dyDescent="0.25">
      <c r="A123">
        <v>100122</v>
      </c>
      <c r="B123" s="6">
        <v>45860</v>
      </c>
      <c r="C123">
        <v>2025</v>
      </c>
      <c r="D123" t="s">
        <v>39</v>
      </c>
      <c r="E123">
        <v>7</v>
      </c>
      <c r="F123" t="s">
        <v>75</v>
      </c>
      <c r="G123" t="s">
        <v>35</v>
      </c>
      <c r="H123" t="s">
        <v>23</v>
      </c>
      <c r="I123" t="s">
        <v>77</v>
      </c>
      <c r="J123" t="s">
        <v>66</v>
      </c>
      <c r="K123" t="s">
        <v>51</v>
      </c>
      <c r="L123" t="s">
        <v>76</v>
      </c>
      <c r="M123">
        <v>131</v>
      </c>
      <c r="N123">
        <v>40</v>
      </c>
      <c r="O123">
        <v>4978</v>
      </c>
      <c r="P123">
        <v>3013</v>
      </c>
      <c r="Q123">
        <v>1965</v>
      </c>
      <c r="R123">
        <v>0.05</v>
      </c>
      <c r="S123" t="s">
        <v>38</v>
      </c>
      <c r="T123">
        <v>103.85</v>
      </c>
    </row>
    <row r="124" spans="1:20" x14ac:dyDescent="0.25">
      <c r="A124">
        <v>100123</v>
      </c>
      <c r="B124" s="6">
        <v>45572</v>
      </c>
      <c r="C124">
        <v>2024</v>
      </c>
      <c r="D124" t="s">
        <v>43</v>
      </c>
      <c r="E124">
        <v>10</v>
      </c>
      <c r="F124" t="s">
        <v>44</v>
      </c>
      <c r="G124" t="s">
        <v>22</v>
      </c>
      <c r="H124" t="s">
        <v>23</v>
      </c>
      <c r="I124" t="s">
        <v>65</v>
      </c>
      <c r="J124" t="s">
        <v>68</v>
      </c>
      <c r="K124" t="s">
        <v>51</v>
      </c>
      <c r="L124" t="s">
        <v>92</v>
      </c>
      <c r="M124">
        <v>62</v>
      </c>
      <c r="N124">
        <v>50</v>
      </c>
      <c r="O124">
        <v>3100</v>
      </c>
      <c r="P124">
        <v>1798</v>
      </c>
      <c r="Q124">
        <v>1302</v>
      </c>
      <c r="R124">
        <v>0</v>
      </c>
      <c r="S124" t="s">
        <v>70</v>
      </c>
      <c r="T124">
        <v>202.41</v>
      </c>
    </row>
    <row r="125" spans="1:20" x14ac:dyDescent="0.25">
      <c r="A125">
        <v>100124</v>
      </c>
      <c r="B125" s="6">
        <v>45628</v>
      </c>
      <c r="C125">
        <v>2024</v>
      </c>
      <c r="D125" t="s">
        <v>43</v>
      </c>
      <c r="E125">
        <v>12</v>
      </c>
      <c r="F125" t="s">
        <v>83</v>
      </c>
      <c r="G125" t="s">
        <v>35</v>
      </c>
      <c r="H125" t="s">
        <v>23</v>
      </c>
      <c r="I125" t="s">
        <v>36</v>
      </c>
      <c r="J125" t="s">
        <v>50</v>
      </c>
      <c r="K125" t="s">
        <v>32</v>
      </c>
      <c r="L125" t="s">
        <v>47</v>
      </c>
      <c r="M125">
        <v>63</v>
      </c>
      <c r="N125">
        <v>180</v>
      </c>
      <c r="O125">
        <v>10773</v>
      </c>
      <c r="P125">
        <v>7245</v>
      </c>
      <c r="Q125">
        <v>3528</v>
      </c>
      <c r="R125">
        <v>0.05</v>
      </c>
      <c r="S125" t="s">
        <v>57</v>
      </c>
      <c r="T125">
        <v>210.65</v>
      </c>
    </row>
    <row r="126" spans="1:20" x14ac:dyDescent="0.25">
      <c r="A126">
        <v>100125</v>
      </c>
      <c r="B126" s="6">
        <v>44955</v>
      </c>
      <c r="C126">
        <v>2023</v>
      </c>
      <c r="D126" t="s">
        <v>63</v>
      </c>
      <c r="E126">
        <v>1</v>
      </c>
      <c r="F126" t="s">
        <v>79</v>
      </c>
      <c r="G126" t="s">
        <v>45</v>
      </c>
      <c r="H126" t="s">
        <v>23</v>
      </c>
      <c r="I126" t="s">
        <v>90</v>
      </c>
      <c r="J126" t="s">
        <v>66</v>
      </c>
      <c r="K126" t="s">
        <v>51</v>
      </c>
      <c r="L126" t="s">
        <v>72</v>
      </c>
      <c r="M126">
        <v>122</v>
      </c>
      <c r="N126">
        <v>90</v>
      </c>
      <c r="O126">
        <v>10431</v>
      </c>
      <c r="P126">
        <v>6344</v>
      </c>
      <c r="Q126">
        <v>4087</v>
      </c>
      <c r="R126">
        <v>0.05</v>
      </c>
      <c r="S126" t="s">
        <v>70</v>
      </c>
      <c r="T126">
        <v>506.66</v>
      </c>
    </row>
    <row r="127" spans="1:20" x14ac:dyDescent="0.25">
      <c r="A127">
        <v>100126</v>
      </c>
      <c r="B127" s="6">
        <v>45549</v>
      </c>
      <c r="C127">
        <v>2024</v>
      </c>
      <c r="D127" t="s">
        <v>39</v>
      </c>
      <c r="E127">
        <v>9</v>
      </c>
      <c r="F127" t="s">
        <v>40</v>
      </c>
      <c r="G127" t="s">
        <v>29</v>
      </c>
      <c r="H127" t="s">
        <v>23</v>
      </c>
      <c r="I127" t="s">
        <v>85</v>
      </c>
      <c r="J127" t="s">
        <v>25</v>
      </c>
      <c r="K127" t="s">
        <v>32</v>
      </c>
      <c r="L127" t="s">
        <v>47</v>
      </c>
      <c r="M127">
        <v>42</v>
      </c>
      <c r="N127">
        <v>180</v>
      </c>
      <c r="O127">
        <v>7408.8</v>
      </c>
      <c r="P127">
        <v>4830</v>
      </c>
      <c r="Q127">
        <v>2578.8000000000002</v>
      </c>
      <c r="R127">
        <v>0.02</v>
      </c>
      <c r="S127" t="s">
        <v>70</v>
      </c>
      <c r="T127">
        <v>331.11</v>
      </c>
    </row>
    <row r="128" spans="1:20" x14ac:dyDescent="0.25">
      <c r="A128">
        <v>100127</v>
      </c>
      <c r="B128" s="6">
        <v>45884</v>
      </c>
      <c r="C128">
        <v>2025</v>
      </c>
      <c r="D128" t="s">
        <v>39</v>
      </c>
      <c r="E128">
        <v>8</v>
      </c>
      <c r="F128" t="s">
        <v>58</v>
      </c>
      <c r="G128" t="s">
        <v>22</v>
      </c>
      <c r="H128" t="s">
        <v>23</v>
      </c>
      <c r="I128" t="s">
        <v>71</v>
      </c>
      <c r="J128" t="s">
        <v>42</v>
      </c>
      <c r="K128" t="s">
        <v>32</v>
      </c>
      <c r="L128" t="s">
        <v>37</v>
      </c>
      <c r="M128">
        <v>82</v>
      </c>
      <c r="N128">
        <v>120</v>
      </c>
      <c r="O128">
        <v>9840</v>
      </c>
      <c r="P128">
        <v>6396</v>
      </c>
      <c r="Q128">
        <v>3444</v>
      </c>
      <c r="R128">
        <v>0</v>
      </c>
      <c r="S128" t="s">
        <v>57</v>
      </c>
      <c r="T128">
        <v>541.70000000000005</v>
      </c>
    </row>
    <row r="129" spans="1:20" x14ac:dyDescent="0.25">
      <c r="A129">
        <v>100128</v>
      </c>
      <c r="B129" s="6">
        <v>44968</v>
      </c>
      <c r="C129">
        <v>2023</v>
      </c>
      <c r="D129" t="s">
        <v>63</v>
      </c>
      <c r="E129">
        <v>2</v>
      </c>
      <c r="F129" t="s">
        <v>81</v>
      </c>
      <c r="G129" t="s">
        <v>45</v>
      </c>
      <c r="H129" t="s">
        <v>23</v>
      </c>
      <c r="I129" t="s">
        <v>90</v>
      </c>
      <c r="J129" t="s">
        <v>68</v>
      </c>
      <c r="K129" t="s">
        <v>32</v>
      </c>
      <c r="L129" t="s">
        <v>33</v>
      </c>
      <c r="M129">
        <v>117</v>
      </c>
      <c r="N129">
        <v>60</v>
      </c>
      <c r="O129">
        <v>6669</v>
      </c>
      <c r="P129">
        <v>4446</v>
      </c>
      <c r="Q129">
        <v>2223</v>
      </c>
      <c r="R129">
        <v>0.05</v>
      </c>
      <c r="S129" t="s">
        <v>38</v>
      </c>
      <c r="T129">
        <v>199.86</v>
      </c>
    </row>
    <row r="130" spans="1:20" x14ac:dyDescent="0.25">
      <c r="A130">
        <v>100129</v>
      </c>
      <c r="B130" s="6">
        <v>45994</v>
      </c>
      <c r="C130">
        <v>2025</v>
      </c>
      <c r="D130" t="s">
        <v>43</v>
      </c>
      <c r="E130">
        <v>12</v>
      </c>
      <c r="F130" t="s">
        <v>83</v>
      </c>
      <c r="G130" t="s">
        <v>22</v>
      </c>
      <c r="H130" t="s">
        <v>23</v>
      </c>
      <c r="I130" t="s">
        <v>24</v>
      </c>
      <c r="J130" t="s">
        <v>50</v>
      </c>
      <c r="K130" t="s">
        <v>55</v>
      </c>
      <c r="L130" t="s">
        <v>93</v>
      </c>
      <c r="M130">
        <v>83</v>
      </c>
      <c r="N130">
        <v>60</v>
      </c>
      <c r="O130">
        <v>4731</v>
      </c>
      <c r="P130">
        <v>3486</v>
      </c>
      <c r="Q130">
        <v>1245</v>
      </c>
      <c r="R130">
        <v>0.05</v>
      </c>
      <c r="S130" t="s">
        <v>70</v>
      </c>
      <c r="T130">
        <v>206.61</v>
      </c>
    </row>
    <row r="131" spans="1:20" x14ac:dyDescent="0.25">
      <c r="A131">
        <v>100130</v>
      </c>
      <c r="B131" s="6">
        <v>45142</v>
      </c>
      <c r="C131">
        <v>2023</v>
      </c>
      <c r="D131" t="s">
        <v>39</v>
      </c>
      <c r="E131">
        <v>8</v>
      </c>
      <c r="F131" t="s">
        <v>58</v>
      </c>
      <c r="G131" t="s">
        <v>22</v>
      </c>
      <c r="H131" t="s">
        <v>23</v>
      </c>
      <c r="I131" t="s">
        <v>65</v>
      </c>
      <c r="J131" t="s">
        <v>68</v>
      </c>
      <c r="K131" t="s">
        <v>59</v>
      </c>
      <c r="L131" t="s">
        <v>60</v>
      </c>
      <c r="M131">
        <v>127</v>
      </c>
      <c r="N131">
        <v>45</v>
      </c>
      <c r="O131">
        <v>5429.25</v>
      </c>
      <c r="P131">
        <v>3429</v>
      </c>
      <c r="Q131">
        <v>2000.25</v>
      </c>
      <c r="R131">
        <v>0.05</v>
      </c>
      <c r="S131" t="s">
        <v>70</v>
      </c>
      <c r="T131">
        <v>374.25</v>
      </c>
    </row>
    <row r="132" spans="1:20" x14ac:dyDescent="0.25">
      <c r="A132">
        <v>100131</v>
      </c>
      <c r="B132" s="6">
        <v>45415</v>
      </c>
      <c r="C132">
        <v>2024</v>
      </c>
      <c r="D132" t="s">
        <v>20</v>
      </c>
      <c r="E132">
        <v>5</v>
      </c>
      <c r="F132" t="s">
        <v>21</v>
      </c>
      <c r="G132" t="s">
        <v>45</v>
      </c>
      <c r="H132" t="s">
        <v>23</v>
      </c>
      <c r="I132" t="s">
        <v>88</v>
      </c>
      <c r="J132" t="s">
        <v>61</v>
      </c>
      <c r="K132" t="s">
        <v>32</v>
      </c>
      <c r="L132" t="s">
        <v>33</v>
      </c>
      <c r="M132">
        <v>25</v>
      </c>
      <c r="N132">
        <v>60</v>
      </c>
      <c r="O132">
        <v>1350</v>
      </c>
      <c r="P132">
        <v>950</v>
      </c>
      <c r="Q132">
        <v>400</v>
      </c>
      <c r="R132">
        <v>0.1</v>
      </c>
      <c r="S132" t="s">
        <v>70</v>
      </c>
      <c r="T132">
        <v>33.659999999999997</v>
      </c>
    </row>
    <row r="133" spans="1:20" x14ac:dyDescent="0.25">
      <c r="A133">
        <v>100132</v>
      </c>
      <c r="B133" s="6">
        <v>45317</v>
      </c>
      <c r="C133">
        <v>2024</v>
      </c>
      <c r="D133" t="s">
        <v>63</v>
      </c>
      <c r="E133">
        <v>1</v>
      </c>
      <c r="F133" t="s">
        <v>79</v>
      </c>
      <c r="G133" t="s">
        <v>35</v>
      </c>
      <c r="H133" t="s">
        <v>23</v>
      </c>
      <c r="I133" t="s">
        <v>53</v>
      </c>
      <c r="J133" t="s">
        <v>54</v>
      </c>
      <c r="K133" t="s">
        <v>26</v>
      </c>
      <c r="L133" t="s">
        <v>27</v>
      </c>
      <c r="M133">
        <v>124</v>
      </c>
      <c r="N133">
        <v>110</v>
      </c>
      <c r="O133">
        <v>12276</v>
      </c>
      <c r="P133">
        <v>8432</v>
      </c>
      <c r="Q133">
        <v>3844</v>
      </c>
      <c r="R133">
        <v>0.1</v>
      </c>
      <c r="S133" t="s">
        <v>57</v>
      </c>
      <c r="T133">
        <v>839.78</v>
      </c>
    </row>
    <row r="134" spans="1:20" x14ac:dyDescent="0.25">
      <c r="A134">
        <v>100133</v>
      </c>
      <c r="B134" s="6">
        <v>45916</v>
      </c>
      <c r="C134">
        <v>2025</v>
      </c>
      <c r="D134" t="s">
        <v>39</v>
      </c>
      <c r="E134">
        <v>9</v>
      </c>
      <c r="F134" t="s">
        <v>40</v>
      </c>
      <c r="G134" t="s">
        <v>29</v>
      </c>
      <c r="H134" t="s">
        <v>23</v>
      </c>
      <c r="I134" t="s">
        <v>30</v>
      </c>
      <c r="J134" t="s">
        <v>25</v>
      </c>
      <c r="K134" t="s">
        <v>51</v>
      </c>
      <c r="L134" t="s">
        <v>52</v>
      </c>
      <c r="M134">
        <v>112</v>
      </c>
      <c r="N134">
        <v>75</v>
      </c>
      <c r="O134">
        <v>8400</v>
      </c>
      <c r="P134">
        <v>4928</v>
      </c>
      <c r="Q134">
        <v>3472</v>
      </c>
      <c r="R134">
        <v>0</v>
      </c>
      <c r="S134" t="s">
        <v>70</v>
      </c>
      <c r="T134">
        <v>401.48</v>
      </c>
    </row>
    <row r="135" spans="1:20" x14ac:dyDescent="0.25">
      <c r="A135">
        <v>100134</v>
      </c>
      <c r="B135" s="6">
        <v>45057</v>
      </c>
      <c r="C135">
        <v>2023</v>
      </c>
      <c r="D135" t="s">
        <v>20</v>
      </c>
      <c r="E135">
        <v>5</v>
      </c>
      <c r="F135" t="s">
        <v>21</v>
      </c>
      <c r="G135" t="s">
        <v>45</v>
      </c>
      <c r="H135" t="s">
        <v>23</v>
      </c>
      <c r="I135" t="s">
        <v>90</v>
      </c>
      <c r="J135" t="s">
        <v>50</v>
      </c>
      <c r="K135" t="s">
        <v>51</v>
      </c>
      <c r="L135" t="s">
        <v>52</v>
      </c>
      <c r="M135">
        <v>117</v>
      </c>
      <c r="N135">
        <v>75</v>
      </c>
      <c r="O135">
        <v>8336.25</v>
      </c>
      <c r="P135">
        <v>5148</v>
      </c>
      <c r="Q135">
        <v>3188.25</v>
      </c>
      <c r="R135">
        <v>0.05</v>
      </c>
      <c r="S135" t="s">
        <v>57</v>
      </c>
      <c r="T135">
        <v>493.66</v>
      </c>
    </row>
    <row r="136" spans="1:20" x14ac:dyDescent="0.25">
      <c r="A136">
        <v>100135</v>
      </c>
      <c r="B136" s="6">
        <v>45847</v>
      </c>
      <c r="C136">
        <v>2025</v>
      </c>
      <c r="D136" t="s">
        <v>39</v>
      </c>
      <c r="E136">
        <v>7</v>
      </c>
      <c r="F136" t="s">
        <v>75</v>
      </c>
      <c r="G136" t="s">
        <v>45</v>
      </c>
      <c r="H136" t="s">
        <v>23</v>
      </c>
      <c r="I136" t="s">
        <v>88</v>
      </c>
      <c r="J136" t="s">
        <v>68</v>
      </c>
      <c r="K136" t="s">
        <v>59</v>
      </c>
      <c r="L136" t="s">
        <v>60</v>
      </c>
      <c r="M136">
        <v>117</v>
      </c>
      <c r="N136">
        <v>45</v>
      </c>
      <c r="O136">
        <v>5159.7</v>
      </c>
      <c r="P136">
        <v>3159</v>
      </c>
      <c r="Q136">
        <v>2000.7</v>
      </c>
      <c r="R136">
        <v>0.02</v>
      </c>
      <c r="S136" t="s">
        <v>28</v>
      </c>
      <c r="T136">
        <v>84.32</v>
      </c>
    </row>
    <row r="137" spans="1:20" x14ac:dyDescent="0.25">
      <c r="A137">
        <v>100136</v>
      </c>
      <c r="B137" s="6">
        <v>45177</v>
      </c>
      <c r="C137">
        <v>2023</v>
      </c>
      <c r="D137" t="s">
        <v>39</v>
      </c>
      <c r="E137">
        <v>9</v>
      </c>
      <c r="F137" t="s">
        <v>40</v>
      </c>
      <c r="G137" t="s">
        <v>22</v>
      </c>
      <c r="H137" t="s">
        <v>23</v>
      </c>
      <c r="I137" t="s">
        <v>71</v>
      </c>
      <c r="J137" t="s">
        <v>50</v>
      </c>
      <c r="K137" t="s">
        <v>59</v>
      </c>
      <c r="L137" t="s">
        <v>91</v>
      </c>
      <c r="M137">
        <v>105</v>
      </c>
      <c r="N137">
        <v>140</v>
      </c>
      <c r="O137">
        <v>13965</v>
      </c>
      <c r="P137">
        <v>8610</v>
      </c>
      <c r="Q137">
        <v>5355</v>
      </c>
      <c r="R137">
        <v>0.05</v>
      </c>
      <c r="S137" t="s">
        <v>38</v>
      </c>
      <c r="T137">
        <v>975.96</v>
      </c>
    </row>
    <row r="138" spans="1:20" x14ac:dyDescent="0.25">
      <c r="A138">
        <v>100137</v>
      </c>
      <c r="B138" s="6">
        <v>45403</v>
      </c>
      <c r="C138">
        <v>2024</v>
      </c>
      <c r="D138" t="s">
        <v>20</v>
      </c>
      <c r="E138">
        <v>4</v>
      </c>
      <c r="F138" t="s">
        <v>34</v>
      </c>
      <c r="G138" t="s">
        <v>35</v>
      </c>
      <c r="H138" t="s">
        <v>23</v>
      </c>
      <c r="I138" t="s">
        <v>77</v>
      </c>
      <c r="J138" t="s">
        <v>54</v>
      </c>
      <c r="K138" t="s">
        <v>59</v>
      </c>
      <c r="L138" t="s">
        <v>91</v>
      </c>
      <c r="M138">
        <v>130</v>
      </c>
      <c r="N138">
        <v>140</v>
      </c>
      <c r="O138">
        <v>17290</v>
      </c>
      <c r="P138">
        <v>10660</v>
      </c>
      <c r="Q138">
        <v>6630</v>
      </c>
      <c r="R138">
        <v>0.05</v>
      </c>
      <c r="S138" t="s">
        <v>70</v>
      </c>
      <c r="T138">
        <v>656.63</v>
      </c>
    </row>
    <row r="139" spans="1:20" x14ac:dyDescent="0.25">
      <c r="A139">
        <v>100138</v>
      </c>
      <c r="B139" s="6">
        <v>45503</v>
      </c>
      <c r="C139">
        <v>2024</v>
      </c>
      <c r="D139" t="s">
        <v>39</v>
      </c>
      <c r="E139">
        <v>7</v>
      </c>
      <c r="F139" t="s">
        <v>75</v>
      </c>
      <c r="G139" t="s">
        <v>35</v>
      </c>
      <c r="H139" t="s">
        <v>23</v>
      </c>
      <c r="I139" t="s">
        <v>77</v>
      </c>
      <c r="J139" t="s">
        <v>66</v>
      </c>
      <c r="K139" t="s">
        <v>32</v>
      </c>
      <c r="L139" t="s">
        <v>33</v>
      </c>
      <c r="M139">
        <v>129</v>
      </c>
      <c r="N139">
        <v>60</v>
      </c>
      <c r="O139">
        <v>7585.2</v>
      </c>
      <c r="P139">
        <v>4902</v>
      </c>
      <c r="Q139">
        <v>2683.2</v>
      </c>
      <c r="R139">
        <v>0.02</v>
      </c>
      <c r="S139" t="s">
        <v>70</v>
      </c>
      <c r="T139">
        <v>237.39</v>
      </c>
    </row>
    <row r="140" spans="1:20" x14ac:dyDescent="0.25">
      <c r="A140">
        <v>100139</v>
      </c>
      <c r="B140" s="6">
        <v>45358</v>
      </c>
      <c r="C140">
        <v>2024</v>
      </c>
      <c r="D140" t="s">
        <v>63</v>
      </c>
      <c r="E140">
        <v>3</v>
      </c>
      <c r="F140" t="s">
        <v>64</v>
      </c>
      <c r="G140" t="s">
        <v>45</v>
      </c>
      <c r="H140" t="s">
        <v>23</v>
      </c>
      <c r="I140" t="s">
        <v>46</v>
      </c>
      <c r="J140" t="s">
        <v>25</v>
      </c>
      <c r="K140" t="s">
        <v>55</v>
      </c>
      <c r="L140" t="s">
        <v>93</v>
      </c>
      <c r="M140">
        <v>58</v>
      </c>
      <c r="N140">
        <v>60</v>
      </c>
      <c r="O140">
        <v>3375.6</v>
      </c>
      <c r="P140">
        <v>2436</v>
      </c>
      <c r="Q140">
        <v>939.6</v>
      </c>
      <c r="R140">
        <v>0.03</v>
      </c>
      <c r="S140" t="s">
        <v>28</v>
      </c>
      <c r="T140">
        <v>73.739999999999995</v>
      </c>
    </row>
    <row r="141" spans="1:20" x14ac:dyDescent="0.25">
      <c r="A141">
        <v>100140</v>
      </c>
      <c r="B141" s="6">
        <v>44987</v>
      </c>
      <c r="C141">
        <v>2023</v>
      </c>
      <c r="D141" t="s">
        <v>63</v>
      </c>
      <c r="E141">
        <v>3</v>
      </c>
      <c r="F141" t="s">
        <v>64</v>
      </c>
      <c r="G141" t="s">
        <v>45</v>
      </c>
      <c r="H141" t="s">
        <v>23</v>
      </c>
      <c r="I141" t="s">
        <v>90</v>
      </c>
      <c r="J141" t="s">
        <v>61</v>
      </c>
      <c r="K141" t="s">
        <v>59</v>
      </c>
      <c r="L141" t="s">
        <v>67</v>
      </c>
      <c r="M141">
        <v>72</v>
      </c>
      <c r="N141">
        <v>95</v>
      </c>
      <c r="O141">
        <v>6156</v>
      </c>
      <c r="P141">
        <v>4032</v>
      </c>
      <c r="Q141">
        <v>2124</v>
      </c>
      <c r="R141">
        <v>0.1</v>
      </c>
      <c r="S141" t="s">
        <v>28</v>
      </c>
      <c r="T141">
        <v>250.59</v>
      </c>
    </row>
    <row r="142" spans="1:20" x14ac:dyDescent="0.25">
      <c r="A142">
        <v>100141</v>
      </c>
      <c r="B142" s="6">
        <v>45490</v>
      </c>
      <c r="C142">
        <v>2024</v>
      </c>
      <c r="D142" t="s">
        <v>39</v>
      </c>
      <c r="E142">
        <v>7</v>
      </c>
      <c r="F142" t="s">
        <v>75</v>
      </c>
      <c r="G142" t="s">
        <v>29</v>
      </c>
      <c r="H142" t="s">
        <v>23</v>
      </c>
      <c r="I142" t="s">
        <v>30</v>
      </c>
      <c r="J142" t="s">
        <v>66</v>
      </c>
      <c r="K142" t="s">
        <v>51</v>
      </c>
      <c r="L142" t="s">
        <v>92</v>
      </c>
      <c r="M142">
        <v>72</v>
      </c>
      <c r="N142">
        <v>50</v>
      </c>
      <c r="O142">
        <v>3528</v>
      </c>
      <c r="P142">
        <v>2088</v>
      </c>
      <c r="Q142">
        <v>1440</v>
      </c>
      <c r="R142">
        <v>0.02</v>
      </c>
      <c r="S142" t="s">
        <v>38</v>
      </c>
      <c r="T142">
        <v>214.1</v>
      </c>
    </row>
    <row r="143" spans="1:20" x14ac:dyDescent="0.25">
      <c r="A143">
        <v>100142</v>
      </c>
      <c r="B143" s="6">
        <v>45152</v>
      </c>
      <c r="C143">
        <v>2023</v>
      </c>
      <c r="D143" t="s">
        <v>39</v>
      </c>
      <c r="E143">
        <v>8</v>
      </c>
      <c r="F143" t="s">
        <v>58</v>
      </c>
      <c r="G143" t="s">
        <v>45</v>
      </c>
      <c r="H143" t="s">
        <v>23</v>
      </c>
      <c r="I143" t="s">
        <v>88</v>
      </c>
      <c r="J143" t="s">
        <v>66</v>
      </c>
      <c r="K143" t="s">
        <v>32</v>
      </c>
      <c r="L143" t="s">
        <v>33</v>
      </c>
      <c r="M143">
        <v>12</v>
      </c>
      <c r="N143">
        <v>60</v>
      </c>
      <c r="O143">
        <v>662.4</v>
      </c>
      <c r="P143">
        <v>456</v>
      </c>
      <c r="Q143">
        <v>206.4</v>
      </c>
      <c r="R143">
        <v>0.08</v>
      </c>
      <c r="S143" t="s">
        <v>28</v>
      </c>
      <c r="T143">
        <v>39.11</v>
      </c>
    </row>
    <row r="144" spans="1:20" x14ac:dyDescent="0.25">
      <c r="A144">
        <v>100143</v>
      </c>
      <c r="B144" s="6">
        <v>45615</v>
      </c>
      <c r="C144">
        <v>2024</v>
      </c>
      <c r="D144" t="s">
        <v>43</v>
      </c>
      <c r="E144">
        <v>11</v>
      </c>
      <c r="F144" t="s">
        <v>87</v>
      </c>
      <c r="G144" t="s">
        <v>45</v>
      </c>
      <c r="H144" t="s">
        <v>23</v>
      </c>
      <c r="I144" t="s">
        <v>90</v>
      </c>
      <c r="J144" t="s">
        <v>68</v>
      </c>
      <c r="K144" t="s">
        <v>59</v>
      </c>
      <c r="L144" t="s">
        <v>60</v>
      </c>
      <c r="M144">
        <v>70</v>
      </c>
      <c r="N144">
        <v>45</v>
      </c>
      <c r="O144">
        <v>3087</v>
      </c>
      <c r="P144">
        <v>1890</v>
      </c>
      <c r="Q144">
        <v>1197</v>
      </c>
      <c r="R144">
        <v>0.02</v>
      </c>
      <c r="S144" t="s">
        <v>57</v>
      </c>
      <c r="T144">
        <v>133.79</v>
      </c>
    </row>
    <row r="145" spans="1:20" x14ac:dyDescent="0.25">
      <c r="A145">
        <v>100144</v>
      </c>
      <c r="B145" s="6">
        <v>45142</v>
      </c>
      <c r="C145">
        <v>2023</v>
      </c>
      <c r="D145" t="s">
        <v>39</v>
      </c>
      <c r="E145">
        <v>8</v>
      </c>
      <c r="F145" t="s">
        <v>58</v>
      </c>
      <c r="G145" t="s">
        <v>22</v>
      </c>
      <c r="H145" t="s">
        <v>23</v>
      </c>
      <c r="I145" t="s">
        <v>65</v>
      </c>
      <c r="J145" t="s">
        <v>50</v>
      </c>
      <c r="K145" t="s">
        <v>59</v>
      </c>
      <c r="L145" t="s">
        <v>60</v>
      </c>
      <c r="M145">
        <v>129</v>
      </c>
      <c r="N145">
        <v>45</v>
      </c>
      <c r="O145">
        <v>5514.75</v>
      </c>
      <c r="P145">
        <v>3483</v>
      </c>
      <c r="Q145">
        <v>2031.75</v>
      </c>
      <c r="R145">
        <v>0.05</v>
      </c>
      <c r="S145" t="s">
        <v>70</v>
      </c>
      <c r="T145">
        <v>93.3</v>
      </c>
    </row>
    <row r="146" spans="1:20" x14ac:dyDescent="0.25">
      <c r="A146">
        <v>100145</v>
      </c>
      <c r="B146" s="6">
        <v>45878</v>
      </c>
      <c r="C146">
        <v>2025</v>
      </c>
      <c r="D146" t="s">
        <v>39</v>
      </c>
      <c r="E146">
        <v>8</v>
      </c>
      <c r="F146" t="s">
        <v>58</v>
      </c>
      <c r="G146" t="s">
        <v>22</v>
      </c>
      <c r="H146" t="s">
        <v>23</v>
      </c>
      <c r="I146" t="s">
        <v>24</v>
      </c>
      <c r="J146" t="s">
        <v>42</v>
      </c>
      <c r="K146" t="s">
        <v>32</v>
      </c>
      <c r="L146" t="s">
        <v>37</v>
      </c>
      <c r="M146">
        <v>85</v>
      </c>
      <c r="N146">
        <v>120</v>
      </c>
      <c r="O146">
        <v>10200</v>
      </c>
      <c r="P146">
        <v>6630</v>
      </c>
      <c r="Q146">
        <v>3570</v>
      </c>
      <c r="R146">
        <v>0</v>
      </c>
      <c r="S146" t="s">
        <v>70</v>
      </c>
      <c r="T146">
        <v>337.6</v>
      </c>
    </row>
    <row r="147" spans="1:20" x14ac:dyDescent="0.25">
      <c r="A147">
        <v>100146</v>
      </c>
      <c r="B147" s="6">
        <v>45881</v>
      </c>
      <c r="C147">
        <v>2025</v>
      </c>
      <c r="D147" t="s">
        <v>39</v>
      </c>
      <c r="E147">
        <v>8</v>
      </c>
      <c r="F147" t="s">
        <v>58</v>
      </c>
      <c r="G147" t="s">
        <v>35</v>
      </c>
      <c r="H147" t="s">
        <v>23</v>
      </c>
      <c r="I147" t="s">
        <v>80</v>
      </c>
      <c r="J147" t="s">
        <v>68</v>
      </c>
      <c r="K147" t="s">
        <v>51</v>
      </c>
      <c r="L147" t="s">
        <v>76</v>
      </c>
      <c r="M147">
        <v>81</v>
      </c>
      <c r="N147">
        <v>40</v>
      </c>
      <c r="O147">
        <v>3078</v>
      </c>
      <c r="P147">
        <v>1863</v>
      </c>
      <c r="Q147">
        <v>1215</v>
      </c>
      <c r="R147">
        <v>0.05</v>
      </c>
      <c r="S147" t="s">
        <v>38</v>
      </c>
      <c r="T147">
        <v>54.43</v>
      </c>
    </row>
    <row r="148" spans="1:20" x14ac:dyDescent="0.25">
      <c r="A148">
        <v>100147</v>
      </c>
      <c r="B148" s="6">
        <v>45899</v>
      </c>
      <c r="C148">
        <v>2025</v>
      </c>
      <c r="D148" t="s">
        <v>39</v>
      </c>
      <c r="E148">
        <v>8</v>
      </c>
      <c r="F148" t="s">
        <v>58</v>
      </c>
      <c r="G148" t="s">
        <v>29</v>
      </c>
      <c r="H148" t="s">
        <v>23</v>
      </c>
      <c r="I148" t="s">
        <v>73</v>
      </c>
      <c r="J148" t="s">
        <v>25</v>
      </c>
      <c r="K148" t="s">
        <v>55</v>
      </c>
      <c r="L148" t="s">
        <v>84</v>
      </c>
      <c r="M148">
        <v>49</v>
      </c>
      <c r="N148">
        <v>55</v>
      </c>
      <c r="O148">
        <v>2479.4</v>
      </c>
      <c r="P148">
        <v>1813</v>
      </c>
      <c r="Q148">
        <v>666.4</v>
      </c>
      <c r="R148">
        <v>0.08</v>
      </c>
      <c r="S148" t="s">
        <v>57</v>
      </c>
      <c r="T148">
        <v>107.57</v>
      </c>
    </row>
    <row r="149" spans="1:20" x14ac:dyDescent="0.25">
      <c r="A149">
        <v>100148</v>
      </c>
      <c r="B149" s="6">
        <v>45990</v>
      </c>
      <c r="C149">
        <v>2025</v>
      </c>
      <c r="D149" t="s">
        <v>43</v>
      </c>
      <c r="E149">
        <v>11</v>
      </c>
      <c r="F149" t="s">
        <v>87</v>
      </c>
      <c r="G149" t="s">
        <v>35</v>
      </c>
      <c r="H149" t="s">
        <v>23</v>
      </c>
      <c r="I149" t="s">
        <v>80</v>
      </c>
      <c r="J149" t="s">
        <v>31</v>
      </c>
      <c r="K149" t="s">
        <v>59</v>
      </c>
      <c r="L149" t="s">
        <v>60</v>
      </c>
      <c r="M149">
        <v>42</v>
      </c>
      <c r="N149">
        <v>45</v>
      </c>
      <c r="O149">
        <v>1738.8</v>
      </c>
      <c r="P149">
        <v>1134</v>
      </c>
      <c r="Q149">
        <v>604.79999999999995</v>
      </c>
      <c r="R149">
        <v>0.08</v>
      </c>
      <c r="S149" t="s">
        <v>38</v>
      </c>
      <c r="T149">
        <v>102.34</v>
      </c>
    </row>
    <row r="150" spans="1:20" x14ac:dyDescent="0.25">
      <c r="A150">
        <v>100149</v>
      </c>
      <c r="B150" s="6">
        <v>45497</v>
      </c>
      <c r="C150">
        <v>2024</v>
      </c>
      <c r="D150" t="s">
        <v>39</v>
      </c>
      <c r="E150">
        <v>7</v>
      </c>
      <c r="F150" t="s">
        <v>75</v>
      </c>
      <c r="G150" t="s">
        <v>22</v>
      </c>
      <c r="H150" t="s">
        <v>23</v>
      </c>
      <c r="I150" t="s">
        <v>65</v>
      </c>
      <c r="J150" t="s">
        <v>54</v>
      </c>
      <c r="K150" t="s">
        <v>26</v>
      </c>
      <c r="L150" t="s">
        <v>69</v>
      </c>
      <c r="M150">
        <v>54</v>
      </c>
      <c r="N150">
        <v>130</v>
      </c>
      <c r="O150">
        <v>6669</v>
      </c>
      <c r="P150">
        <v>4104</v>
      </c>
      <c r="Q150">
        <v>2565</v>
      </c>
      <c r="R150">
        <v>0.05</v>
      </c>
      <c r="S150" t="s">
        <v>57</v>
      </c>
      <c r="T150">
        <v>349.51</v>
      </c>
    </row>
    <row r="151" spans="1:20" x14ac:dyDescent="0.25">
      <c r="A151">
        <v>100150</v>
      </c>
      <c r="B151" s="6">
        <v>45626</v>
      </c>
      <c r="C151">
        <v>2024</v>
      </c>
      <c r="D151" t="s">
        <v>43</v>
      </c>
      <c r="E151">
        <v>11</v>
      </c>
      <c r="F151" t="s">
        <v>87</v>
      </c>
      <c r="G151" t="s">
        <v>22</v>
      </c>
      <c r="H151" t="s">
        <v>23</v>
      </c>
      <c r="I151" t="s">
        <v>71</v>
      </c>
      <c r="J151" t="s">
        <v>25</v>
      </c>
      <c r="K151" t="s">
        <v>55</v>
      </c>
      <c r="L151" t="s">
        <v>84</v>
      </c>
      <c r="M151">
        <v>40</v>
      </c>
      <c r="N151">
        <v>55</v>
      </c>
      <c r="O151">
        <v>2024</v>
      </c>
      <c r="P151">
        <v>1480</v>
      </c>
      <c r="Q151">
        <v>544</v>
      </c>
      <c r="R151">
        <v>0.08</v>
      </c>
      <c r="S151" t="s">
        <v>38</v>
      </c>
      <c r="T151">
        <v>44.71</v>
      </c>
    </row>
    <row r="152" spans="1:20" x14ac:dyDescent="0.25">
      <c r="A152">
        <v>100151</v>
      </c>
      <c r="B152" s="6">
        <v>45008</v>
      </c>
      <c r="C152">
        <v>2023</v>
      </c>
      <c r="D152" t="s">
        <v>63</v>
      </c>
      <c r="E152">
        <v>3</v>
      </c>
      <c r="F152" t="s">
        <v>64</v>
      </c>
      <c r="G152" t="s">
        <v>29</v>
      </c>
      <c r="H152" t="s">
        <v>23</v>
      </c>
      <c r="I152" t="s">
        <v>85</v>
      </c>
      <c r="J152" t="s">
        <v>66</v>
      </c>
      <c r="K152" t="s">
        <v>26</v>
      </c>
      <c r="L152" t="s">
        <v>27</v>
      </c>
      <c r="M152">
        <v>21</v>
      </c>
      <c r="N152">
        <v>110</v>
      </c>
      <c r="O152">
        <v>2310</v>
      </c>
      <c r="P152">
        <v>1428</v>
      </c>
      <c r="Q152">
        <v>882</v>
      </c>
      <c r="R152">
        <v>0</v>
      </c>
      <c r="S152" t="s">
        <v>38</v>
      </c>
      <c r="T152">
        <v>71.12</v>
      </c>
    </row>
    <row r="153" spans="1:20" x14ac:dyDescent="0.25">
      <c r="A153">
        <v>100152</v>
      </c>
      <c r="B153" s="6">
        <v>44943</v>
      </c>
      <c r="C153">
        <v>2023</v>
      </c>
      <c r="D153" t="s">
        <v>63</v>
      </c>
      <c r="E153">
        <v>1</v>
      </c>
      <c r="F153" t="s">
        <v>79</v>
      </c>
      <c r="G153" t="s">
        <v>29</v>
      </c>
      <c r="H153" t="s">
        <v>23</v>
      </c>
      <c r="I153" t="s">
        <v>30</v>
      </c>
      <c r="J153" t="s">
        <v>25</v>
      </c>
      <c r="K153" t="s">
        <v>51</v>
      </c>
      <c r="L153" t="s">
        <v>72</v>
      </c>
      <c r="M153">
        <v>97</v>
      </c>
      <c r="N153">
        <v>90</v>
      </c>
      <c r="O153">
        <v>8031.6</v>
      </c>
      <c r="P153">
        <v>5044</v>
      </c>
      <c r="Q153">
        <v>2987.6</v>
      </c>
      <c r="R153">
        <v>0.08</v>
      </c>
      <c r="S153" t="s">
        <v>57</v>
      </c>
      <c r="T153">
        <v>177.21</v>
      </c>
    </row>
    <row r="154" spans="1:20" x14ac:dyDescent="0.25">
      <c r="A154">
        <v>100153</v>
      </c>
      <c r="B154" s="6">
        <v>45512</v>
      </c>
      <c r="C154">
        <v>2024</v>
      </c>
      <c r="D154" t="s">
        <v>39</v>
      </c>
      <c r="E154">
        <v>8</v>
      </c>
      <c r="F154" t="s">
        <v>58</v>
      </c>
      <c r="G154" t="s">
        <v>45</v>
      </c>
      <c r="H154" t="s">
        <v>23</v>
      </c>
      <c r="I154" t="s">
        <v>62</v>
      </c>
      <c r="J154" t="s">
        <v>66</v>
      </c>
      <c r="K154" t="s">
        <v>26</v>
      </c>
      <c r="L154" t="s">
        <v>82</v>
      </c>
      <c r="M154">
        <v>69</v>
      </c>
      <c r="N154">
        <v>105</v>
      </c>
      <c r="O154">
        <v>7245</v>
      </c>
      <c r="P154">
        <v>4209</v>
      </c>
      <c r="Q154">
        <v>3036</v>
      </c>
      <c r="R154">
        <v>0</v>
      </c>
      <c r="S154" t="s">
        <v>28</v>
      </c>
      <c r="T154">
        <v>409.01</v>
      </c>
    </row>
    <row r="155" spans="1:20" x14ac:dyDescent="0.25">
      <c r="A155">
        <v>100154</v>
      </c>
      <c r="B155" s="6">
        <v>45410</v>
      </c>
      <c r="C155">
        <v>2024</v>
      </c>
      <c r="D155" t="s">
        <v>20</v>
      </c>
      <c r="E155">
        <v>4</v>
      </c>
      <c r="F155" t="s">
        <v>34</v>
      </c>
      <c r="G155" t="s">
        <v>35</v>
      </c>
      <c r="H155" t="s">
        <v>23</v>
      </c>
      <c r="I155" t="s">
        <v>80</v>
      </c>
      <c r="J155" t="s">
        <v>42</v>
      </c>
      <c r="K155" t="s">
        <v>51</v>
      </c>
      <c r="L155" t="s">
        <v>92</v>
      </c>
      <c r="M155">
        <v>21</v>
      </c>
      <c r="N155">
        <v>50</v>
      </c>
      <c r="O155">
        <v>1050</v>
      </c>
      <c r="P155">
        <v>609</v>
      </c>
      <c r="Q155">
        <v>441</v>
      </c>
      <c r="R155">
        <v>0</v>
      </c>
      <c r="S155" t="s">
        <v>38</v>
      </c>
      <c r="T155">
        <v>49.37</v>
      </c>
    </row>
    <row r="156" spans="1:20" x14ac:dyDescent="0.25">
      <c r="A156">
        <v>100155</v>
      </c>
      <c r="B156" s="6">
        <v>45136</v>
      </c>
      <c r="C156">
        <v>2023</v>
      </c>
      <c r="D156" t="s">
        <v>39</v>
      </c>
      <c r="E156">
        <v>7</v>
      </c>
      <c r="F156" t="s">
        <v>75</v>
      </c>
      <c r="G156" t="s">
        <v>35</v>
      </c>
      <c r="H156" t="s">
        <v>23</v>
      </c>
      <c r="I156" t="s">
        <v>36</v>
      </c>
      <c r="J156" t="s">
        <v>42</v>
      </c>
      <c r="K156" t="s">
        <v>55</v>
      </c>
      <c r="L156" t="s">
        <v>93</v>
      </c>
      <c r="M156">
        <v>134</v>
      </c>
      <c r="N156">
        <v>60</v>
      </c>
      <c r="O156">
        <v>7798.8</v>
      </c>
      <c r="P156">
        <v>5628</v>
      </c>
      <c r="Q156">
        <v>2170.8000000000002</v>
      </c>
      <c r="R156">
        <v>0.03</v>
      </c>
      <c r="S156" t="s">
        <v>38</v>
      </c>
      <c r="T156">
        <v>145.13</v>
      </c>
    </row>
    <row r="157" spans="1:20" x14ac:dyDescent="0.25">
      <c r="A157">
        <v>100156</v>
      </c>
      <c r="B157" s="6">
        <v>45005</v>
      </c>
      <c r="C157">
        <v>2023</v>
      </c>
      <c r="D157" t="s">
        <v>63</v>
      </c>
      <c r="E157">
        <v>3</v>
      </c>
      <c r="F157" t="s">
        <v>64</v>
      </c>
      <c r="G157" t="s">
        <v>29</v>
      </c>
      <c r="H157" t="s">
        <v>23</v>
      </c>
      <c r="I157" t="s">
        <v>30</v>
      </c>
      <c r="J157" t="s">
        <v>50</v>
      </c>
      <c r="K157" t="s">
        <v>51</v>
      </c>
      <c r="L157" t="s">
        <v>52</v>
      </c>
      <c r="M157">
        <v>35</v>
      </c>
      <c r="N157">
        <v>75</v>
      </c>
      <c r="O157">
        <v>2625</v>
      </c>
      <c r="P157">
        <v>1540</v>
      </c>
      <c r="Q157">
        <v>1085</v>
      </c>
      <c r="R157">
        <v>0</v>
      </c>
      <c r="S157" t="s">
        <v>70</v>
      </c>
      <c r="T157">
        <v>107.02</v>
      </c>
    </row>
    <row r="158" spans="1:20" x14ac:dyDescent="0.25">
      <c r="A158">
        <v>100157</v>
      </c>
      <c r="B158" s="6">
        <v>45323</v>
      </c>
      <c r="C158">
        <v>2024</v>
      </c>
      <c r="D158" t="s">
        <v>63</v>
      </c>
      <c r="E158">
        <v>2</v>
      </c>
      <c r="F158" t="s">
        <v>81</v>
      </c>
      <c r="G158" t="s">
        <v>45</v>
      </c>
      <c r="H158" t="s">
        <v>23</v>
      </c>
      <c r="I158" t="s">
        <v>90</v>
      </c>
      <c r="J158" t="s">
        <v>66</v>
      </c>
      <c r="K158" t="s">
        <v>59</v>
      </c>
      <c r="L158" t="s">
        <v>60</v>
      </c>
      <c r="M158">
        <v>84</v>
      </c>
      <c r="N158">
        <v>45</v>
      </c>
      <c r="O158">
        <v>3704.4</v>
      </c>
      <c r="P158">
        <v>2268</v>
      </c>
      <c r="Q158">
        <v>1436.4</v>
      </c>
      <c r="R158">
        <v>0.02</v>
      </c>
      <c r="S158" t="s">
        <v>38</v>
      </c>
      <c r="T158">
        <v>72.349999999999994</v>
      </c>
    </row>
    <row r="159" spans="1:20" x14ac:dyDescent="0.25">
      <c r="A159">
        <v>100158</v>
      </c>
      <c r="B159" s="6">
        <v>45775</v>
      </c>
      <c r="C159">
        <v>2025</v>
      </c>
      <c r="D159" t="s">
        <v>20</v>
      </c>
      <c r="E159">
        <v>4</v>
      </c>
      <c r="F159" t="s">
        <v>34</v>
      </c>
      <c r="G159" t="s">
        <v>35</v>
      </c>
      <c r="H159" t="s">
        <v>23</v>
      </c>
      <c r="I159" t="s">
        <v>80</v>
      </c>
      <c r="J159" t="s">
        <v>50</v>
      </c>
      <c r="K159" t="s">
        <v>32</v>
      </c>
      <c r="L159" t="s">
        <v>37</v>
      </c>
      <c r="M159">
        <v>30</v>
      </c>
      <c r="N159">
        <v>120</v>
      </c>
      <c r="O159">
        <v>3312</v>
      </c>
      <c r="P159">
        <v>2340</v>
      </c>
      <c r="Q159">
        <v>972</v>
      </c>
      <c r="R159">
        <v>0.08</v>
      </c>
      <c r="S159" t="s">
        <v>38</v>
      </c>
      <c r="T159">
        <v>205.86</v>
      </c>
    </row>
    <row r="160" spans="1:20" x14ac:dyDescent="0.25">
      <c r="A160">
        <v>100159</v>
      </c>
      <c r="B160" s="6">
        <v>45496</v>
      </c>
      <c r="C160">
        <v>2024</v>
      </c>
      <c r="D160" t="s">
        <v>39</v>
      </c>
      <c r="E160">
        <v>7</v>
      </c>
      <c r="F160" t="s">
        <v>75</v>
      </c>
      <c r="G160" t="s">
        <v>29</v>
      </c>
      <c r="H160" t="s">
        <v>23</v>
      </c>
      <c r="I160" t="s">
        <v>85</v>
      </c>
      <c r="J160" t="s">
        <v>68</v>
      </c>
      <c r="K160" t="s">
        <v>51</v>
      </c>
      <c r="L160" t="s">
        <v>92</v>
      </c>
      <c r="M160">
        <v>73</v>
      </c>
      <c r="N160">
        <v>50</v>
      </c>
      <c r="O160">
        <v>3358</v>
      </c>
      <c r="P160">
        <v>2117</v>
      </c>
      <c r="Q160">
        <v>1241</v>
      </c>
      <c r="R160">
        <v>0.08</v>
      </c>
      <c r="S160" t="s">
        <v>28</v>
      </c>
      <c r="T160">
        <v>182.41</v>
      </c>
    </row>
    <row r="161" spans="1:20" x14ac:dyDescent="0.25">
      <c r="A161">
        <v>100160</v>
      </c>
      <c r="B161" s="6">
        <v>45134</v>
      </c>
      <c r="C161">
        <v>2023</v>
      </c>
      <c r="D161" t="s">
        <v>39</v>
      </c>
      <c r="E161">
        <v>7</v>
      </c>
      <c r="F161" t="s">
        <v>75</v>
      </c>
      <c r="G161" t="s">
        <v>22</v>
      </c>
      <c r="H161" t="s">
        <v>23</v>
      </c>
      <c r="I161" t="s">
        <v>65</v>
      </c>
      <c r="J161" t="s">
        <v>66</v>
      </c>
      <c r="K161" t="s">
        <v>32</v>
      </c>
      <c r="L161" t="s">
        <v>37</v>
      </c>
      <c r="M161">
        <v>102</v>
      </c>
      <c r="N161">
        <v>120</v>
      </c>
      <c r="O161">
        <v>11628</v>
      </c>
      <c r="P161">
        <v>7956</v>
      </c>
      <c r="Q161">
        <v>3672</v>
      </c>
      <c r="R161">
        <v>0.05</v>
      </c>
      <c r="S161" t="s">
        <v>70</v>
      </c>
      <c r="T161">
        <v>667.46</v>
      </c>
    </row>
    <row r="162" spans="1:20" x14ac:dyDescent="0.25">
      <c r="A162">
        <v>100161</v>
      </c>
      <c r="B162" s="6">
        <v>45125</v>
      </c>
      <c r="C162">
        <v>2023</v>
      </c>
      <c r="D162" t="s">
        <v>39</v>
      </c>
      <c r="E162">
        <v>7</v>
      </c>
      <c r="F162" t="s">
        <v>75</v>
      </c>
      <c r="G162" t="s">
        <v>22</v>
      </c>
      <c r="H162" t="s">
        <v>23</v>
      </c>
      <c r="I162" t="s">
        <v>71</v>
      </c>
      <c r="J162" t="s">
        <v>66</v>
      </c>
      <c r="K162" t="s">
        <v>32</v>
      </c>
      <c r="L162" t="s">
        <v>37</v>
      </c>
      <c r="M162">
        <v>33</v>
      </c>
      <c r="N162">
        <v>120</v>
      </c>
      <c r="O162">
        <v>3564</v>
      </c>
      <c r="P162">
        <v>2574</v>
      </c>
      <c r="Q162">
        <v>990</v>
      </c>
      <c r="R162">
        <v>0.1</v>
      </c>
      <c r="S162" t="s">
        <v>70</v>
      </c>
      <c r="T162">
        <v>174.34</v>
      </c>
    </row>
    <row r="163" spans="1:20" x14ac:dyDescent="0.25">
      <c r="A163">
        <v>100162</v>
      </c>
      <c r="B163" s="6">
        <v>45660</v>
      </c>
      <c r="C163">
        <v>2025</v>
      </c>
      <c r="D163" t="s">
        <v>63</v>
      </c>
      <c r="E163">
        <v>1</v>
      </c>
      <c r="F163" t="s">
        <v>79</v>
      </c>
      <c r="G163" t="s">
        <v>35</v>
      </c>
      <c r="H163" t="s">
        <v>23</v>
      </c>
      <c r="I163" t="s">
        <v>53</v>
      </c>
      <c r="J163" t="s">
        <v>42</v>
      </c>
      <c r="K163" t="s">
        <v>32</v>
      </c>
      <c r="L163" t="s">
        <v>47</v>
      </c>
      <c r="M163">
        <v>93</v>
      </c>
      <c r="N163">
        <v>180</v>
      </c>
      <c r="O163">
        <v>16237.8</v>
      </c>
      <c r="P163">
        <v>10695</v>
      </c>
      <c r="Q163">
        <v>5542.8</v>
      </c>
      <c r="R163">
        <v>0.03</v>
      </c>
      <c r="S163" t="s">
        <v>38</v>
      </c>
      <c r="T163">
        <v>422.65</v>
      </c>
    </row>
    <row r="164" spans="1:20" x14ac:dyDescent="0.25">
      <c r="A164">
        <v>100163</v>
      </c>
      <c r="B164" s="6">
        <v>45652</v>
      </c>
      <c r="C164">
        <v>2024</v>
      </c>
      <c r="D164" t="s">
        <v>43</v>
      </c>
      <c r="E164">
        <v>12</v>
      </c>
      <c r="F164" t="s">
        <v>83</v>
      </c>
      <c r="G164" t="s">
        <v>35</v>
      </c>
      <c r="H164" t="s">
        <v>23</v>
      </c>
      <c r="I164" t="s">
        <v>77</v>
      </c>
      <c r="J164" t="s">
        <v>31</v>
      </c>
      <c r="K164" t="s">
        <v>51</v>
      </c>
      <c r="L164" t="s">
        <v>72</v>
      </c>
      <c r="M164">
        <v>81</v>
      </c>
      <c r="N164">
        <v>90</v>
      </c>
      <c r="O164">
        <v>7144.2</v>
      </c>
      <c r="P164">
        <v>4212</v>
      </c>
      <c r="Q164">
        <v>2932.2</v>
      </c>
      <c r="R164">
        <v>0.02</v>
      </c>
      <c r="S164" t="s">
        <v>70</v>
      </c>
      <c r="T164">
        <v>286.02999999999997</v>
      </c>
    </row>
    <row r="165" spans="1:20" x14ac:dyDescent="0.25">
      <c r="A165">
        <v>100164</v>
      </c>
      <c r="B165" s="6">
        <v>45264</v>
      </c>
      <c r="C165">
        <v>2023</v>
      </c>
      <c r="D165" t="s">
        <v>43</v>
      </c>
      <c r="E165">
        <v>12</v>
      </c>
      <c r="F165" t="s">
        <v>83</v>
      </c>
      <c r="G165" t="s">
        <v>35</v>
      </c>
      <c r="H165" t="s">
        <v>23</v>
      </c>
      <c r="I165" t="s">
        <v>53</v>
      </c>
      <c r="J165" t="s">
        <v>66</v>
      </c>
      <c r="K165" t="s">
        <v>59</v>
      </c>
      <c r="L165" t="s">
        <v>91</v>
      </c>
      <c r="M165">
        <v>20</v>
      </c>
      <c r="N165">
        <v>140</v>
      </c>
      <c r="O165">
        <v>2660</v>
      </c>
      <c r="P165">
        <v>1640</v>
      </c>
      <c r="Q165">
        <v>1020</v>
      </c>
      <c r="R165">
        <v>0.05</v>
      </c>
      <c r="S165" t="s">
        <v>28</v>
      </c>
      <c r="T165">
        <v>165.74</v>
      </c>
    </row>
    <row r="166" spans="1:20" x14ac:dyDescent="0.25">
      <c r="A166">
        <v>100165</v>
      </c>
      <c r="B166" s="6">
        <v>45705</v>
      </c>
      <c r="C166">
        <v>2025</v>
      </c>
      <c r="D166" t="s">
        <v>63</v>
      </c>
      <c r="E166">
        <v>2</v>
      </c>
      <c r="F166" t="s">
        <v>81</v>
      </c>
      <c r="G166" t="s">
        <v>35</v>
      </c>
      <c r="H166" t="s">
        <v>23</v>
      </c>
      <c r="I166" t="s">
        <v>53</v>
      </c>
      <c r="J166" t="s">
        <v>31</v>
      </c>
      <c r="K166" t="s">
        <v>32</v>
      </c>
      <c r="L166" t="s">
        <v>37</v>
      </c>
      <c r="M166">
        <v>85</v>
      </c>
      <c r="N166">
        <v>120</v>
      </c>
      <c r="O166">
        <v>9180</v>
      </c>
      <c r="P166">
        <v>6630</v>
      </c>
      <c r="Q166">
        <v>2550</v>
      </c>
      <c r="R166">
        <v>0.1</v>
      </c>
      <c r="S166" t="s">
        <v>70</v>
      </c>
      <c r="T166">
        <v>209.65</v>
      </c>
    </row>
    <row r="167" spans="1:20" x14ac:dyDescent="0.25">
      <c r="A167">
        <v>100166</v>
      </c>
      <c r="B167" s="6">
        <v>45018</v>
      </c>
      <c r="C167">
        <v>2023</v>
      </c>
      <c r="D167" t="s">
        <v>20</v>
      </c>
      <c r="E167">
        <v>4</v>
      </c>
      <c r="F167" t="s">
        <v>34</v>
      </c>
      <c r="G167" t="s">
        <v>29</v>
      </c>
      <c r="H167" t="s">
        <v>23</v>
      </c>
      <c r="I167" t="s">
        <v>73</v>
      </c>
      <c r="J167" t="s">
        <v>61</v>
      </c>
      <c r="K167" t="s">
        <v>59</v>
      </c>
      <c r="L167" t="s">
        <v>91</v>
      </c>
      <c r="M167">
        <v>106</v>
      </c>
      <c r="N167">
        <v>140</v>
      </c>
      <c r="O167">
        <v>14394.8</v>
      </c>
      <c r="P167">
        <v>8692</v>
      </c>
      <c r="Q167">
        <v>5702.8</v>
      </c>
      <c r="R167">
        <v>0.03</v>
      </c>
      <c r="S167" t="s">
        <v>38</v>
      </c>
      <c r="T167">
        <v>285.49</v>
      </c>
    </row>
    <row r="168" spans="1:20" x14ac:dyDescent="0.25">
      <c r="A168">
        <v>100167</v>
      </c>
      <c r="B168" s="6">
        <v>45515</v>
      </c>
      <c r="C168">
        <v>2024</v>
      </c>
      <c r="D168" t="s">
        <v>39</v>
      </c>
      <c r="E168">
        <v>8</v>
      </c>
      <c r="F168" t="s">
        <v>58</v>
      </c>
      <c r="G168" t="s">
        <v>29</v>
      </c>
      <c r="H168" t="s">
        <v>23</v>
      </c>
      <c r="I168" t="s">
        <v>85</v>
      </c>
      <c r="J168" t="s">
        <v>54</v>
      </c>
      <c r="K168" t="s">
        <v>51</v>
      </c>
      <c r="L168" t="s">
        <v>76</v>
      </c>
      <c r="M168">
        <v>112</v>
      </c>
      <c r="N168">
        <v>40</v>
      </c>
      <c r="O168">
        <v>4390.3999999999996</v>
      </c>
      <c r="P168">
        <v>2576</v>
      </c>
      <c r="Q168">
        <v>1814.4</v>
      </c>
      <c r="R168">
        <v>0.02</v>
      </c>
      <c r="S168" t="s">
        <v>38</v>
      </c>
      <c r="T168">
        <v>233.24</v>
      </c>
    </row>
    <row r="169" spans="1:20" x14ac:dyDescent="0.25">
      <c r="A169">
        <v>100168</v>
      </c>
      <c r="B169" s="6">
        <v>45813</v>
      </c>
      <c r="C169">
        <v>2025</v>
      </c>
      <c r="D169" t="s">
        <v>20</v>
      </c>
      <c r="E169">
        <v>6</v>
      </c>
      <c r="F169" t="s">
        <v>48</v>
      </c>
      <c r="G169" t="s">
        <v>29</v>
      </c>
      <c r="H169" t="s">
        <v>23</v>
      </c>
      <c r="I169" t="s">
        <v>73</v>
      </c>
      <c r="J169" t="s">
        <v>54</v>
      </c>
      <c r="K169" t="s">
        <v>55</v>
      </c>
      <c r="L169" t="s">
        <v>93</v>
      </c>
      <c r="M169">
        <v>132</v>
      </c>
      <c r="N169">
        <v>60</v>
      </c>
      <c r="O169">
        <v>7920</v>
      </c>
      <c r="P169">
        <v>5544</v>
      </c>
      <c r="Q169">
        <v>2376</v>
      </c>
      <c r="R169">
        <v>0</v>
      </c>
      <c r="S169" t="s">
        <v>70</v>
      </c>
      <c r="T169">
        <v>526.61</v>
      </c>
    </row>
    <row r="170" spans="1:20" x14ac:dyDescent="0.25">
      <c r="A170">
        <v>100169</v>
      </c>
      <c r="B170" s="6">
        <v>45479</v>
      </c>
      <c r="C170">
        <v>2024</v>
      </c>
      <c r="D170" t="s">
        <v>39</v>
      </c>
      <c r="E170">
        <v>7</v>
      </c>
      <c r="F170" t="s">
        <v>75</v>
      </c>
      <c r="G170" t="s">
        <v>35</v>
      </c>
      <c r="H170" t="s">
        <v>23</v>
      </c>
      <c r="I170" t="s">
        <v>80</v>
      </c>
      <c r="J170" t="s">
        <v>25</v>
      </c>
      <c r="K170" t="s">
        <v>55</v>
      </c>
      <c r="L170" t="s">
        <v>84</v>
      </c>
      <c r="M170">
        <v>101</v>
      </c>
      <c r="N170">
        <v>55</v>
      </c>
      <c r="O170">
        <v>5110.6000000000004</v>
      </c>
      <c r="P170">
        <v>3737</v>
      </c>
      <c r="Q170">
        <v>1373.6</v>
      </c>
      <c r="R170">
        <v>0.08</v>
      </c>
      <c r="S170" t="s">
        <v>70</v>
      </c>
      <c r="T170">
        <v>172.07</v>
      </c>
    </row>
    <row r="171" spans="1:20" x14ac:dyDescent="0.25">
      <c r="A171">
        <v>100170</v>
      </c>
      <c r="B171" s="6">
        <v>45385</v>
      </c>
      <c r="C171">
        <v>2024</v>
      </c>
      <c r="D171" t="s">
        <v>20</v>
      </c>
      <c r="E171">
        <v>4</v>
      </c>
      <c r="F171" t="s">
        <v>34</v>
      </c>
      <c r="G171" t="s">
        <v>29</v>
      </c>
      <c r="H171" t="s">
        <v>23</v>
      </c>
      <c r="I171" t="s">
        <v>49</v>
      </c>
      <c r="J171" t="s">
        <v>42</v>
      </c>
      <c r="K171" t="s">
        <v>59</v>
      </c>
      <c r="L171" t="s">
        <v>86</v>
      </c>
      <c r="M171">
        <v>31</v>
      </c>
      <c r="N171">
        <v>160</v>
      </c>
      <c r="O171">
        <v>4811.2</v>
      </c>
      <c r="P171">
        <v>2945</v>
      </c>
      <c r="Q171">
        <v>1866.2</v>
      </c>
      <c r="R171">
        <v>0.03</v>
      </c>
      <c r="S171" t="s">
        <v>38</v>
      </c>
      <c r="T171">
        <v>242.47</v>
      </c>
    </row>
    <row r="172" spans="1:20" x14ac:dyDescent="0.25">
      <c r="A172">
        <v>100171</v>
      </c>
      <c r="B172" s="6">
        <v>44940</v>
      </c>
      <c r="C172">
        <v>2023</v>
      </c>
      <c r="D172" t="s">
        <v>63</v>
      </c>
      <c r="E172">
        <v>1</v>
      </c>
      <c r="F172" t="s">
        <v>79</v>
      </c>
      <c r="G172" t="s">
        <v>22</v>
      </c>
      <c r="H172" t="s">
        <v>23</v>
      </c>
      <c r="I172" t="s">
        <v>41</v>
      </c>
      <c r="J172" t="s">
        <v>68</v>
      </c>
      <c r="K172" t="s">
        <v>32</v>
      </c>
      <c r="L172" t="s">
        <v>74</v>
      </c>
      <c r="M172">
        <v>21</v>
      </c>
      <c r="N172">
        <v>25</v>
      </c>
      <c r="O172">
        <v>525</v>
      </c>
      <c r="P172">
        <v>294</v>
      </c>
      <c r="Q172">
        <v>231</v>
      </c>
      <c r="R172">
        <v>0</v>
      </c>
      <c r="S172" t="s">
        <v>38</v>
      </c>
      <c r="T172">
        <v>33.049999999999997</v>
      </c>
    </row>
    <row r="173" spans="1:20" x14ac:dyDescent="0.25">
      <c r="A173">
        <v>100172</v>
      </c>
      <c r="B173" s="6">
        <v>45676</v>
      </c>
      <c r="C173">
        <v>2025</v>
      </c>
      <c r="D173" t="s">
        <v>63</v>
      </c>
      <c r="E173">
        <v>1</v>
      </c>
      <c r="F173" t="s">
        <v>79</v>
      </c>
      <c r="G173" t="s">
        <v>29</v>
      </c>
      <c r="H173" t="s">
        <v>23</v>
      </c>
      <c r="I173" t="s">
        <v>73</v>
      </c>
      <c r="J173" t="s">
        <v>68</v>
      </c>
      <c r="K173" t="s">
        <v>32</v>
      </c>
      <c r="L173" t="s">
        <v>74</v>
      </c>
      <c r="M173">
        <v>62</v>
      </c>
      <c r="N173">
        <v>25</v>
      </c>
      <c r="O173">
        <v>1472.5</v>
      </c>
      <c r="P173">
        <v>868</v>
      </c>
      <c r="Q173">
        <v>604.5</v>
      </c>
      <c r="R173">
        <v>0.05</v>
      </c>
      <c r="S173" t="s">
        <v>38</v>
      </c>
      <c r="T173">
        <v>62.44</v>
      </c>
    </row>
    <row r="174" spans="1:20" x14ac:dyDescent="0.25">
      <c r="A174">
        <v>100173</v>
      </c>
      <c r="B174" s="6">
        <v>45588</v>
      </c>
      <c r="C174">
        <v>2024</v>
      </c>
      <c r="D174" t="s">
        <v>43</v>
      </c>
      <c r="E174">
        <v>10</v>
      </c>
      <c r="F174" t="s">
        <v>44</v>
      </c>
      <c r="G174" t="s">
        <v>45</v>
      </c>
      <c r="H174" t="s">
        <v>23</v>
      </c>
      <c r="I174" t="s">
        <v>62</v>
      </c>
      <c r="J174" t="s">
        <v>61</v>
      </c>
      <c r="K174" t="s">
        <v>59</v>
      </c>
      <c r="L174" t="s">
        <v>67</v>
      </c>
      <c r="M174">
        <v>140</v>
      </c>
      <c r="N174">
        <v>95</v>
      </c>
      <c r="O174">
        <v>13300</v>
      </c>
      <c r="P174">
        <v>7840</v>
      </c>
      <c r="Q174">
        <v>5460</v>
      </c>
      <c r="R174">
        <v>0</v>
      </c>
      <c r="S174" t="s">
        <v>38</v>
      </c>
      <c r="T174">
        <v>494.49</v>
      </c>
    </row>
    <row r="175" spans="1:20" x14ac:dyDescent="0.25">
      <c r="A175">
        <v>100174</v>
      </c>
      <c r="B175" s="6">
        <v>45279</v>
      </c>
      <c r="C175">
        <v>2023</v>
      </c>
      <c r="D175" t="s">
        <v>43</v>
      </c>
      <c r="E175">
        <v>12</v>
      </c>
      <c r="F175" t="s">
        <v>83</v>
      </c>
      <c r="G175" t="s">
        <v>22</v>
      </c>
      <c r="H175" t="s">
        <v>23</v>
      </c>
      <c r="I175" t="s">
        <v>65</v>
      </c>
      <c r="J175" t="s">
        <v>50</v>
      </c>
      <c r="K175" t="s">
        <v>32</v>
      </c>
      <c r="L175" t="s">
        <v>37</v>
      </c>
      <c r="M175">
        <v>33</v>
      </c>
      <c r="N175">
        <v>120</v>
      </c>
      <c r="O175">
        <v>3841.2</v>
      </c>
      <c r="P175">
        <v>2574</v>
      </c>
      <c r="Q175">
        <v>1267.2</v>
      </c>
      <c r="R175">
        <v>0.03</v>
      </c>
      <c r="S175" t="s">
        <v>57</v>
      </c>
      <c r="T175">
        <v>130.69999999999999</v>
      </c>
    </row>
    <row r="176" spans="1:20" x14ac:dyDescent="0.25">
      <c r="A176">
        <v>100175</v>
      </c>
      <c r="B176" s="6">
        <v>45882</v>
      </c>
      <c r="C176">
        <v>2025</v>
      </c>
      <c r="D176" t="s">
        <v>39</v>
      </c>
      <c r="E176">
        <v>8</v>
      </c>
      <c r="F176" t="s">
        <v>58</v>
      </c>
      <c r="G176" t="s">
        <v>29</v>
      </c>
      <c r="H176" t="s">
        <v>23</v>
      </c>
      <c r="I176" t="s">
        <v>85</v>
      </c>
      <c r="J176" t="s">
        <v>31</v>
      </c>
      <c r="K176" t="s">
        <v>55</v>
      </c>
      <c r="L176" t="s">
        <v>56</v>
      </c>
      <c r="M176">
        <v>114</v>
      </c>
      <c r="N176">
        <v>320</v>
      </c>
      <c r="O176">
        <v>35385.599999999999</v>
      </c>
      <c r="P176">
        <v>26790</v>
      </c>
      <c r="Q176">
        <v>8595.6</v>
      </c>
      <c r="R176">
        <v>0.03</v>
      </c>
      <c r="S176" t="s">
        <v>70</v>
      </c>
      <c r="T176">
        <v>1942.29</v>
      </c>
    </row>
    <row r="177" spans="1:20" x14ac:dyDescent="0.25">
      <c r="A177">
        <v>100176</v>
      </c>
      <c r="B177" s="6">
        <v>45261</v>
      </c>
      <c r="C177">
        <v>2023</v>
      </c>
      <c r="D177" t="s">
        <v>43</v>
      </c>
      <c r="E177">
        <v>12</v>
      </c>
      <c r="F177" t="s">
        <v>83</v>
      </c>
      <c r="G177" t="s">
        <v>35</v>
      </c>
      <c r="H177" t="s">
        <v>23</v>
      </c>
      <c r="I177" t="s">
        <v>80</v>
      </c>
      <c r="J177" t="s">
        <v>25</v>
      </c>
      <c r="K177" t="s">
        <v>51</v>
      </c>
      <c r="L177" t="s">
        <v>76</v>
      </c>
      <c r="M177">
        <v>124</v>
      </c>
      <c r="N177">
        <v>40</v>
      </c>
      <c r="O177">
        <v>4860.8</v>
      </c>
      <c r="P177">
        <v>2852</v>
      </c>
      <c r="Q177">
        <v>2008.8</v>
      </c>
      <c r="R177">
        <v>0.02</v>
      </c>
      <c r="S177" t="s">
        <v>70</v>
      </c>
      <c r="T177">
        <v>168.93</v>
      </c>
    </row>
    <row r="178" spans="1:20" x14ac:dyDescent="0.25">
      <c r="A178">
        <v>100177</v>
      </c>
      <c r="B178" s="6">
        <v>44947</v>
      </c>
      <c r="C178">
        <v>2023</v>
      </c>
      <c r="D178" t="s">
        <v>63</v>
      </c>
      <c r="E178">
        <v>1</v>
      </c>
      <c r="F178" t="s">
        <v>79</v>
      </c>
      <c r="G178" t="s">
        <v>22</v>
      </c>
      <c r="H178" t="s">
        <v>23</v>
      </c>
      <c r="I178" t="s">
        <v>71</v>
      </c>
      <c r="J178" t="s">
        <v>50</v>
      </c>
      <c r="K178" t="s">
        <v>32</v>
      </c>
      <c r="L178" t="s">
        <v>47</v>
      </c>
      <c r="M178">
        <v>109</v>
      </c>
      <c r="N178">
        <v>180</v>
      </c>
      <c r="O178">
        <v>18050.400000000001</v>
      </c>
      <c r="P178">
        <v>12535</v>
      </c>
      <c r="Q178">
        <v>5515.4</v>
      </c>
      <c r="R178">
        <v>0.08</v>
      </c>
      <c r="S178" t="s">
        <v>38</v>
      </c>
      <c r="T178">
        <v>449.14</v>
      </c>
    </row>
    <row r="179" spans="1:20" x14ac:dyDescent="0.25">
      <c r="A179">
        <v>100178</v>
      </c>
      <c r="B179" s="6">
        <v>44928</v>
      </c>
      <c r="C179">
        <v>2023</v>
      </c>
      <c r="D179" t="s">
        <v>63</v>
      </c>
      <c r="E179">
        <v>1</v>
      </c>
      <c r="F179" t="s">
        <v>79</v>
      </c>
      <c r="G179" t="s">
        <v>22</v>
      </c>
      <c r="H179" t="s">
        <v>23</v>
      </c>
      <c r="I179" t="s">
        <v>71</v>
      </c>
      <c r="J179" t="s">
        <v>54</v>
      </c>
      <c r="K179" t="s">
        <v>55</v>
      </c>
      <c r="L179" t="s">
        <v>93</v>
      </c>
      <c r="M179">
        <v>50</v>
      </c>
      <c r="N179">
        <v>60</v>
      </c>
      <c r="O179">
        <v>2940</v>
      </c>
      <c r="P179">
        <v>2100</v>
      </c>
      <c r="Q179">
        <v>840</v>
      </c>
      <c r="R179">
        <v>0.02</v>
      </c>
      <c r="S179" t="s">
        <v>70</v>
      </c>
      <c r="T179">
        <v>184.9</v>
      </c>
    </row>
    <row r="180" spans="1:20" x14ac:dyDescent="0.25">
      <c r="A180">
        <v>100179</v>
      </c>
      <c r="B180" s="6">
        <v>45157</v>
      </c>
      <c r="C180">
        <v>2023</v>
      </c>
      <c r="D180" t="s">
        <v>39</v>
      </c>
      <c r="E180">
        <v>8</v>
      </c>
      <c r="F180" t="s">
        <v>58</v>
      </c>
      <c r="G180" t="s">
        <v>45</v>
      </c>
      <c r="H180" t="s">
        <v>23</v>
      </c>
      <c r="I180" t="s">
        <v>62</v>
      </c>
      <c r="J180" t="s">
        <v>25</v>
      </c>
      <c r="K180" t="s">
        <v>59</v>
      </c>
      <c r="L180" t="s">
        <v>86</v>
      </c>
      <c r="M180">
        <v>132</v>
      </c>
      <c r="N180">
        <v>160</v>
      </c>
      <c r="O180">
        <v>20697.599999999999</v>
      </c>
      <c r="P180">
        <v>12540</v>
      </c>
      <c r="Q180">
        <v>8157.6</v>
      </c>
      <c r="R180">
        <v>0.02</v>
      </c>
      <c r="S180" t="s">
        <v>57</v>
      </c>
      <c r="T180">
        <v>764.73</v>
      </c>
    </row>
    <row r="181" spans="1:20" x14ac:dyDescent="0.25">
      <c r="A181">
        <v>100180</v>
      </c>
      <c r="B181" s="6">
        <v>45386</v>
      </c>
      <c r="C181">
        <v>2024</v>
      </c>
      <c r="D181" t="s">
        <v>20</v>
      </c>
      <c r="E181">
        <v>4</v>
      </c>
      <c r="F181" t="s">
        <v>34</v>
      </c>
      <c r="G181" t="s">
        <v>29</v>
      </c>
      <c r="H181" t="s">
        <v>23</v>
      </c>
      <c r="I181" t="s">
        <v>49</v>
      </c>
      <c r="J181" t="s">
        <v>66</v>
      </c>
      <c r="K181" t="s">
        <v>55</v>
      </c>
      <c r="L181" t="s">
        <v>89</v>
      </c>
      <c r="M181">
        <v>40</v>
      </c>
      <c r="N181">
        <v>280</v>
      </c>
      <c r="O181">
        <v>10976</v>
      </c>
      <c r="P181">
        <v>8200</v>
      </c>
      <c r="Q181">
        <v>2776</v>
      </c>
      <c r="R181">
        <v>0.02</v>
      </c>
      <c r="S181" t="s">
        <v>38</v>
      </c>
      <c r="T181">
        <v>209.01</v>
      </c>
    </row>
    <row r="182" spans="1:20" x14ac:dyDescent="0.25">
      <c r="A182">
        <v>100181</v>
      </c>
      <c r="B182" s="6">
        <v>45770</v>
      </c>
      <c r="C182">
        <v>2025</v>
      </c>
      <c r="D182" t="s">
        <v>20</v>
      </c>
      <c r="E182">
        <v>4</v>
      </c>
      <c r="F182" t="s">
        <v>34</v>
      </c>
      <c r="G182" t="s">
        <v>35</v>
      </c>
      <c r="H182" t="s">
        <v>23</v>
      </c>
      <c r="I182" t="s">
        <v>77</v>
      </c>
      <c r="J182" t="s">
        <v>31</v>
      </c>
      <c r="K182" t="s">
        <v>51</v>
      </c>
      <c r="L182" t="s">
        <v>72</v>
      </c>
      <c r="M182">
        <v>17</v>
      </c>
      <c r="N182">
        <v>90</v>
      </c>
      <c r="O182">
        <v>1453.5</v>
      </c>
      <c r="P182">
        <v>884</v>
      </c>
      <c r="Q182">
        <v>569.5</v>
      </c>
      <c r="R182">
        <v>0.05</v>
      </c>
      <c r="S182" t="s">
        <v>38</v>
      </c>
      <c r="T182">
        <v>78.3</v>
      </c>
    </row>
    <row r="183" spans="1:20" x14ac:dyDescent="0.25">
      <c r="A183">
        <v>100182</v>
      </c>
      <c r="B183" s="6">
        <v>45613</v>
      </c>
      <c r="C183">
        <v>2024</v>
      </c>
      <c r="D183" t="s">
        <v>43</v>
      </c>
      <c r="E183">
        <v>11</v>
      </c>
      <c r="F183" t="s">
        <v>87</v>
      </c>
      <c r="G183" t="s">
        <v>45</v>
      </c>
      <c r="H183" t="s">
        <v>23</v>
      </c>
      <c r="I183" t="s">
        <v>62</v>
      </c>
      <c r="J183" t="s">
        <v>54</v>
      </c>
      <c r="K183" t="s">
        <v>59</v>
      </c>
      <c r="L183" t="s">
        <v>60</v>
      </c>
      <c r="M183">
        <v>129</v>
      </c>
      <c r="N183">
        <v>45</v>
      </c>
      <c r="O183">
        <v>5340.6</v>
      </c>
      <c r="P183">
        <v>3483</v>
      </c>
      <c r="Q183">
        <v>1857.6</v>
      </c>
      <c r="R183">
        <v>0.08</v>
      </c>
      <c r="S183" t="s">
        <v>70</v>
      </c>
      <c r="T183">
        <v>252.05</v>
      </c>
    </row>
    <row r="184" spans="1:20" x14ac:dyDescent="0.25">
      <c r="A184">
        <v>100183</v>
      </c>
      <c r="B184" s="6">
        <v>45883</v>
      </c>
      <c r="C184">
        <v>2025</v>
      </c>
      <c r="D184" t="s">
        <v>39</v>
      </c>
      <c r="E184">
        <v>8</v>
      </c>
      <c r="F184" t="s">
        <v>58</v>
      </c>
      <c r="G184" t="s">
        <v>29</v>
      </c>
      <c r="H184" t="s">
        <v>23</v>
      </c>
      <c r="I184" t="s">
        <v>85</v>
      </c>
      <c r="J184" t="s">
        <v>54</v>
      </c>
      <c r="K184" t="s">
        <v>55</v>
      </c>
      <c r="L184" t="s">
        <v>93</v>
      </c>
      <c r="M184">
        <v>46</v>
      </c>
      <c r="N184">
        <v>60</v>
      </c>
      <c r="O184">
        <v>2484</v>
      </c>
      <c r="P184">
        <v>1932</v>
      </c>
      <c r="Q184">
        <v>552</v>
      </c>
      <c r="R184">
        <v>0.1</v>
      </c>
      <c r="S184" t="s">
        <v>38</v>
      </c>
      <c r="T184">
        <v>42.64</v>
      </c>
    </row>
    <row r="185" spans="1:20" x14ac:dyDescent="0.25">
      <c r="A185">
        <v>100184</v>
      </c>
      <c r="B185" s="6">
        <v>45411</v>
      </c>
      <c r="C185">
        <v>2024</v>
      </c>
      <c r="D185" t="s">
        <v>20</v>
      </c>
      <c r="E185">
        <v>4</v>
      </c>
      <c r="F185" t="s">
        <v>34</v>
      </c>
      <c r="G185" t="s">
        <v>45</v>
      </c>
      <c r="H185" t="s">
        <v>23</v>
      </c>
      <c r="I185" t="s">
        <v>90</v>
      </c>
      <c r="J185" t="s">
        <v>31</v>
      </c>
      <c r="K185" t="s">
        <v>51</v>
      </c>
      <c r="L185" t="s">
        <v>92</v>
      </c>
      <c r="M185">
        <v>21</v>
      </c>
      <c r="N185">
        <v>50</v>
      </c>
      <c r="O185">
        <v>1050</v>
      </c>
      <c r="P185">
        <v>609</v>
      </c>
      <c r="Q185">
        <v>441</v>
      </c>
      <c r="R185">
        <v>0</v>
      </c>
      <c r="S185" t="s">
        <v>57</v>
      </c>
      <c r="T185">
        <v>72.73</v>
      </c>
    </row>
    <row r="186" spans="1:20" x14ac:dyDescent="0.25">
      <c r="A186">
        <v>100185</v>
      </c>
      <c r="B186" s="6">
        <v>45052</v>
      </c>
      <c r="C186">
        <v>2023</v>
      </c>
      <c r="D186" t="s">
        <v>20</v>
      </c>
      <c r="E186">
        <v>5</v>
      </c>
      <c r="F186" t="s">
        <v>21</v>
      </c>
      <c r="G186" t="s">
        <v>35</v>
      </c>
      <c r="H186" t="s">
        <v>23</v>
      </c>
      <c r="I186" t="s">
        <v>77</v>
      </c>
      <c r="J186" t="s">
        <v>68</v>
      </c>
      <c r="K186" t="s">
        <v>59</v>
      </c>
      <c r="L186" t="s">
        <v>60</v>
      </c>
      <c r="M186">
        <v>48</v>
      </c>
      <c r="N186">
        <v>45</v>
      </c>
      <c r="O186">
        <v>2095.1999999999998</v>
      </c>
      <c r="P186">
        <v>1296</v>
      </c>
      <c r="Q186">
        <v>799.2</v>
      </c>
      <c r="R186">
        <v>0.03</v>
      </c>
      <c r="S186" t="s">
        <v>38</v>
      </c>
      <c r="T186">
        <v>90.84</v>
      </c>
    </row>
    <row r="187" spans="1:20" x14ac:dyDescent="0.25">
      <c r="A187">
        <v>100186</v>
      </c>
      <c r="B187" s="6">
        <v>45077</v>
      </c>
      <c r="C187">
        <v>2023</v>
      </c>
      <c r="D187" t="s">
        <v>20</v>
      </c>
      <c r="E187">
        <v>5</v>
      </c>
      <c r="F187" t="s">
        <v>21</v>
      </c>
      <c r="G187" t="s">
        <v>29</v>
      </c>
      <c r="H187" t="s">
        <v>23</v>
      </c>
      <c r="I187" t="s">
        <v>85</v>
      </c>
      <c r="J187" t="s">
        <v>42</v>
      </c>
      <c r="K187" t="s">
        <v>51</v>
      </c>
      <c r="L187" t="s">
        <v>72</v>
      </c>
      <c r="M187">
        <v>133</v>
      </c>
      <c r="N187">
        <v>90</v>
      </c>
      <c r="O187">
        <v>11371.5</v>
      </c>
      <c r="P187">
        <v>6916</v>
      </c>
      <c r="Q187">
        <v>4455.5</v>
      </c>
      <c r="R187">
        <v>0.05</v>
      </c>
      <c r="S187" t="s">
        <v>57</v>
      </c>
      <c r="T187">
        <v>777.19</v>
      </c>
    </row>
    <row r="188" spans="1:20" x14ac:dyDescent="0.25">
      <c r="A188">
        <v>100187</v>
      </c>
      <c r="B188" s="6">
        <v>45595</v>
      </c>
      <c r="C188">
        <v>2024</v>
      </c>
      <c r="D188" t="s">
        <v>43</v>
      </c>
      <c r="E188">
        <v>10</v>
      </c>
      <c r="F188" t="s">
        <v>44</v>
      </c>
      <c r="G188" t="s">
        <v>29</v>
      </c>
      <c r="H188" t="s">
        <v>23</v>
      </c>
      <c r="I188" t="s">
        <v>85</v>
      </c>
      <c r="J188" t="s">
        <v>25</v>
      </c>
      <c r="K188" t="s">
        <v>55</v>
      </c>
      <c r="L188" t="s">
        <v>84</v>
      </c>
      <c r="M188">
        <v>43</v>
      </c>
      <c r="N188">
        <v>55</v>
      </c>
      <c r="O188">
        <v>2246.75</v>
      </c>
      <c r="P188">
        <v>1591</v>
      </c>
      <c r="Q188">
        <v>655.75</v>
      </c>
      <c r="R188">
        <v>0.05</v>
      </c>
      <c r="S188" t="s">
        <v>57</v>
      </c>
      <c r="T188">
        <v>154.63</v>
      </c>
    </row>
    <row r="189" spans="1:20" x14ac:dyDescent="0.25">
      <c r="A189">
        <v>100188</v>
      </c>
      <c r="B189" s="6">
        <v>45040</v>
      </c>
      <c r="C189">
        <v>2023</v>
      </c>
      <c r="D189" t="s">
        <v>20</v>
      </c>
      <c r="E189">
        <v>4</v>
      </c>
      <c r="F189" t="s">
        <v>34</v>
      </c>
      <c r="G189" t="s">
        <v>35</v>
      </c>
      <c r="H189" t="s">
        <v>23</v>
      </c>
      <c r="I189" t="s">
        <v>77</v>
      </c>
      <c r="J189" t="s">
        <v>66</v>
      </c>
      <c r="K189" t="s">
        <v>26</v>
      </c>
      <c r="L189" t="s">
        <v>69</v>
      </c>
      <c r="M189">
        <v>122</v>
      </c>
      <c r="N189">
        <v>130</v>
      </c>
      <c r="O189">
        <v>15860</v>
      </c>
      <c r="P189">
        <v>9272</v>
      </c>
      <c r="Q189">
        <v>6588</v>
      </c>
      <c r="R189">
        <v>0</v>
      </c>
      <c r="S189" t="s">
        <v>28</v>
      </c>
      <c r="T189">
        <v>1049.97</v>
      </c>
    </row>
    <row r="190" spans="1:20" x14ac:dyDescent="0.25">
      <c r="A190">
        <v>100189</v>
      </c>
      <c r="B190" s="6">
        <v>45951</v>
      </c>
      <c r="C190">
        <v>2025</v>
      </c>
      <c r="D190" t="s">
        <v>43</v>
      </c>
      <c r="E190">
        <v>10</v>
      </c>
      <c r="F190" t="s">
        <v>44</v>
      </c>
      <c r="G190" t="s">
        <v>22</v>
      </c>
      <c r="H190" t="s">
        <v>23</v>
      </c>
      <c r="I190" t="s">
        <v>24</v>
      </c>
      <c r="J190" t="s">
        <v>50</v>
      </c>
      <c r="K190" t="s">
        <v>59</v>
      </c>
      <c r="L190" t="s">
        <v>60</v>
      </c>
      <c r="M190">
        <v>57</v>
      </c>
      <c r="N190">
        <v>45</v>
      </c>
      <c r="O190">
        <v>2436.75</v>
      </c>
      <c r="P190">
        <v>1539</v>
      </c>
      <c r="Q190">
        <v>897.75</v>
      </c>
      <c r="R190">
        <v>0.05</v>
      </c>
      <c r="S190" t="s">
        <v>38</v>
      </c>
      <c r="T190">
        <v>50.84</v>
      </c>
    </row>
    <row r="191" spans="1:20" x14ac:dyDescent="0.25">
      <c r="A191">
        <v>100190</v>
      </c>
      <c r="B191" s="6">
        <v>45630</v>
      </c>
      <c r="C191">
        <v>2024</v>
      </c>
      <c r="D191" t="s">
        <v>43</v>
      </c>
      <c r="E191">
        <v>12</v>
      </c>
      <c r="F191" t="s">
        <v>83</v>
      </c>
      <c r="G191" t="s">
        <v>35</v>
      </c>
      <c r="H191" t="s">
        <v>23</v>
      </c>
      <c r="I191" t="s">
        <v>53</v>
      </c>
      <c r="J191" t="s">
        <v>61</v>
      </c>
      <c r="K191" t="s">
        <v>55</v>
      </c>
      <c r="L191" t="s">
        <v>93</v>
      </c>
      <c r="M191">
        <v>98</v>
      </c>
      <c r="N191">
        <v>60</v>
      </c>
      <c r="O191">
        <v>5409.6</v>
      </c>
      <c r="P191">
        <v>4116</v>
      </c>
      <c r="Q191">
        <v>1293.5999999999999</v>
      </c>
      <c r="R191">
        <v>0.08</v>
      </c>
      <c r="S191" t="s">
        <v>38</v>
      </c>
      <c r="T191">
        <v>313.93</v>
      </c>
    </row>
    <row r="192" spans="1:20" x14ac:dyDescent="0.25">
      <c r="A192">
        <v>100191</v>
      </c>
      <c r="B192" s="6">
        <v>45897</v>
      </c>
      <c r="C192">
        <v>2025</v>
      </c>
      <c r="D192" t="s">
        <v>39</v>
      </c>
      <c r="E192">
        <v>8</v>
      </c>
      <c r="F192" t="s">
        <v>58</v>
      </c>
      <c r="G192" t="s">
        <v>29</v>
      </c>
      <c r="H192" t="s">
        <v>23</v>
      </c>
      <c r="I192" t="s">
        <v>85</v>
      </c>
      <c r="J192" t="s">
        <v>68</v>
      </c>
      <c r="K192" t="s">
        <v>51</v>
      </c>
      <c r="L192" t="s">
        <v>76</v>
      </c>
      <c r="M192">
        <v>141</v>
      </c>
      <c r="N192">
        <v>40</v>
      </c>
      <c r="O192">
        <v>5358</v>
      </c>
      <c r="P192">
        <v>3243</v>
      </c>
      <c r="Q192">
        <v>2115</v>
      </c>
      <c r="R192">
        <v>0.05</v>
      </c>
      <c r="S192" t="s">
        <v>28</v>
      </c>
      <c r="T192">
        <v>318.43</v>
      </c>
    </row>
    <row r="193" spans="1:20" x14ac:dyDescent="0.25">
      <c r="A193">
        <v>100192</v>
      </c>
      <c r="B193" s="6">
        <v>45777</v>
      </c>
      <c r="C193">
        <v>2025</v>
      </c>
      <c r="D193" t="s">
        <v>20</v>
      </c>
      <c r="E193">
        <v>4</v>
      </c>
      <c r="F193" t="s">
        <v>34</v>
      </c>
      <c r="G193" t="s">
        <v>45</v>
      </c>
      <c r="H193" t="s">
        <v>23</v>
      </c>
      <c r="I193" t="s">
        <v>90</v>
      </c>
      <c r="J193" t="s">
        <v>42</v>
      </c>
      <c r="K193" t="s">
        <v>51</v>
      </c>
      <c r="L193" t="s">
        <v>76</v>
      </c>
      <c r="M193">
        <v>63</v>
      </c>
      <c r="N193">
        <v>40</v>
      </c>
      <c r="O193">
        <v>2394</v>
      </c>
      <c r="P193">
        <v>1449</v>
      </c>
      <c r="Q193">
        <v>945</v>
      </c>
      <c r="R193">
        <v>0.05</v>
      </c>
      <c r="S193" t="s">
        <v>38</v>
      </c>
      <c r="T193">
        <v>79.150000000000006</v>
      </c>
    </row>
    <row r="194" spans="1:20" x14ac:dyDescent="0.25">
      <c r="A194">
        <v>100193</v>
      </c>
      <c r="B194" s="6">
        <v>45637</v>
      </c>
      <c r="C194">
        <v>2024</v>
      </c>
      <c r="D194" t="s">
        <v>43</v>
      </c>
      <c r="E194">
        <v>12</v>
      </c>
      <c r="F194" t="s">
        <v>83</v>
      </c>
      <c r="G194" t="s">
        <v>22</v>
      </c>
      <c r="H194" t="s">
        <v>23</v>
      </c>
      <c r="I194" t="s">
        <v>71</v>
      </c>
      <c r="J194" t="s">
        <v>66</v>
      </c>
      <c r="K194" t="s">
        <v>51</v>
      </c>
      <c r="L194" t="s">
        <v>92</v>
      </c>
      <c r="M194">
        <v>58</v>
      </c>
      <c r="N194">
        <v>50</v>
      </c>
      <c r="O194">
        <v>2813</v>
      </c>
      <c r="P194">
        <v>1682</v>
      </c>
      <c r="Q194">
        <v>1131</v>
      </c>
      <c r="R194">
        <v>0.03</v>
      </c>
      <c r="S194" t="s">
        <v>38</v>
      </c>
      <c r="T194">
        <v>110.95</v>
      </c>
    </row>
    <row r="195" spans="1:20" x14ac:dyDescent="0.25">
      <c r="A195">
        <v>100194</v>
      </c>
      <c r="B195" s="6">
        <v>45793</v>
      </c>
      <c r="C195">
        <v>2025</v>
      </c>
      <c r="D195" t="s">
        <v>20</v>
      </c>
      <c r="E195">
        <v>5</v>
      </c>
      <c r="F195" t="s">
        <v>21</v>
      </c>
      <c r="G195" t="s">
        <v>29</v>
      </c>
      <c r="H195" t="s">
        <v>23</v>
      </c>
      <c r="I195" t="s">
        <v>85</v>
      </c>
      <c r="J195" t="s">
        <v>31</v>
      </c>
      <c r="K195" t="s">
        <v>59</v>
      </c>
      <c r="L195" t="s">
        <v>86</v>
      </c>
      <c r="M195">
        <v>18</v>
      </c>
      <c r="N195">
        <v>160</v>
      </c>
      <c r="O195">
        <v>2793.6</v>
      </c>
      <c r="P195">
        <v>1710</v>
      </c>
      <c r="Q195">
        <v>1083.5999999999999</v>
      </c>
      <c r="R195">
        <v>0.03</v>
      </c>
      <c r="S195" t="s">
        <v>57</v>
      </c>
      <c r="T195">
        <v>174.55</v>
      </c>
    </row>
    <row r="196" spans="1:20" x14ac:dyDescent="0.25">
      <c r="A196">
        <v>100195</v>
      </c>
      <c r="B196" s="6">
        <v>45555</v>
      </c>
      <c r="C196">
        <v>2024</v>
      </c>
      <c r="D196" t="s">
        <v>39</v>
      </c>
      <c r="E196">
        <v>9</v>
      </c>
      <c r="F196" t="s">
        <v>40</v>
      </c>
      <c r="G196" t="s">
        <v>45</v>
      </c>
      <c r="H196" t="s">
        <v>23</v>
      </c>
      <c r="I196" t="s">
        <v>88</v>
      </c>
      <c r="J196" t="s">
        <v>54</v>
      </c>
      <c r="K196" t="s">
        <v>32</v>
      </c>
      <c r="L196" t="s">
        <v>37</v>
      </c>
      <c r="M196">
        <v>57</v>
      </c>
      <c r="N196">
        <v>120</v>
      </c>
      <c r="O196">
        <v>6498</v>
      </c>
      <c r="P196">
        <v>4446</v>
      </c>
      <c r="Q196">
        <v>2052</v>
      </c>
      <c r="R196">
        <v>0.05</v>
      </c>
      <c r="S196" t="s">
        <v>38</v>
      </c>
      <c r="T196">
        <v>288.17</v>
      </c>
    </row>
    <row r="197" spans="1:20" x14ac:dyDescent="0.25">
      <c r="A197">
        <v>100196</v>
      </c>
      <c r="B197" s="6">
        <v>45269</v>
      </c>
      <c r="C197">
        <v>2023</v>
      </c>
      <c r="D197" t="s">
        <v>43</v>
      </c>
      <c r="E197">
        <v>12</v>
      </c>
      <c r="F197" t="s">
        <v>83</v>
      </c>
      <c r="G197" t="s">
        <v>35</v>
      </c>
      <c r="H197" t="s">
        <v>23</v>
      </c>
      <c r="I197" t="s">
        <v>36</v>
      </c>
      <c r="J197" t="s">
        <v>54</v>
      </c>
      <c r="K197" t="s">
        <v>26</v>
      </c>
      <c r="L197" t="s">
        <v>69</v>
      </c>
      <c r="M197">
        <v>30</v>
      </c>
      <c r="N197">
        <v>130</v>
      </c>
      <c r="O197">
        <v>3822</v>
      </c>
      <c r="P197">
        <v>2280</v>
      </c>
      <c r="Q197">
        <v>1542</v>
      </c>
      <c r="R197">
        <v>0.02</v>
      </c>
      <c r="S197" t="s">
        <v>38</v>
      </c>
      <c r="T197">
        <v>58.92</v>
      </c>
    </row>
    <row r="198" spans="1:20" x14ac:dyDescent="0.25">
      <c r="A198">
        <v>100197</v>
      </c>
      <c r="B198" s="6">
        <v>45325</v>
      </c>
      <c r="C198">
        <v>2024</v>
      </c>
      <c r="D198" t="s">
        <v>63</v>
      </c>
      <c r="E198">
        <v>2</v>
      </c>
      <c r="F198" t="s">
        <v>81</v>
      </c>
      <c r="G198" t="s">
        <v>45</v>
      </c>
      <c r="H198" t="s">
        <v>23</v>
      </c>
      <c r="I198" t="s">
        <v>62</v>
      </c>
      <c r="J198" t="s">
        <v>68</v>
      </c>
      <c r="K198" t="s">
        <v>55</v>
      </c>
      <c r="L198" t="s">
        <v>89</v>
      </c>
      <c r="M198">
        <v>77</v>
      </c>
      <c r="N198">
        <v>280</v>
      </c>
      <c r="O198">
        <v>19404</v>
      </c>
      <c r="P198">
        <v>15785</v>
      </c>
      <c r="Q198">
        <v>3619</v>
      </c>
      <c r="R198">
        <v>0.1</v>
      </c>
      <c r="S198" t="s">
        <v>38</v>
      </c>
      <c r="T198">
        <v>666.32</v>
      </c>
    </row>
    <row r="199" spans="1:20" x14ac:dyDescent="0.25">
      <c r="A199">
        <v>100198</v>
      </c>
      <c r="B199" s="6">
        <v>45890</v>
      </c>
      <c r="C199">
        <v>2025</v>
      </c>
      <c r="D199" t="s">
        <v>39</v>
      </c>
      <c r="E199">
        <v>8</v>
      </c>
      <c r="F199" t="s">
        <v>58</v>
      </c>
      <c r="G199" t="s">
        <v>29</v>
      </c>
      <c r="H199" t="s">
        <v>23</v>
      </c>
      <c r="I199" t="s">
        <v>73</v>
      </c>
      <c r="J199" t="s">
        <v>66</v>
      </c>
      <c r="K199" t="s">
        <v>51</v>
      </c>
      <c r="L199" t="s">
        <v>52</v>
      </c>
      <c r="M199">
        <v>44</v>
      </c>
      <c r="N199">
        <v>75</v>
      </c>
      <c r="O199">
        <v>3135</v>
      </c>
      <c r="P199">
        <v>1936</v>
      </c>
      <c r="Q199">
        <v>1199</v>
      </c>
      <c r="R199">
        <v>0.05</v>
      </c>
      <c r="S199" t="s">
        <v>57</v>
      </c>
      <c r="T199">
        <v>62.48</v>
      </c>
    </row>
    <row r="200" spans="1:20" x14ac:dyDescent="0.25">
      <c r="A200">
        <v>100199</v>
      </c>
      <c r="B200" s="6">
        <v>45515</v>
      </c>
      <c r="C200">
        <v>2024</v>
      </c>
      <c r="D200" t="s">
        <v>39</v>
      </c>
      <c r="E200">
        <v>8</v>
      </c>
      <c r="F200" t="s">
        <v>58</v>
      </c>
      <c r="G200" t="s">
        <v>29</v>
      </c>
      <c r="H200" t="s">
        <v>23</v>
      </c>
      <c r="I200" t="s">
        <v>85</v>
      </c>
      <c r="J200" t="s">
        <v>61</v>
      </c>
      <c r="K200" t="s">
        <v>32</v>
      </c>
      <c r="L200" t="s">
        <v>74</v>
      </c>
      <c r="M200">
        <v>16</v>
      </c>
      <c r="N200">
        <v>25</v>
      </c>
      <c r="O200">
        <v>380</v>
      </c>
      <c r="P200">
        <v>224</v>
      </c>
      <c r="Q200">
        <v>156</v>
      </c>
      <c r="R200">
        <v>0.05</v>
      </c>
      <c r="S200" t="s">
        <v>38</v>
      </c>
      <c r="T200">
        <v>9.49</v>
      </c>
    </row>
    <row r="201" spans="1:20" x14ac:dyDescent="0.25">
      <c r="A201">
        <v>100200</v>
      </c>
      <c r="B201" s="6">
        <v>45885</v>
      </c>
      <c r="C201">
        <v>2025</v>
      </c>
      <c r="D201" t="s">
        <v>39</v>
      </c>
      <c r="E201">
        <v>8</v>
      </c>
      <c r="F201" t="s">
        <v>58</v>
      </c>
      <c r="G201" t="s">
        <v>29</v>
      </c>
      <c r="H201" t="s">
        <v>23</v>
      </c>
      <c r="I201" t="s">
        <v>73</v>
      </c>
      <c r="J201" t="s">
        <v>66</v>
      </c>
      <c r="K201" t="s">
        <v>59</v>
      </c>
      <c r="L201" t="s">
        <v>86</v>
      </c>
      <c r="M201">
        <v>45</v>
      </c>
      <c r="N201">
        <v>160</v>
      </c>
      <c r="O201">
        <v>6984</v>
      </c>
      <c r="P201">
        <v>4275</v>
      </c>
      <c r="Q201">
        <v>2709</v>
      </c>
      <c r="R201">
        <v>0.03</v>
      </c>
      <c r="S201" t="s">
        <v>70</v>
      </c>
      <c r="T201">
        <v>138.19</v>
      </c>
    </row>
    <row r="202" spans="1:20" x14ac:dyDescent="0.25">
      <c r="A202">
        <v>100201</v>
      </c>
      <c r="B202" s="6">
        <v>45485</v>
      </c>
      <c r="C202">
        <v>2024</v>
      </c>
      <c r="D202" t="s">
        <v>39</v>
      </c>
      <c r="E202">
        <v>7</v>
      </c>
      <c r="F202" t="s">
        <v>75</v>
      </c>
      <c r="G202" t="s">
        <v>22</v>
      </c>
      <c r="H202" t="s">
        <v>23</v>
      </c>
      <c r="I202" t="s">
        <v>71</v>
      </c>
      <c r="J202" t="s">
        <v>42</v>
      </c>
      <c r="K202" t="s">
        <v>59</v>
      </c>
      <c r="L202" t="s">
        <v>86</v>
      </c>
      <c r="M202">
        <v>30</v>
      </c>
      <c r="N202">
        <v>160</v>
      </c>
      <c r="O202">
        <v>4416</v>
      </c>
      <c r="P202">
        <v>2850</v>
      </c>
      <c r="Q202">
        <v>1566</v>
      </c>
      <c r="R202">
        <v>0.08</v>
      </c>
      <c r="S202" t="s">
        <v>70</v>
      </c>
      <c r="T202">
        <v>121.64</v>
      </c>
    </row>
    <row r="203" spans="1:20" x14ac:dyDescent="0.25">
      <c r="A203">
        <v>100202</v>
      </c>
      <c r="B203" s="6">
        <v>45910</v>
      </c>
      <c r="C203">
        <v>2025</v>
      </c>
      <c r="D203" t="s">
        <v>39</v>
      </c>
      <c r="E203">
        <v>9</v>
      </c>
      <c r="F203" t="s">
        <v>40</v>
      </c>
      <c r="G203" t="s">
        <v>35</v>
      </c>
      <c r="H203" t="s">
        <v>23</v>
      </c>
      <c r="I203" t="s">
        <v>77</v>
      </c>
      <c r="J203" t="s">
        <v>68</v>
      </c>
      <c r="K203" t="s">
        <v>26</v>
      </c>
      <c r="L203" t="s">
        <v>82</v>
      </c>
      <c r="M203">
        <v>58</v>
      </c>
      <c r="N203">
        <v>105</v>
      </c>
      <c r="O203">
        <v>5968.2</v>
      </c>
      <c r="P203">
        <v>3538</v>
      </c>
      <c r="Q203">
        <v>2430.1999999999998</v>
      </c>
      <c r="R203">
        <v>0.02</v>
      </c>
      <c r="S203" t="s">
        <v>57</v>
      </c>
      <c r="T203">
        <v>345.73</v>
      </c>
    </row>
    <row r="204" spans="1:20" x14ac:dyDescent="0.25">
      <c r="A204">
        <v>100203</v>
      </c>
      <c r="B204" s="6">
        <v>46010</v>
      </c>
      <c r="C204">
        <v>2025</v>
      </c>
      <c r="D204" t="s">
        <v>43</v>
      </c>
      <c r="E204">
        <v>12</v>
      </c>
      <c r="F204" t="s">
        <v>83</v>
      </c>
      <c r="G204" t="s">
        <v>22</v>
      </c>
      <c r="H204" t="s">
        <v>23</v>
      </c>
      <c r="I204" t="s">
        <v>41</v>
      </c>
      <c r="J204" t="s">
        <v>68</v>
      </c>
      <c r="K204" t="s">
        <v>26</v>
      </c>
      <c r="L204" t="s">
        <v>69</v>
      </c>
      <c r="M204">
        <v>78</v>
      </c>
      <c r="N204">
        <v>130</v>
      </c>
      <c r="O204">
        <v>10140</v>
      </c>
      <c r="P204">
        <v>5928</v>
      </c>
      <c r="Q204">
        <v>4212</v>
      </c>
      <c r="R204">
        <v>0</v>
      </c>
      <c r="S204" t="s">
        <v>70</v>
      </c>
      <c r="T204">
        <v>563.04999999999995</v>
      </c>
    </row>
    <row r="205" spans="1:20" x14ac:dyDescent="0.25">
      <c r="A205">
        <v>100204</v>
      </c>
      <c r="B205" s="6">
        <v>45587</v>
      </c>
      <c r="C205">
        <v>2024</v>
      </c>
      <c r="D205" t="s">
        <v>43</v>
      </c>
      <c r="E205">
        <v>10</v>
      </c>
      <c r="F205" t="s">
        <v>44</v>
      </c>
      <c r="G205" t="s">
        <v>45</v>
      </c>
      <c r="H205" t="s">
        <v>23</v>
      </c>
      <c r="I205" t="s">
        <v>88</v>
      </c>
      <c r="J205" t="s">
        <v>61</v>
      </c>
      <c r="K205" t="s">
        <v>32</v>
      </c>
      <c r="L205" t="s">
        <v>74</v>
      </c>
      <c r="M205">
        <v>20</v>
      </c>
      <c r="N205">
        <v>25</v>
      </c>
      <c r="O205">
        <v>490</v>
      </c>
      <c r="P205">
        <v>280</v>
      </c>
      <c r="Q205">
        <v>210</v>
      </c>
      <c r="R205">
        <v>0.02</v>
      </c>
      <c r="S205" t="s">
        <v>38</v>
      </c>
      <c r="T205">
        <v>17.88</v>
      </c>
    </row>
    <row r="206" spans="1:20" x14ac:dyDescent="0.25">
      <c r="A206">
        <v>100205</v>
      </c>
      <c r="B206" s="6">
        <v>45847</v>
      </c>
      <c r="C206">
        <v>2025</v>
      </c>
      <c r="D206" t="s">
        <v>39</v>
      </c>
      <c r="E206">
        <v>7</v>
      </c>
      <c r="F206" t="s">
        <v>75</v>
      </c>
      <c r="G206" t="s">
        <v>35</v>
      </c>
      <c r="H206" t="s">
        <v>23</v>
      </c>
      <c r="I206" t="s">
        <v>80</v>
      </c>
      <c r="J206" t="s">
        <v>42</v>
      </c>
      <c r="K206" t="s">
        <v>32</v>
      </c>
      <c r="L206" t="s">
        <v>37</v>
      </c>
      <c r="M206">
        <v>76</v>
      </c>
      <c r="N206">
        <v>120</v>
      </c>
      <c r="O206">
        <v>8846.4</v>
      </c>
      <c r="P206">
        <v>5928</v>
      </c>
      <c r="Q206">
        <v>2918.4</v>
      </c>
      <c r="R206">
        <v>0.03</v>
      </c>
      <c r="S206" t="s">
        <v>57</v>
      </c>
      <c r="T206">
        <v>349.6</v>
      </c>
    </row>
    <row r="207" spans="1:20" x14ac:dyDescent="0.25">
      <c r="A207">
        <v>100206</v>
      </c>
      <c r="B207" s="6">
        <v>45925</v>
      </c>
      <c r="C207">
        <v>2025</v>
      </c>
      <c r="D207" t="s">
        <v>39</v>
      </c>
      <c r="E207">
        <v>9</v>
      </c>
      <c r="F207" t="s">
        <v>40</v>
      </c>
      <c r="G207" t="s">
        <v>29</v>
      </c>
      <c r="H207" t="s">
        <v>23</v>
      </c>
      <c r="I207" t="s">
        <v>49</v>
      </c>
      <c r="J207" t="s">
        <v>66</v>
      </c>
      <c r="K207" t="s">
        <v>26</v>
      </c>
      <c r="L207" t="s">
        <v>82</v>
      </c>
      <c r="M207">
        <v>111</v>
      </c>
      <c r="N207">
        <v>105</v>
      </c>
      <c r="O207">
        <v>11072.25</v>
      </c>
      <c r="P207">
        <v>6771</v>
      </c>
      <c r="Q207">
        <v>4301.25</v>
      </c>
      <c r="R207">
        <v>0.05</v>
      </c>
      <c r="S207" t="s">
        <v>38</v>
      </c>
      <c r="T207">
        <v>333.04</v>
      </c>
    </row>
    <row r="208" spans="1:20" x14ac:dyDescent="0.25">
      <c r="A208">
        <v>100207</v>
      </c>
      <c r="B208" s="6">
        <v>45279</v>
      </c>
      <c r="C208">
        <v>2023</v>
      </c>
      <c r="D208" t="s">
        <v>43</v>
      </c>
      <c r="E208">
        <v>12</v>
      </c>
      <c r="F208" t="s">
        <v>83</v>
      </c>
      <c r="G208" t="s">
        <v>29</v>
      </c>
      <c r="H208" t="s">
        <v>23</v>
      </c>
      <c r="I208" t="s">
        <v>30</v>
      </c>
      <c r="J208" t="s">
        <v>61</v>
      </c>
      <c r="K208" t="s">
        <v>51</v>
      </c>
      <c r="L208" t="s">
        <v>92</v>
      </c>
      <c r="M208">
        <v>132</v>
      </c>
      <c r="N208">
        <v>50</v>
      </c>
      <c r="O208">
        <v>6468</v>
      </c>
      <c r="P208">
        <v>3828</v>
      </c>
      <c r="Q208">
        <v>2640</v>
      </c>
      <c r="R208">
        <v>0.02</v>
      </c>
      <c r="S208" t="s">
        <v>70</v>
      </c>
      <c r="T208">
        <v>316.57</v>
      </c>
    </row>
    <row r="209" spans="1:20" x14ac:dyDescent="0.25">
      <c r="A209">
        <v>100208</v>
      </c>
      <c r="B209" s="6">
        <v>45882</v>
      </c>
      <c r="C209">
        <v>2025</v>
      </c>
      <c r="D209" t="s">
        <v>39</v>
      </c>
      <c r="E209">
        <v>8</v>
      </c>
      <c r="F209" t="s">
        <v>58</v>
      </c>
      <c r="G209" t="s">
        <v>45</v>
      </c>
      <c r="H209" t="s">
        <v>23</v>
      </c>
      <c r="I209" t="s">
        <v>62</v>
      </c>
      <c r="J209" t="s">
        <v>66</v>
      </c>
      <c r="K209" t="s">
        <v>51</v>
      </c>
      <c r="L209" t="s">
        <v>92</v>
      </c>
      <c r="M209">
        <v>17</v>
      </c>
      <c r="N209">
        <v>50</v>
      </c>
      <c r="O209">
        <v>782</v>
      </c>
      <c r="P209">
        <v>493</v>
      </c>
      <c r="Q209">
        <v>289</v>
      </c>
      <c r="R209">
        <v>0.08</v>
      </c>
      <c r="S209" t="s">
        <v>38</v>
      </c>
      <c r="T209">
        <v>39.72</v>
      </c>
    </row>
    <row r="210" spans="1:20" x14ac:dyDescent="0.25">
      <c r="A210">
        <v>100209</v>
      </c>
      <c r="B210" s="6">
        <v>44984</v>
      </c>
      <c r="C210">
        <v>2023</v>
      </c>
      <c r="D210" t="s">
        <v>63</v>
      </c>
      <c r="E210">
        <v>2</v>
      </c>
      <c r="F210" t="s">
        <v>81</v>
      </c>
      <c r="G210" t="s">
        <v>22</v>
      </c>
      <c r="H210" t="s">
        <v>23</v>
      </c>
      <c r="I210" t="s">
        <v>41</v>
      </c>
      <c r="J210" t="s">
        <v>54</v>
      </c>
      <c r="K210" t="s">
        <v>26</v>
      </c>
      <c r="L210" t="s">
        <v>69</v>
      </c>
      <c r="M210">
        <v>11</v>
      </c>
      <c r="N210">
        <v>130</v>
      </c>
      <c r="O210">
        <v>1387.1</v>
      </c>
      <c r="P210">
        <v>836</v>
      </c>
      <c r="Q210">
        <v>551.1</v>
      </c>
      <c r="R210">
        <v>0.03</v>
      </c>
      <c r="S210" t="s">
        <v>70</v>
      </c>
      <c r="T210">
        <v>96.75</v>
      </c>
    </row>
    <row r="211" spans="1:20" x14ac:dyDescent="0.25">
      <c r="A211">
        <v>100210</v>
      </c>
      <c r="B211" s="6">
        <v>45588</v>
      </c>
      <c r="C211">
        <v>2024</v>
      </c>
      <c r="D211" t="s">
        <v>43</v>
      </c>
      <c r="E211">
        <v>10</v>
      </c>
      <c r="F211" t="s">
        <v>44</v>
      </c>
      <c r="G211" t="s">
        <v>29</v>
      </c>
      <c r="H211" t="s">
        <v>23</v>
      </c>
      <c r="I211" t="s">
        <v>85</v>
      </c>
      <c r="J211" t="s">
        <v>68</v>
      </c>
      <c r="K211" t="s">
        <v>55</v>
      </c>
      <c r="L211" t="s">
        <v>93</v>
      </c>
      <c r="M211">
        <v>40</v>
      </c>
      <c r="N211">
        <v>60</v>
      </c>
      <c r="O211">
        <v>2280</v>
      </c>
      <c r="P211">
        <v>1680</v>
      </c>
      <c r="Q211">
        <v>600</v>
      </c>
      <c r="R211">
        <v>0.05</v>
      </c>
      <c r="S211" t="s">
        <v>38</v>
      </c>
      <c r="T211">
        <v>55.58</v>
      </c>
    </row>
    <row r="212" spans="1:20" x14ac:dyDescent="0.25">
      <c r="A212">
        <v>100211</v>
      </c>
      <c r="B212" s="6">
        <v>45559</v>
      </c>
      <c r="C212">
        <v>2024</v>
      </c>
      <c r="D212" t="s">
        <v>39</v>
      </c>
      <c r="E212">
        <v>9</v>
      </c>
      <c r="F212" t="s">
        <v>40</v>
      </c>
      <c r="G212" t="s">
        <v>22</v>
      </c>
      <c r="H212" t="s">
        <v>23</v>
      </c>
      <c r="I212" t="s">
        <v>65</v>
      </c>
      <c r="J212" t="s">
        <v>66</v>
      </c>
      <c r="K212" t="s">
        <v>32</v>
      </c>
      <c r="L212" t="s">
        <v>47</v>
      </c>
      <c r="M212">
        <v>149</v>
      </c>
      <c r="N212">
        <v>180</v>
      </c>
      <c r="O212">
        <v>24138</v>
      </c>
      <c r="P212">
        <v>17135</v>
      </c>
      <c r="Q212">
        <v>7003</v>
      </c>
      <c r="R212">
        <v>0.1</v>
      </c>
      <c r="S212" t="s">
        <v>38</v>
      </c>
      <c r="T212">
        <v>992.52</v>
      </c>
    </row>
    <row r="213" spans="1:20" x14ac:dyDescent="0.25">
      <c r="A213">
        <v>100212</v>
      </c>
      <c r="B213" s="6">
        <v>45274</v>
      </c>
      <c r="C213">
        <v>2023</v>
      </c>
      <c r="D213" t="s">
        <v>43</v>
      </c>
      <c r="E213">
        <v>12</v>
      </c>
      <c r="F213" t="s">
        <v>83</v>
      </c>
      <c r="G213" t="s">
        <v>22</v>
      </c>
      <c r="H213" t="s">
        <v>23</v>
      </c>
      <c r="I213" t="s">
        <v>65</v>
      </c>
      <c r="J213" t="s">
        <v>66</v>
      </c>
      <c r="K213" t="s">
        <v>32</v>
      </c>
      <c r="L213" t="s">
        <v>47</v>
      </c>
      <c r="M213">
        <v>113</v>
      </c>
      <c r="N213">
        <v>180</v>
      </c>
      <c r="O213">
        <v>19323</v>
      </c>
      <c r="P213">
        <v>12995</v>
      </c>
      <c r="Q213">
        <v>6328</v>
      </c>
      <c r="R213">
        <v>0.05</v>
      </c>
      <c r="S213" t="s">
        <v>70</v>
      </c>
      <c r="T213">
        <v>548.79</v>
      </c>
    </row>
    <row r="214" spans="1:20" x14ac:dyDescent="0.25">
      <c r="A214">
        <v>100213</v>
      </c>
      <c r="B214" s="6">
        <v>45332</v>
      </c>
      <c r="C214">
        <v>2024</v>
      </c>
      <c r="D214" t="s">
        <v>63</v>
      </c>
      <c r="E214">
        <v>2</v>
      </c>
      <c r="F214" t="s">
        <v>81</v>
      </c>
      <c r="G214" t="s">
        <v>35</v>
      </c>
      <c r="H214" t="s">
        <v>23</v>
      </c>
      <c r="I214" t="s">
        <v>80</v>
      </c>
      <c r="J214" t="s">
        <v>61</v>
      </c>
      <c r="K214" t="s">
        <v>26</v>
      </c>
      <c r="L214" t="s">
        <v>27</v>
      </c>
      <c r="M214">
        <v>25</v>
      </c>
      <c r="N214">
        <v>110</v>
      </c>
      <c r="O214">
        <v>2667.5</v>
      </c>
      <c r="P214">
        <v>1700</v>
      </c>
      <c r="Q214">
        <v>967.5</v>
      </c>
      <c r="R214">
        <v>0.03</v>
      </c>
      <c r="S214" t="s">
        <v>38</v>
      </c>
      <c r="T214">
        <v>63.38</v>
      </c>
    </row>
    <row r="215" spans="1:20" x14ac:dyDescent="0.25">
      <c r="A215">
        <v>100214</v>
      </c>
      <c r="B215" s="6">
        <v>45407</v>
      </c>
      <c r="C215">
        <v>2024</v>
      </c>
      <c r="D215" t="s">
        <v>20</v>
      </c>
      <c r="E215">
        <v>4</v>
      </c>
      <c r="F215" t="s">
        <v>34</v>
      </c>
      <c r="G215" t="s">
        <v>22</v>
      </c>
      <c r="H215" t="s">
        <v>23</v>
      </c>
      <c r="I215" t="s">
        <v>41</v>
      </c>
      <c r="J215" t="s">
        <v>42</v>
      </c>
      <c r="K215" t="s">
        <v>51</v>
      </c>
      <c r="L215" t="s">
        <v>92</v>
      </c>
      <c r="M215">
        <v>94</v>
      </c>
      <c r="N215">
        <v>50</v>
      </c>
      <c r="O215">
        <v>4606</v>
      </c>
      <c r="P215">
        <v>2726</v>
      </c>
      <c r="Q215">
        <v>1880</v>
      </c>
      <c r="R215">
        <v>0.02</v>
      </c>
      <c r="S215" t="s">
        <v>38</v>
      </c>
      <c r="T215">
        <v>129.65</v>
      </c>
    </row>
    <row r="216" spans="1:20" x14ac:dyDescent="0.25">
      <c r="A216">
        <v>100215</v>
      </c>
      <c r="B216" s="6">
        <v>45237</v>
      </c>
      <c r="C216">
        <v>2023</v>
      </c>
      <c r="D216" t="s">
        <v>43</v>
      </c>
      <c r="E216">
        <v>11</v>
      </c>
      <c r="F216" t="s">
        <v>87</v>
      </c>
      <c r="G216" t="s">
        <v>35</v>
      </c>
      <c r="H216" t="s">
        <v>23</v>
      </c>
      <c r="I216" t="s">
        <v>53</v>
      </c>
      <c r="J216" t="s">
        <v>50</v>
      </c>
      <c r="K216" t="s">
        <v>26</v>
      </c>
      <c r="L216" t="s">
        <v>69</v>
      </c>
      <c r="M216">
        <v>95</v>
      </c>
      <c r="N216">
        <v>130</v>
      </c>
      <c r="O216">
        <v>11732.5</v>
      </c>
      <c r="P216">
        <v>7220</v>
      </c>
      <c r="Q216">
        <v>4512.5</v>
      </c>
      <c r="R216">
        <v>0.05</v>
      </c>
      <c r="S216" t="s">
        <v>28</v>
      </c>
      <c r="T216">
        <v>428.32</v>
      </c>
    </row>
    <row r="217" spans="1:20" x14ac:dyDescent="0.25">
      <c r="A217">
        <v>100216</v>
      </c>
      <c r="B217" s="6">
        <v>44968</v>
      </c>
      <c r="C217">
        <v>2023</v>
      </c>
      <c r="D217" t="s">
        <v>63</v>
      </c>
      <c r="E217">
        <v>2</v>
      </c>
      <c r="F217" t="s">
        <v>81</v>
      </c>
      <c r="G217" t="s">
        <v>35</v>
      </c>
      <c r="H217" t="s">
        <v>23</v>
      </c>
      <c r="I217" t="s">
        <v>36</v>
      </c>
      <c r="J217" t="s">
        <v>66</v>
      </c>
      <c r="K217" t="s">
        <v>59</v>
      </c>
      <c r="L217" t="s">
        <v>86</v>
      </c>
      <c r="M217">
        <v>143</v>
      </c>
      <c r="N217">
        <v>160</v>
      </c>
      <c r="O217">
        <v>22880</v>
      </c>
      <c r="P217">
        <v>13585</v>
      </c>
      <c r="Q217">
        <v>9295</v>
      </c>
      <c r="R217">
        <v>0</v>
      </c>
      <c r="S217" t="s">
        <v>38</v>
      </c>
      <c r="T217">
        <v>609.96</v>
      </c>
    </row>
    <row r="218" spans="1:20" x14ac:dyDescent="0.25">
      <c r="A218">
        <v>100217</v>
      </c>
      <c r="B218" s="6">
        <v>45504</v>
      </c>
      <c r="C218">
        <v>2024</v>
      </c>
      <c r="D218" t="s">
        <v>39</v>
      </c>
      <c r="E218">
        <v>7</v>
      </c>
      <c r="F218" t="s">
        <v>75</v>
      </c>
      <c r="G218" t="s">
        <v>22</v>
      </c>
      <c r="H218" t="s">
        <v>23</v>
      </c>
      <c r="I218" t="s">
        <v>41</v>
      </c>
      <c r="J218" t="s">
        <v>68</v>
      </c>
      <c r="K218" t="s">
        <v>51</v>
      </c>
      <c r="L218" t="s">
        <v>76</v>
      </c>
      <c r="M218">
        <v>29</v>
      </c>
      <c r="N218">
        <v>40</v>
      </c>
      <c r="O218">
        <v>1102</v>
      </c>
      <c r="P218">
        <v>667</v>
      </c>
      <c r="Q218">
        <v>435</v>
      </c>
      <c r="R218">
        <v>0.05</v>
      </c>
      <c r="S218" t="s">
        <v>38</v>
      </c>
      <c r="T218">
        <v>73.06</v>
      </c>
    </row>
    <row r="219" spans="1:20" x14ac:dyDescent="0.25">
      <c r="A219">
        <v>100218</v>
      </c>
      <c r="B219" s="6">
        <v>45748</v>
      </c>
      <c r="C219">
        <v>2025</v>
      </c>
      <c r="D219" t="s">
        <v>20</v>
      </c>
      <c r="E219">
        <v>4</v>
      </c>
      <c r="F219" t="s">
        <v>34</v>
      </c>
      <c r="G219" t="s">
        <v>45</v>
      </c>
      <c r="H219" t="s">
        <v>23</v>
      </c>
      <c r="I219" t="s">
        <v>62</v>
      </c>
      <c r="J219" t="s">
        <v>50</v>
      </c>
      <c r="K219" t="s">
        <v>59</v>
      </c>
      <c r="L219" t="s">
        <v>60</v>
      </c>
      <c r="M219">
        <v>119</v>
      </c>
      <c r="N219">
        <v>45</v>
      </c>
      <c r="O219">
        <v>4926.6000000000004</v>
      </c>
      <c r="P219">
        <v>3213</v>
      </c>
      <c r="Q219">
        <v>1713.6</v>
      </c>
      <c r="R219">
        <v>0.08</v>
      </c>
      <c r="S219" t="s">
        <v>70</v>
      </c>
      <c r="T219">
        <v>298.62</v>
      </c>
    </row>
    <row r="220" spans="1:20" x14ac:dyDescent="0.25">
      <c r="A220">
        <v>100219</v>
      </c>
      <c r="B220" s="6">
        <v>45828</v>
      </c>
      <c r="C220">
        <v>2025</v>
      </c>
      <c r="D220" t="s">
        <v>20</v>
      </c>
      <c r="E220">
        <v>6</v>
      </c>
      <c r="F220" t="s">
        <v>48</v>
      </c>
      <c r="G220" t="s">
        <v>45</v>
      </c>
      <c r="H220" t="s">
        <v>23</v>
      </c>
      <c r="I220" t="s">
        <v>46</v>
      </c>
      <c r="J220" t="s">
        <v>50</v>
      </c>
      <c r="K220" t="s">
        <v>51</v>
      </c>
      <c r="L220" t="s">
        <v>72</v>
      </c>
      <c r="M220">
        <v>34</v>
      </c>
      <c r="N220">
        <v>90</v>
      </c>
      <c r="O220">
        <v>2998.8</v>
      </c>
      <c r="P220">
        <v>1768</v>
      </c>
      <c r="Q220">
        <v>1230.8</v>
      </c>
      <c r="R220">
        <v>0.02</v>
      </c>
      <c r="S220" t="s">
        <v>28</v>
      </c>
      <c r="T220">
        <v>58.17</v>
      </c>
    </row>
    <row r="221" spans="1:20" x14ac:dyDescent="0.25">
      <c r="A221">
        <v>100220</v>
      </c>
      <c r="B221" s="6">
        <v>45018</v>
      </c>
      <c r="C221">
        <v>2023</v>
      </c>
      <c r="D221" t="s">
        <v>20</v>
      </c>
      <c r="E221">
        <v>4</v>
      </c>
      <c r="F221" t="s">
        <v>34</v>
      </c>
      <c r="G221" t="s">
        <v>45</v>
      </c>
      <c r="H221" t="s">
        <v>23</v>
      </c>
      <c r="I221" t="s">
        <v>90</v>
      </c>
      <c r="J221" t="s">
        <v>25</v>
      </c>
      <c r="K221" t="s">
        <v>59</v>
      </c>
      <c r="L221" t="s">
        <v>86</v>
      </c>
      <c r="M221">
        <v>69</v>
      </c>
      <c r="N221">
        <v>160</v>
      </c>
      <c r="O221">
        <v>10156.799999999999</v>
      </c>
      <c r="P221">
        <v>6555</v>
      </c>
      <c r="Q221">
        <v>3601.8</v>
      </c>
      <c r="R221">
        <v>0.08</v>
      </c>
      <c r="S221" t="s">
        <v>70</v>
      </c>
      <c r="T221">
        <v>152.54</v>
      </c>
    </row>
    <row r="222" spans="1:20" x14ac:dyDescent="0.25">
      <c r="A222">
        <v>100221</v>
      </c>
      <c r="B222" s="6">
        <v>46010</v>
      </c>
      <c r="C222">
        <v>2025</v>
      </c>
      <c r="D222" t="s">
        <v>43</v>
      </c>
      <c r="E222">
        <v>12</v>
      </c>
      <c r="F222" t="s">
        <v>83</v>
      </c>
      <c r="G222" t="s">
        <v>22</v>
      </c>
      <c r="H222" t="s">
        <v>23</v>
      </c>
      <c r="I222" t="s">
        <v>24</v>
      </c>
      <c r="J222" t="s">
        <v>68</v>
      </c>
      <c r="K222" t="s">
        <v>51</v>
      </c>
      <c r="L222" t="s">
        <v>92</v>
      </c>
      <c r="M222">
        <v>19</v>
      </c>
      <c r="N222">
        <v>50</v>
      </c>
      <c r="O222">
        <v>931</v>
      </c>
      <c r="P222">
        <v>551</v>
      </c>
      <c r="Q222">
        <v>380</v>
      </c>
      <c r="R222">
        <v>0.02</v>
      </c>
      <c r="S222" t="s">
        <v>38</v>
      </c>
      <c r="T222">
        <v>38.78</v>
      </c>
    </row>
    <row r="223" spans="1:20" x14ac:dyDescent="0.25">
      <c r="A223">
        <v>100222</v>
      </c>
      <c r="B223" s="6">
        <v>46006</v>
      </c>
      <c r="C223">
        <v>2025</v>
      </c>
      <c r="D223" t="s">
        <v>43</v>
      </c>
      <c r="E223">
        <v>12</v>
      </c>
      <c r="F223" t="s">
        <v>83</v>
      </c>
      <c r="G223" t="s">
        <v>22</v>
      </c>
      <c r="H223" t="s">
        <v>23</v>
      </c>
      <c r="I223" t="s">
        <v>71</v>
      </c>
      <c r="J223" t="s">
        <v>66</v>
      </c>
      <c r="K223" t="s">
        <v>51</v>
      </c>
      <c r="L223" t="s">
        <v>92</v>
      </c>
      <c r="M223">
        <v>108</v>
      </c>
      <c r="N223">
        <v>50</v>
      </c>
      <c r="O223">
        <v>5400</v>
      </c>
      <c r="P223">
        <v>3132</v>
      </c>
      <c r="Q223">
        <v>2268</v>
      </c>
      <c r="R223">
        <v>0</v>
      </c>
      <c r="S223" t="s">
        <v>38</v>
      </c>
      <c r="T223">
        <v>313.45999999999998</v>
      </c>
    </row>
    <row r="224" spans="1:20" x14ac:dyDescent="0.25">
      <c r="A224">
        <v>100223</v>
      </c>
      <c r="B224" s="6">
        <v>45326</v>
      </c>
      <c r="C224">
        <v>2024</v>
      </c>
      <c r="D224" t="s">
        <v>63</v>
      </c>
      <c r="E224">
        <v>2</v>
      </c>
      <c r="F224" t="s">
        <v>81</v>
      </c>
      <c r="G224" t="s">
        <v>29</v>
      </c>
      <c r="H224" t="s">
        <v>23</v>
      </c>
      <c r="I224" t="s">
        <v>73</v>
      </c>
      <c r="J224" t="s">
        <v>50</v>
      </c>
      <c r="K224" t="s">
        <v>59</v>
      </c>
      <c r="L224" t="s">
        <v>67</v>
      </c>
      <c r="M224">
        <v>49</v>
      </c>
      <c r="N224">
        <v>95</v>
      </c>
      <c r="O224">
        <v>4282.6000000000004</v>
      </c>
      <c r="P224">
        <v>2744</v>
      </c>
      <c r="Q224">
        <v>1538.6</v>
      </c>
      <c r="R224">
        <v>0.08</v>
      </c>
      <c r="S224" t="s">
        <v>38</v>
      </c>
      <c r="T224">
        <v>209.15</v>
      </c>
    </row>
    <row r="225" spans="1:20" x14ac:dyDescent="0.25">
      <c r="A225">
        <v>100224</v>
      </c>
      <c r="B225" s="6">
        <v>45346</v>
      </c>
      <c r="C225">
        <v>2024</v>
      </c>
      <c r="D225" t="s">
        <v>63</v>
      </c>
      <c r="E225">
        <v>2</v>
      </c>
      <c r="F225" t="s">
        <v>81</v>
      </c>
      <c r="G225" t="s">
        <v>29</v>
      </c>
      <c r="H225" t="s">
        <v>23</v>
      </c>
      <c r="I225" t="s">
        <v>85</v>
      </c>
      <c r="J225" t="s">
        <v>25</v>
      </c>
      <c r="K225" t="s">
        <v>51</v>
      </c>
      <c r="L225" t="s">
        <v>52</v>
      </c>
      <c r="M225">
        <v>125</v>
      </c>
      <c r="N225">
        <v>75</v>
      </c>
      <c r="O225">
        <v>9093.75</v>
      </c>
      <c r="P225">
        <v>5500</v>
      </c>
      <c r="Q225">
        <v>3593.75</v>
      </c>
      <c r="R225">
        <v>0.03</v>
      </c>
      <c r="S225" t="s">
        <v>38</v>
      </c>
      <c r="T225">
        <v>463.55</v>
      </c>
    </row>
    <row r="226" spans="1:20" x14ac:dyDescent="0.25">
      <c r="A226">
        <v>100225</v>
      </c>
      <c r="B226" s="6">
        <v>45018</v>
      </c>
      <c r="C226">
        <v>2023</v>
      </c>
      <c r="D226" t="s">
        <v>20</v>
      </c>
      <c r="E226">
        <v>4</v>
      </c>
      <c r="F226" t="s">
        <v>34</v>
      </c>
      <c r="G226" t="s">
        <v>35</v>
      </c>
      <c r="H226" t="s">
        <v>23</v>
      </c>
      <c r="I226" t="s">
        <v>36</v>
      </c>
      <c r="J226" t="s">
        <v>66</v>
      </c>
      <c r="K226" t="s">
        <v>32</v>
      </c>
      <c r="L226" t="s">
        <v>37</v>
      </c>
      <c r="M226">
        <v>95</v>
      </c>
      <c r="N226">
        <v>120</v>
      </c>
      <c r="O226">
        <v>10260</v>
      </c>
      <c r="P226">
        <v>7410</v>
      </c>
      <c r="Q226">
        <v>2850</v>
      </c>
      <c r="R226">
        <v>0.1</v>
      </c>
      <c r="S226" t="s">
        <v>70</v>
      </c>
      <c r="T226">
        <v>294.17</v>
      </c>
    </row>
    <row r="227" spans="1:20" x14ac:dyDescent="0.25">
      <c r="A227">
        <v>100226</v>
      </c>
      <c r="B227" s="6">
        <v>45172</v>
      </c>
      <c r="C227">
        <v>2023</v>
      </c>
      <c r="D227" t="s">
        <v>39</v>
      </c>
      <c r="E227">
        <v>9</v>
      </c>
      <c r="F227" t="s">
        <v>40</v>
      </c>
      <c r="G227" t="s">
        <v>35</v>
      </c>
      <c r="H227" t="s">
        <v>23</v>
      </c>
      <c r="I227" t="s">
        <v>53</v>
      </c>
      <c r="J227" t="s">
        <v>61</v>
      </c>
      <c r="K227" t="s">
        <v>59</v>
      </c>
      <c r="L227" t="s">
        <v>67</v>
      </c>
      <c r="M227">
        <v>67</v>
      </c>
      <c r="N227">
        <v>95</v>
      </c>
      <c r="O227">
        <v>6237.7</v>
      </c>
      <c r="P227">
        <v>3752</v>
      </c>
      <c r="Q227">
        <v>2485.6999999999998</v>
      </c>
      <c r="R227">
        <v>0.02</v>
      </c>
      <c r="S227" t="s">
        <v>38</v>
      </c>
      <c r="T227">
        <v>305.91000000000003</v>
      </c>
    </row>
    <row r="228" spans="1:20" x14ac:dyDescent="0.25">
      <c r="A228">
        <v>100227</v>
      </c>
      <c r="B228" s="6">
        <v>45168</v>
      </c>
      <c r="C228">
        <v>2023</v>
      </c>
      <c r="D228" t="s">
        <v>39</v>
      </c>
      <c r="E228">
        <v>8</v>
      </c>
      <c r="F228" t="s">
        <v>58</v>
      </c>
      <c r="G228" t="s">
        <v>45</v>
      </c>
      <c r="H228" t="s">
        <v>23</v>
      </c>
      <c r="I228" t="s">
        <v>46</v>
      </c>
      <c r="J228" t="s">
        <v>54</v>
      </c>
      <c r="K228" t="s">
        <v>32</v>
      </c>
      <c r="L228" t="s">
        <v>37</v>
      </c>
      <c r="M228">
        <v>148</v>
      </c>
      <c r="N228">
        <v>120</v>
      </c>
      <c r="O228">
        <v>17227.2</v>
      </c>
      <c r="P228">
        <v>11544</v>
      </c>
      <c r="Q228">
        <v>5683.2</v>
      </c>
      <c r="R228">
        <v>0.03</v>
      </c>
      <c r="S228" t="s">
        <v>38</v>
      </c>
      <c r="T228">
        <v>1058.43</v>
      </c>
    </row>
    <row r="229" spans="1:20" x14ac:dyDescent="0.25">
      <c r="A229">
        <v>100228</v>
      </c>
      <c r="B229" s="6">
        <v>45436</v>
      </c>
      <c r="C229">
        <v>2024</v>
      </c>
      <c r="D229" t="s">
        <v>20</v>
      </c>
      <c r="E229">
        <v>5</v>
      </c>
      <c r="F229" t="s">
        <v>21</v>
      </c>
      <c r="G229" t="s">
        <v>29</v>
      </c>
      <c r="H229" t="s">
        <v>23</v>
      </c>
      <c r="I229" t="s">
        <v>85</v>
      </c>
      <c r="J229" t="s">
        <v>50</v>
      </c>
      <c r="K229" t="s">
        <v>51</v>
      </c>
      <c r="L229" t="s">
        <v>72</v>
      </c>
      <c r="M229">
        <v>91</v>
      </c>
      <c r="N229">
        <v>90</v>
      </c>
      <c r="O229">
        <v>7944.3</v>
      </c>
      <c r="P229">
        <v>4732</v>
      </c>
      <c r="Q229">
        <v>3212.3</v>
      </c>
      <c r="R229">
        <v>0.03</v>
      </c>
      <c r="S229" t="s">
        <v>28</v>
      </c>
      <c r="T229">
        <v>283.39999999999998</v>
      </c>
    </row>
    <row r="230" spans="1:20" x14ac:dyDescent="0.25">
      <c r="A230">
        <v>100229</v>
      </c>
      <c r="B230" s="6">
        <v>45480</v>
      </c>
      <c r="C230">
        <v>2024</v>
      </c>
      <c r="D230" t="s">
        <v>39</v>
      </c>
      <c r="E230">
        <v>7</v>
      </c>
      <c r="F230" t="s">
        <v>75</v>
      </c>
      <c r="G230" t="s">
        <v>45</v>
      </c>
      <c r="H230" t="s">
        <v>23</v>
      </c>
      <c r="I230" t="s">
        <v>88</v>
      </c>
      <c r="J230" t="s">
        <v>68</v>
      </c>
      <c r="K230" t="s">
        <v>55</v>
      </c>
      <c r="L230" t="s">
        <v>93</v>
      </c>
      <c r="M230">
        <v>26</v>
      </c>
      <c r="N230">
        <v>60</v>
      </c>
      <c r="O230">
        <v>1482</v>
      </c>
      <c r="P230">
        <v>1092</v>
      </c>
      <c r="Q230">
        <v>390</v>
      </c>
      <c r="R230">
        <v>0.05</v>
      </c>
      <c r="S230" t="s">
        <v>70</v>
      </c>
      <c r="T230">
        <v>99.08</v>
      </c>
    </row>
    <row r="231" spans="1:20" x14ac:dyDescent="0.25">
      <c r="A231">
        <v>100230</v>
      </c>
      <c r="B231" s="6">
        <v>44955</v>
      </c>
      <c r="C231">
        <v>2023</v>
      </c>
      <c r="D231" t="s">
        <v>63</v>
      </c>
      <c r="E231">
        <v>1</v>
      </c>
      <c r="F231" t="s">
        <v>79</v>
      </c>
      <c r="G231" t="s">
        <v>45</v>
      </c>
      <c r="H231" t="s">
        <v>23</v>
      </c>
      <c r="I231" t="s">
        <v>88</v>
      </c>
      <c r="J231" t="s">
        <v>31</v>
      </c>
      <c r="K231" t="s">
        <v>55</v>
      </c>
      <c r="L231" t="s">
        <v>56</v>
      </c>
      <c r="M231">
        <v>30</v>
      </c>
      <c r="N231">
        <v>320</v>
      </c>
      <c r="O231">
        <v>8832</v>
      </c>
      <c r="P231">
        <v>7050</v>
      </c>
      <c r="Q231">
        <v>1782</v>
      </c>
      <c r="R231">
        <v>0.08</v>
      </c>
      <c r="S231" t="s">
        <v>28</v>
      </c>
      <c r="T231">
        <v>373.15</v>
      </c>
    </row>
    <row r="232" spans="1:20" x14ac:dyDescent="0.25">
      <c r="A232">
        <v>100231</v>
      </c>
      <c r="B232" s="6">
        <v>45126</v>
      </c>
      <c r="C232">
        <v>2023</v>
      </c>
      <c r="D232" t="s">
        <v>39</v>
      </c>
      <c r="E232">
        <v>7</v>
      </c>
      <c r="F232" t="s">
        <v>75</v>
      </c>
      <c r="G232" t="s">
        <v>45</v>
      </c>
      <c r="H232" t="s">
        <v>23</v>
      </c>
      <c r="I232" t="s">
        <v>90</v>
      </c>
      <c r="J232" t="s">
        <v>50</v>
      </c>
      <c r="K232" t="s">
        <v>55</v>
      </c>
      <c r="L232" t="s">
        <v>89</v>
      </c>
      <c r="M232">
        <v>97</v>
      </c>
      <c r="N232">
        <v>280</v>
      </c>
      <c r="O232">
        <v>24987.200000000001</v>
      </c>
      <c r="P232">
        <v>19885</v>
      </c>
      <c r="Q232">
        <v>5102.2</v>
      </c>
      <c r="R232">
        <v>0.08</v>
      </c>
      <c r="S232" t="s">
        <v>70</v>
      </c>
      <c r="T232">
        <v>520.05999999999995</v>
      </c>
    </row>
    <row r="233" spans="1:20" x14ac:dyDescent="0.25">
      <c r="A233">
        <v>100232</v>
      </c>
      <c r="B233" s="6">
        <v>45027</v>
      </c>
      <c r="C233">
        <v>2023</v>
      </c>
      <c r="D233" t="s">
        <v>20</v>
      </c>
      <c r="E233">
        <v>4</v>
      </c>
      <c r="F233" t="s">
        <v>34</v>
      </c>
      <c r="G233" t="s">
        <v>29</v>
      </c>
      <c r="H233" t="s">
        <v>23</v>
      </c>
      <c r="I233" t="s">
        <v>73</v>
      </c>
      <c r="J233" t="s">
        <v>25</v>
      </c>
      <c r="K233" t="s">
        <v>32</v>
      </c>
      <c r="L233" t="s">
        <v>74</v>
      </c>
      <c r="M233">
        <v>52</v>
      </c>
      <c r="N233">
        <v>25</v>
      </c>
      <c r="O233">
        <v>1235</v>
      </c>
      <c r="P233">
        <v>728</v>
      </c>
      <c r="Q233">
        <v>507</v>
      </c>
      <c r="R233">
        <v>0.05</v>
      </c>
      <c r="S233" t="s">
        <v>38</v>
      </c>
      <c r="T233">
        <v>73.010000000000005</v>
      </c>
    </row>
    <row r="234" spans="1:20" x14ac:dyDescent="0.25">
      <c r="A234">
        <v>100233</v>
      </c>
      <c r="B234" s="6">
        <v>45074</v>
      </c>
      <c r="C234">
        <v>2023</v>
      </c>
      <c r="D234" t="s">
        <v>20</v>
      </c>
      <c r="E234">
        <v>5</v>
      </c>
      <c r="F234" t="s">
        <v>21</v>
      </c>
      <c r="G234" t="s">
        <v>45</v>
      </c>
      <c r="H234" t="s">
        <v>23</v>
      </c>
      <c r="I234" t="s">
        <v>62</v>
      </c>
      <c r="J234" t="s">
        <v>25</v>
      </c>
      <c r="K234" t="s">
        <v>51</v>
      </c>
      <c r="L234" t="s">
        <v>76</v>
      </c>
      <c r="M234">
        <v>148</v>
      </c>
      <c r="N234">
        <v>40</v>
      </c>
      <c r="O234">
        <v>5328</v>
      </c>
      <c r="P234">
        <v>3404</v>
      </c>
      <c r="Q234">
        <v>1924</v>
      </c>
      <c r="R234">
        <v>0.1</v>
      </c>
      <c r="S234" t="s">
        <v>38</v>
      </c>
      <c r="T234">
        <v>356.06</v>
      </c>
    </row>
    <row r="235" spans="1:20" x14ac:dyDescent="0.25">
      <c r="A235">
        <v>100234</v>
      </c>
      <c r="B235" s="6">
        <v>45368</v>
      </c>
      <c r="C235">
        <v>2024</v>
      </c>
      <c r="D235" t="s">
        <v>63</v>
      </c>
      <c r="E235">
        <v>3</v>
      </c>
      <c r="F235" t="s">
        <v>64</v>
      </c>
      <c r="G235" t="s">
        <v>45</v>
      </c>
      <c r="H235" t="s">
        <v>23</v>
      </c>
      <c r="I235" t="s">
        <v>46</v>
      </c>
      <c r="J235" t="s">
        <v>31</v>
      </c>
      <c r="K235" t="s">
        <v>26</v>
      </c>
      <c r="L235" t="s">
        <v>82</v>
      </c>
      <c r="M235">
        <v>17</v>
      </c>
      <c r="N235">
        <v>105</v>
      </c>
      <c r="O235">
        <v>1749.3</v>
      </c>
      <c r="P235">
        <v>1037</v>
      </c>
      <c r="Q235">
        <v>712.3</v>
      </c>
      <c r="R235">
        <v>0.02</v>
      </c>
      <c r="S235" t="s">
        <v>70</v>
      </c>
      <c r="T235">
        <v>28.25</v>
      </c>
    </row>
    <row r="236" spans="1:20" x14ac:dyDescent="0.25">
      <c r="A236">
        <v>100235</v>
      </c>
      <c r="B236" s="6">
        <v>45286</v>
      </c>
      <c r="C236">
        <v>2023</v>
      </c>
      <c r="D236" t="s">
        <v>43</v>
      </c>
      <c r="E236">
        <v>12</v>
      </c>
      <c r="F236" t="s">
        <v>83</v>
      </c>
      <c r="G236" t="s">
        <v>45</v>
      </c>
      <c r="H236" t="s">
        <v>23</v>
      </c>
      <c r="I236" t="s">
        <v>46</v>
      </c>
      <c r="J236" t="s">
        <v>42</v>
      </c>
      <c r="K236" t="s">
        <v>51</v>
      </c>
      <c r="L236" t="s">
        <v>76</v>
      </c>
      <c r="M236">
        <v>58</v>
      </c>
      <c r="N236">
        <v>40</v>
      </c>
      <c r="O236">
        <v>2273.6</v>
      </c>
      <c r="P236">
        <v>1334</v>
      </c>
      <c r="Q236">
        <v>939.6</v>
      </c>
      <c r="R236">
        <v>0.02</v>
      </c>
      <c r="S236" t="s">
        <v>70</v>
      </c>
      <c r="T236">
        <v>66.709999999999994</v>
      </c>
    </row>
    <row r="237" spans="1:20" x14ac:dyDescent="0.25">
      <c r="A237">
        <v>100236</v>
      </c>
      <c r="B237" s="6">
        <v>45304</v>
      </c>
      <c r="C237">
        <v>2024</v>
      </c>
      <c r="D237" t="s">
        <v>63</v>
      </c>
      <c r="E237">
        <v>1</v>
      </c>
      <c r="F237" t="s">
        <v>79</v>
      </c>
      <c r="G237" t="s">
        <v>22</v>
      </c>
      <c r="H237" t="s">
        <v>23</v>
      </c>
      <c r="I237" t="s">
        <v>41</v>
      </c>
      <c r="J237" t="s">
        <v>61</v>
      </c>
      <c r="K237" t="s">
        <v>55</v>
      </c>
      <c r="L237" t="s">
        <v>84</v>
      </c>
      <c r="M237">
        <v>149</v>
      </c>
      <c r="N237">
        <v>55</v>
      </c>
      <c r="O237">
        <v>7949.15</v>
      </c>
      <c r="P237">
        <v>5513</v>
      </c>
      <c r="Q237">
        <v>2436.15</v>
      </c>
      <c r="R237">
        <v>0.03</v>
      </c>
      <c r="S237" t="s">
        <v>70</v>
      </c>
      <c r="T237">
        <v>169.06</v>
      </c>
    </row>
    <row r="238" spans="1:20" x14ac:dyDescent="0.25">
      <c r="A238">
        <v>100237</v>
      </c>
      <c r="B238" s="6">
        <v>45277</v>
      </c>
      <c r="C238">
        <v>2023</v>
      </c>
      <c r="D238" t="s">
        <v>43</v>
      </c>
      <c r="E238">
        <v>12</v>
      </c>
      <c r="F238" t="s">
        <v>83</v>
      </c>
      <c r="G238" t="s">
        <v>29</v>
      </c>
      <c r="H238" t="s">
        <v>23</v>
      </c>
      <c r="I238" t="s">
        <v>49</v>
      </c>
      <c r="J238" t="s">
        <v>68</v>
      </c>
      <c r="K238" t="s">
        <v>59</v>
      </c>
      <c r="L238" t="s">
        <v>86</v>
      </c>
      <c r="M238">
        <v>20</v>
      </c>
      <c r="N238">
        <v>160</v>
      </c>
      <c r="O238">
        <v>3200</v>
      </c>
      <c r="P238">
        <v>1900</v>
      </c>
      <c r="Q238">
        <v>1300</v>
      </c>
      <c r="R238">
        <v>0</v>
      </c>
      <c r="S238" t="s">
        <v>38</v>
      </c>
      <c r="T238">
        <v>67.5</v>
      </c>
    </row>
    <row r="239" spans="1:20" x14ac:dyDescent="0.25">
      <c r="A239">
        <v>100238</v>
      </c>
      <c r="B239" s="6">
        <v>45414</v>
      </c>
      <c r="C239">
        <v>2024</v>
      </c>
      <c r="D239" t="s">
        <v>20</v>
      </c>
      <c r="E239">
        <v>5</v>
      </c>
      <c r="F239" t="s">
        <v>21</v>
      </c>
      <c r="G239" t="s">
        <v>22</v>
      </c>
      <c r="H239" t="s">
        <v>23</v>
      </c>
      <c r="I239" t="s">
        <v>41</v>
      </c>
      <c r="J239" t="s">
        <v>61</v>
      </c>
      <c r="K239" t="s">
        <v>51</v>
      </c>
      <c r="L239" t="s">
        <v>92</v>
      </c>
      <c r="M239">
        <v>123</v>
      </c>
      <c r="N239">
        <v>50</v>
      </c>
      <c r="O239">
        <v>5535</v>
      </c>
      <c r="P239">
        <v>3567</v>
      </c>
      <c r="Q239">
        <v>1968</v>
      </c>
      <c r="R239">
        <v>0.1</v>
      </c>
      <c r="S239" t="s">
        <v>57</v>
      </c>
      <c r="T239">
        <v>156.30000000000001</v>
      </c>
    </row>
    <row r="240" spans="1:20" x14ac:dyDescent="0.25">
      <c r="A240">
        <v>100239</v>
      </c>
      <c r="B240" s="6">
        <v>45612</v>
      </c>
      <c r="C240">
        <v>2024</v>
      </c>
      <c r="D240" t="s">
        <v>43</v>
      </c>
      <c r="E240">
        <v>11</v>
      </c>
      <c r="F240" t="s">
        <v>87</v>
      </c>
      <c r="G240" t="s">
        <v>45</v>
      </c>
      <c r="H240" t="s">
        <v>23</v>
      </c>
      <c r="I240" t="s">
        <v>62</v>
      </c>
      <c r="J240" t="s">
        <v>50</v>
      </c>
      <c r="K240" t="s">
        <v>55</v>
      </c>
      <c r="L240" t="s">
        <v>84</v>
      </c>
      <c r="M240">
        <v>41</v>
      </c>
      <c r="N240">
        <v>55</v>
      </c>
      <c r="O240">
        <v>2209.9</v>
      </c>
      <c r="P240">
        <v>1517</v>
      </c>
      <c r="Q240">
        <v>692.9</v>
      </c>
      <c r="R240">
        <v>0.02</v>
      </c>
      <c r="S240" t="s">
        <v>28</v>
      </c>
      <c r="T240">
        <v>140.02000000000001</v>
      </c>
    </row>
    <row r="241" spans="1:20" x14ac:dyDescent="0.25">
      <c r="A241">
        <v>100240</v>
      </c>
      <c r="B241" s="6">
        <v>45075</v>
      </c>
      <c r="C241">
        <v>2023</v>
      </c>
      <c r="D241" t="s">
        <v>20</v>
      </c>
      <c r="E241">
        <v>5</v>
      </c>
      <c r="F241" t="s">
        <v>21</v>
      </c>
      <c r="G241" t="s">
        <v>45</v>
      </c>
      <c r="H241" t="s">
        <v>23</v>
      </c>
      <c r="I241" t="s">
        <v>88</v>
      </c>
      <c r="J241" t="s">
        <v>50</v>
      </c>
      <c r="K241" t="s">
        <v>59</v>
      </c>
      <c r="L241" t="s">
        <v>91</v>
      </c>
      <c r="M241">
        <v>55</v>
      </c>
      <c r="N241">
        <v>140</v>
      </c>
      <c r="O241">
        <v>7315</v>
      </c>
      <c r="P241">
        <v>4510</v>
      </c>
      <c r="Q241">
        <v>2805</v>
      </c>
      <c r="R241">
        <v>0.05</v>
      </c>
      <c r="S241" t="s">
        <v>38</v>
      </c>
      <c r="T241">
        <v>422.11</v>
      </c>
    </row>
    <row r="242" spans="1:20" x14ac:dyDescent="0.25">
      <c r="A242">
        <v>100241</v>
      </c>
      <c r="B242" s="6">
        <v>45182</v>
      </c>
      <c r="C242">
        <v>2023</v>
      </c>
      <c r="D242" t="s">
        <v>39</v>
      </c>
      <c r="E242">
        <v>9</v>
      </c>
      <c r="F242" t="s">
        <v>40</v>
      </c>
      <c r="G242" t="s">
        <v>35</v>
      </c>
      <c r="H242" t="s">
        <v>23</v>
      </c>
      <c r="I242" t="s">
        <v>36</v>
      </c>
      <c r="J242" t="s">
        <v>61</v>
      </c>
      <c r="K242" t="s">
        <v>55</v>
      </c>
      <c r="L242" t="s">
        <v>84</v>
      </c>
      <c r="M242">
        <v>101</v>
      </c>
      <c r="N242">
        <v>55</v>
      </c>
      <c r="O242">
        <v>5555</v>
      </c>
      <c r="P242">
        <v>3737</v>
      </c>
      <c r="Q242">
        <v>1818</v>
      </c>
      <c r="R242">
        <v>0</v>
      </c>
      <c r="S242" t="s">
        <v>57</v>
      </c>
      <c r="T242">
        <v>133.68</v>
      </c>
    </row>
    <row r="243" spans="1:20" x14ac:dyDescent="0.25">
      <c r="A243">
        <v>100242</v>
      </c>
      <c r="B243" s="6">
        <v>45362</v>
      </c>
      <c r="C243">
        <v>2024</v>
      </c>
      <c r="D243" t="s">
        <v>63</v>
      </c>
      <c r="E243">
        <v>3</v>
      </c>
      <c r="F243" t="s">
        <v>64</v>
      </c>
      <c r="G243" t="s">
        <v>22</v>
      </c>
      <c r="H243" t="s">
        <v>23</v>
      </c>
      <c r="I243" t="s">
        <v>41</v>
      </c>
      <c r="J243" t="s">
        <v>61</v>
      </c>
      <c r="K243" t="s">
        <v>32</v>
      </c>
      <c r="L243" t="s">
        <v>74</v>
      </c>
      <c r="M243">
        <v>97</v>
      </c>
      <c r="N243">
        <v>25</v>
      </c>
      <c r="O243">
        <v>2376.5</v>
      </c>
      <c r="P243">
        <v>1358</v>
      </c>
      <c r="Q243">
        <v>1018.5</v>
      </c>
      <c r="R243">
        <v>0.02</v>
      </c>
      <c r="S243" t="s">
        <v>70</v>
      </c>
      <c r="T243">
        <v>89.68</v>
      </c>
    </row>
    <row r="244" spans="1:20" x14ac:dyDescent="0.25">
      <c r="A244">
        <v>100243</v>
      </c>
      <c r="B244" s="6">
        <v>45622</v>
      </c>
      <c r="C244">
        <v>2024</v>
      </c>
      <c r="D244" t="s">
        <v>43</v>
      </c>
      <c r="E244">
        <v>11</v>
      </c>
      <c r="F244" t="s">
        <v>87</v>
      </c>
      <c r="G244" t="s">
        <v>22</v>
      </c>
      <c r="H244" t="s">
        <v>23</v>
      </c>
      <c r="I244" t="s">
        <v>24</v>
      </c>
      <c r="J244" t="s">
        <v>31</v>
      </c>
      <c r="K244" t="s">
        <v>32</v>
      </c>
      <c r="L244" t="s">
        <v>74</v>
      </c>
      <c r="M244">
        <v>39</v>
      </c>
      <c r="N244">
        <v>25</v>
      </c>
      <c r="O244">
        <v>897</v>
      </c>
      <c r="P244">
        <v>546</v>
      </c>
      <c r="Q244">
        <v>351</v>
      </c>
      <c r="R244">
        <v>0.08</v>
      </c>
      <c r="S244" t="s">
        <v>70</v>
      </c>
      <c r="T244">
        <v>44.85</v>
      </c>
    </row>
    <row r="245" spans="1:20" x14ac:dyDescent="0.25">
      <c r="A245">
        <v>100244</v>
      </c>
      <c r="B245" s="6">
        <v>45062</v>
      </c>
      <c r="C245">
        <v>2023</v>
      </c>
      <c r="D245" t="s">
        <v>20</v>
      </c>
      <c r="E245">
        <v>5</v>
      </c>
      <c r="F245" t="s">
        <v>21</v>
      </c>
      <c r="G245" t="s">
        <v>35</v>
      </c>
      <c r="H245" t="s">
        <v>23</v>
      </c>
      <c r="I245" t="s">
        <v>36</v>
      </c>
      <c r="J245" t="s">
        <v>31</v>
      </c>
      <c r="K245" t="s">
        <v>32</v>
      </c>
      <c r="L245" t="s">
        <v>37</v>
      </c>
      <c r="M245">
        <v>117</v>
      </c>
      <c r="N245">
        <v>120</v>
      </c>
      <c r="O245">
        <v>13338</v>
      </c>
      <c r="P245">
        <v>9126</v>
      </c>
      <c r="Q245">
        <v>4212</v>
      </c>
      <c r="R245">
        <v>0.05</v>
      </c>
      <c r="S245" t="s">
        <v>38</v>
      </c>
      <c r="T245">
        <v>927.65</v>
      </c>
    </row>
    <row r="246" spans="1:20" x14ac:dyDescent="0.25">
      <c r="A246">
        <v>100245</v>
      </c>
      <c r="B246" s="6">
        <v>45800</v>
      </c>
      <c r="C246">
        <v>2025</v>
      </c>
      <c r="D246" t="s">
        <v>20</v>
      </c>
      <c r="E246">
        <v>5</v>
      </c>
      <c r="F246" t="s">
        <v>21</v>
      </c>
      <c r="G246" t="s">
        <v>35</v>
      </c>
      <c r="H246" t="s">
        <v>23</v>
      </c>
      <c r="I246" t="s">
        <v>53</v>
      </c>
      <c r="J246" t="s">
        <v>68</v>
      </c>
      <c r="K246" t="s">
        <v>51</v>
      </c>
      <c r="L246" t="s">
        <v>92</v>
      </c>
      <c r="M246">
        <v>137</v>
      </c>
      <c r="N246">
        <v>50</v>
      </c>
      <c r="O246">
        <v>6302</v>
      </c>
      <c r="P246">
        <v>3973</v>
      </c>
      <c r="Q246">
        <v>2329</v>
      </c>
      <c r="R246">
        <v>0.08</v>
      </c>
      <c r="S246" t="s">
        <v>38</v>
      </c>
      <c r="T246">
        <v>307.69</v>
      </c>
    </row>
    <row r="247" spans="1:20" x14ac:dyDescent="0.25">
      <c r="A247">
        <v>100246</v>
      </c>
      <c r="B247" s="6">
        <v>45963</v>
      </c>
      <c r="C247">
        <v>2025</v>
      </c>
      <c r="D247" t="s">
        <v>43</v>
      </c>
      <c r="E247">
        <v>11</v>
      </c>
      <c r="F247" t="s">
        <v>87</v>
      </c>
      <c r="G247" t="s">
        <v>45</v>
      </c>
      <c r="H247" t="s">
        <v>23</v>
      </c>
      <c r="I247" t="s">
        <v>62</v>
      </c>
      <c r="J247" t="s">
        <v>66</v>
      </c>
      <c r="K247" t="s">
        <v>59</v>
      </c>
      <c r="L247" t="s">
        <v>86</v>
      </c>
      <c r="M247">
        <v>99</v>
      </c>
      <c r="N247">
        <v>160</v>
      </c>
      <c r="O247">
        <v>14572.8</v>
      </c>
      <c r="P247">
        <v>9405</v>
      </c>
      <c r="Q247">
        <v>5167.8</v>
      </c>
      <c r="R247">
        <v>0.08</v>
      </c>
      <c r="S247" t="s">
        <v>38</v>
      </c>
      <c r="T247">
        <v>885.99</v>
      </c>
    </row>
    <row r="248" spans="1:20" x14ac:dyDescent="0.25">
      <c r="A248">
        <v>100247</v>
      </c>
      <c r="B248" s="6">
        <v>45970</v>
      </c>
      <c r="C248">
        <v>2025</v>
      </c>
      <c r="D248" t="s">
        <v>43</v>
      </c>
      <c r="E248">
        <v>11</v>
      </c>
      <c r="F248" t="s">
        <v>87</v>
      </c>
      <c r="G248" t="s">
        <v>22</v>
      </c>
      <c r="H248" t="s">
        <v>23</v>
      </c>
      <c r="I248" t="s">
        <v>65</v>
      </c>
      <c r="J248" t="s">
        <v>50</v>
      </c>
      <c r="K248" t="s">
        <v>32</v>
      </c>
      <c r="L248" t="s">
        <v>74</v>
      </c>
      <c r="M248">
        <v>79</v>
      </c>
      <c r="N248">
        <v>25</v>
      </c>
      <c r="O248">
        <v>1817</v>
      </c>
      <c r="P248">
        <v>1106</v>
      </c>
      <c r="Q248">
        <v>711</v>
      </c>
      <c r="R248">
        <v>0.08</v>
      </c>
      <c r="S248" t="s">
        <v>38</v>
      </c>
      <c r="T248">
        <v>126.82</v>
      </c>
    </row>
    <row r="249" spans="1:20" x14ac:dyDescent="0.25">
      <c r="A249">
        <v>100248</v>
      </c>
      <c r="B249" s="6">
        <v>45970</v>
      </c>
      <c r="C249">
        <v>2025</v>
      </c>
      <c r="D249" t="s">
        <v>43</v>
      </c>
      <c r="E249">
        <v>11</v>
      </c>
      <c r="F249" t="s">
        <v>87</v>
      </c>
      <c r="G249" t="s">
        <v>35</v>
      </c>
      <c r="H249" t="s">
        <v>23</v>
      </c>
      <c r="I249" t="s">
        <v>80</v>
      </c>
      <c r="J249" t="s">
        <v>54</v>
      </c>
      <c r="K249" t="s">
        <v>32</v>
      </c>
      <c r="L249" t="s">
        <v>33</v>
      </c>
      <c r="M249">
        <v>46</v>
      </c>
      <c r="N249">
        <v>60</v>
      </c>
      <c r="O249">
        <v>2622</v>
      </c>
      <c r="P249">
        <v>1748</v>
      </c>
      <c r="Q249">
        <v>874</v>
      </c>
      <c r="R249">
        <v>0.05</v>
      </c>
      <c r="S249" t="s">
        <v>38</v>
      </c>
      <c r="T249">
        <v>39.6</v>
      </c>
    </row>
    <row r="250" spans="1:20" x14ac:dyDescent="0.25">
      <c r="A250">
        <v>100249</v>
      </c>
      <c r="B250" s="6">
        <v>44964</v>
      </c>
      <c r="C250">
        <v>2023</v>
      </c>
      <c r="D250" t="s">
        <v>63</v>
      </c>
      <c r="E250">
        <v>2</v>
      </c>
      <c r="F250" t="s">
        <v>81</v>
      </c>
      <c r="G250" t="s">
        <v>35</v>
      </c>
      <c r="H250" t="s">
        <v>23</v>
      </c>
      <c r="I250" t="s">
        <v>80</v>
      </c>
      <c r="J250" t="s">
        <v>61</v>
      </c>
      <c r="K250" t="s">
        <v>32</v>
      </c>
      <c r="L250" t="s">
        <v>37</v>
      </c>
      <c r="M250">
        <v>29</v>
      </c>
      <c r="N250">
        <v>120</v>
      </c>
      <c r="O250">
        <v>3375.6</v>
      </c>
      <c r="P250">
        <v>2262</v>
      </c>
      <c r="Q250">
        <v>1113.5999999999999</v>
      </c>
      <c r="R250">
        <v>0.03</v>
      </c>
      <c r="S250" t="s">
        <v>70</v>
      </c>
      <c r="T250">
        <v>212.95</v>
      </c>
    </row>
    <row r="251" spans="1:20" x14ac:dyDescent="0.25">
      <c r="A251">
        <v>100250</v>
      </c>
      <c r="B251" s="6">
        <v>45262</v>
      </c>
      <c r="C251">
        <v>2023</v>
      </c>
      <c r="D251" t="s">
        <v>43</v>
      </c>
      <c r="E251">
        <v>12</v>
      </c>
      <c r="F251" t="s">
        <v>83</v>
      </c>
      <c r="G251" t="s">
        <v>35</v>
      </c>
      <c r="H251" t="s">
        <v>23</v>
      </c>
      <c r="I251" t="s">
        <v>53</v>
      </c>
      <c r="J251" t="s">
        <v>54</v>
      </c>
      <c r="K251" t="s">
        <v>26</v>
      </c>
      <c r="L251" t="s">
        <v>82</v>
      </c>
      <c r="M251">
        <v>33</v>
      </c>
      <c r="N251">
        <v>105</v>
      </c>
      <c r="O251">
        <v>3291.75</v>
      </c>
      <c r="P251">
        <v>2013</v>
      </c>
      <c r="Q251">
        <v>1278.75</v>
      </c>
      <c r="R251">
        <v>0.05</v>
      </c>
      <c r="S251" t="s">
        <v>38</v>
      </c>
      <c r="T251">
        <v>195.12</v>
      </c>
    </row>
    <row r="252" spans="1:20" x14ac:dyDescent="0.25">
      <c r="A252">
        <v>100251</v>
      </c>
      <c r="B252" s="6">
        <v>45841</v>
      </c>
      <c r="C252">
        <v>2025</v>
      </c>
      <c r="D252" t="s">
        <v>39</v>
      </c>
      <c r="E252">
        <v>7</v>
      </c>
      <c r="F252" t="s">
        <v>75</v>
      </c>
      <c r="G252" t="s">
        <v>45</v>
      </c>
      <c r="H252" t="s">
        <v>23</v>
      </c>
      <c r="I252" t="s">
        <v>90</v>
      </c>
      <c r="J252" t="s">
        <v>61</v>
      </c>
      <c r="K252" t="s">
        <v>32</v>
      </c>
      <c r="L252" t="s">
        <v>33</v>
      </c>
      <c r="M252">
        <v>118</v>
      </c>
      <c r="N252">
        <v>60</v>
      </c>
      <c r="O252">
        <v>6726</v>
      </c>
      <c r="P252">
        <v>4484</v>
      </c>
      <c r="Q252">
        <v>2242</v>
      </c>
      <c r="R252">
        <v>0.05</v>
      </c>
      <c r="S252" t="s">
        <v>57</v>
      </c>
      <c r="T252">
        <v>464.15</v>
      </c>
    </row>
    <row r="253" spans="1:20" x14ac:dyDescent="0.25">
      <c r="A253">
        <v>100252</v>
      </c>
      <c r="B253" s="6">
        <v>44945</v>
      </c>
      <c r="C253">
        <v>2023</v>
      </c>
      <c r="D253" t="s">
        <v>63</v>
      </c>
      <c r="E253">
        <v>1</v>
      </c>
      <c r="F253" t="s">
        <v>79</v>
      </c>
      <c r="G253" t="s">
        <v>29</v>
      </c>
      <c r="H253" t="s">
        <v>23</v>
      </c>
      <c r="I253" t="s">
        <v>73</v>
      </c>
      <c r="J253" t="s">
        <v>50</v>
      </c>
      <c r="K253" t="s">
        <v>32</v>
      </c>
      <c r="L253" t="s">
        <v>74</v>
      </c>
      <c r="M253">
        <v>122</v>
      </c>
      <c r="N253">
        <v>25</v>
      </c>
      <c r="O253">
        <v>2958.5</v>
      </c>
      <c r="P253">
        <v>1708</v>
      </c>
      <c r="Q253">
        <v>1250.5</v>
      </c>
      <c r="R253">
        <v>0.03</v>
      </c>
      <c r="S253" t="s">
        <v>38</v>
      </c>
      <c r="T253">
        <v>58.79</v>
      </c>
    </row>
    <row r="254" spans="1:20" x14ac:dyDescent="0.25">
      <c r="A254">
        <v>100253</v>
      </c>
      <c r="B254" s="6">
        <v>45402</v>
      </c>
      <c r="C254">
        <v>2024</v>
      </c>
      <c r="D254" t="s">
        <v>20</v>
      </c>
      <c r="E254">
        <v>4</v>
      </c>
      <c r="F254" t="s">
        <v>34</v>
      </c>
      <c r="G254" t="s">
        <v>22</v>
      </c>
      <c r="H254" t="s">
        <v>23</v>
      </c>
      <c r="I254" t="s">
        <v>24</v>
      </c>
      <c r="J254" t="s">
        <v>50</v>
      </c>
      <c r="K254" t="s">
        <v>55</v>
      </c>
      <c r="L254" t="s">
        <v>56</v>
      </c>
      <c r="M254">
        <v>127</v>
      </c>
      <c r="N254">
        <v>320</v>
      </c>
      <c r="O254">
        <v>38608</v>
      </c>
      <c r="P254">
        <v>29845</v>
      </c>
      <c r="Q254">
        <v>8763</v>
      </c>
      <c r="R254">
        <v>0.05</v>
      </c>
      <c r="S254" t="s">
        <v>70</v>
      </c>
      <c r="T254">
        <v>1473.61</v>
      </c>
    </row>
    <row r="255" spans="1:20" x14ac:dyDescent="0.25">
      <c r="A255">
        <v>100254</v>
      </c>
      <c r="B255" s="6">
        <v>45997</v>
      </c>
      <c r="C255">
        <v>2025</v>
      </c>
      <c r="D255" t="s">
        <v>43</v>
      </c>
      <c r="E255">
        <v>12</v>
      </c>
      <c r="F255" t="s">
        <v>83</v>
      </c>
      <c r="G255" t="s">
        <v>22</v>
      </c>
      <c r="H255" t="s">
        <v>23</v>
      </c>
      <c r="I255" t="s">
        <v>24</v>
      </c>
      <c r="J255" t="s">
        <v>31</v>
      </c>
      <c r="K255" t="s">
        <v>51</v>
      </c>
      <c r="L255" t="s">
        <v>76</v>
      </c>
      <c r="M255">
        <v>133</v>
      </c>
      <c r="N255">
        <v>40</v>
      </c>
      <c r="O255">
        <v>5160.3999999999996</v>
      </c>
      <c r="P255">
        <v>3059</v>
      </c>
      <c r="Q255">
        <v>2101.4</v>
      </c>
      <c r="R255">
        <v>0.03</v>
      </c>
      <c r="S255" t="s">
        <v>38</v>
      </c>
      <c r="T255">
        <v>239.72</v>
      </c>
    </row>
    <row r="256" spans="1:20" x14ac:dyDescent="0.25">
      <c r="A256">
        <v>100255</v>
      </c>
      <c r="B256" s="6">
        <v>45426</v>
      </c>
      <c r="C256">
        <v>2024</v>
      </c>
      <c r="D256" t="s">
        <v>20</v>
      </c>
      <c r="E256">
        <v>5</v>
      </c>
      <c r="F256" t="s">
        <v>21</v>
      </c>
      <c r="G256" t="s">
        <v>45</v>
      </c>
      <c r="H256" t="s">
        <v>23</v>
      </c>
      <c r="I256" t="s">
        <v>88</v>
      </c>
      <c r="J256" t="s">
        <v>61</v>
      </c>
      <c r="K256" t="s">
        <v>51</v>
      </c>
      <c r="L256" t="s">
        <v>92</v>
      </c>
      <c r="M256">
        <v>116</v>
      </c>
      <c r="N256">
        <v>50</v>
      </c>
      <c r="O256">
        <v>5800</v>
      </c>
      <c r="P256">
        <v>3364</v>
      </c>
      <c r="Q256">
        <v>2436</v>
      </c>
      <c r="R256">
        <v>0</v>
      </c>
      <c r="S256" t="s">
        <v>57</v>
      </c>
      <c r="T256">
        <v>352.31</v>
      </c>
    </row>
    <row r="257" spans="1:20" x14ac:dyDescent="0.25">
      <c r="A257">
        <v>100256</v>
      </c>
      <c r="B257" s="6">
        <v>45489</v>
      </c>
      <c r="C257">
        <v>2024</v>
      </c>
      <c r="D257" t="s">
        <v>39</v>
      </c>
      <c r="E257">
        <v>7</v>
      </c>
      <c r="F257" t="s">
        <v>75</v>
      </c>
      <c r="G257" t="s">
        <v>45</v>
      </c>
      <c r="H257" t="s">
        <v>23</v>
      </c>
      <c r="I257" t="s">
        <v>90</v>
      </c>
      <c r="J257" t="s">
        <v>42</v>
      </c>
      <c r="K257" t="s">
        <v>51</v>
      </c>
      <c r="L257" t="s">
        <v>76</v>
      </c>
      <c r="M257">
        <v>78</v>
      </c>
      <c r="N257">
        <v>40</v>
      </c>
      <c r="O257">
        <v>2870.4</v>
      </c>
      <c r="P257">
        <v>1794</v>
      </c>
      <c r="Q257">
        <v>1076.4000000000001</v>
      </c>
      <c r="R257">
        <v>0.08</v>
      </c>
      <c r="S257" t="s">
        <v>70</v>
      </c>
      <c r="T257">
        <v>72.44</v>
      </c>
    </row>
    <row r="258" spans="1:20" x14ac:dyDescent="0.25">
      <c r="A258">
        <v>100257</v>
      </c>
      <c r="B258" s="6">
        <v>45630</v>
      </c>
      <c r="C258">
        <v>2024</v>
      </c>
      <c r="D258" t="s">
        <v>43</v>
      </c>
      <c r="E258">
        <v>12</v>
      </c>
      <c r="F258" t="s">
        <v>83</v>
      </c>
      <c r="G258" t="s">
        <v>45</v>
      </c>
      <c r="H258" t="s">
        <v>23</v>
      </c>
      <c r="I258" t="s">
        <v>62</v>
      </c>
      <c r="J258" t="s">
        <v>42</v>
      </c>
      <c r="K258" t="s">
        <v>32</v>
      </c>
      <c r="L258" t="s">
        <v>47</v>
      </c>
      <c r="M258">
        <v>135</v>
      </c>
      <c r="N258">
        <v>180</v>
      </c>
      <c r="O258">
        <v>23085</v>
      </c>
      <c r="P258">
        <v>15525</v>
      </c>
      <c r="Q258">
        <v>7560</v>
      </c>
      <c r="R258">
        <v>0.05</v>
      </c>
      <c r="S258" t="s">
        <v>57</v>
      </c>
      <c r="T258">
        <v>976.62</v>
      </c>
    </row>
    <row r="259" spans="1:20" x14ac:dyDescent="0.25">
      <c r="A259">
        <v>100258</v>
      </c>
      <c r="B259" s="6">
        <v>45538</v>
      </c>
      <c r="C259">
        <v>2024</v>
      </c>
      <c r="D259" t="s">
        <v>39</v>
      </c>
      <c r="E259">
        <v>9</v>
      </c>
      <c r="F259" t="s">
        <v>40</v>
      </c>
      <c r="G259" t="s">
        <v>35</v>
      </c>
      <c r="H259" t="s">
        <v>23</v>
      </c>
      <c r="I259" t="s">
        <v>77</v>
      </c>
      <c r="J259" t="s">
        <v>31</v>
      </c>
      <c r="K259" t="s">
        <v>32</v>
      </c>
      <c r="L259" t="s">
        <v>47</v>
      </c>
      <c r="M259">
        <v>117</v>
      </c>
      <c r="N259">
        <v>180</v>
      </c>
      <c r="O259">
        <v>21060</v>
      </c>
      <c r="P259">
        <v>13455</v>
      </c>
      <c r="Q259">
        <v>7605</v>
      </c>
      <c r="R259">
        <v>0</v>
      </c>
      <c r="S259" t="s">
        <v>70</v>
      </c>
      <c r="T259">
        <v>1186.22</v>
      </c>
    </row>
    <row r="260" spans="1:20" x14ac:dyDescent="0.25">
      <c r="A260">
        <v>100259</v>
      </c>
      <c r="B260" s="6">
        <v>45651</v>
      </c>
      <c r="C260">
        <v>2024</v>
      </c>
      <c r="D260" t="s">
        <v>43</v>
      </c>
      <c r="E260">
        <v>12</v>
      </c>
      <c r="F260" t="s">
        <v>83</v>
      </c>
      <c r="G260" t="s">
        <v>35</v>
      </c>
      <c r="H260" t="s">
        <v>23</v>
      </c>
      <c r="I260" t="s">
        <v>80</v>
      </c>
      <c r="J260" t="s">
        <v>50</v>
      </c>
      <c r="K260" t="s">
        <v>32</v>
      </c>
      <c r="L260" t="s">
        <v>33</v>
      </c>
      <c r="M260">
        <v>95</v>
      </c>
      <c r="N260">
        <v>60</v>
      </c>
      <c r="O260">
        <v>5586</v>
      </c>
      <c r="P260">
        <v>3610</v>
      </c>
      <c r="Q260">
        <v>1976</v>
      </c>
      <c r="R260">
        <v>0.02</v>
      </c>
      <c r="S260" t="s">
        <v>57</v>
      </c>
      <c r="T260">
        <v>159.66999999999999</v>
      </c>
    </row>
    <row r="261" spans="1:20" x14ac:dyDescent="0.25">
      <c r="A261">
        <v>100260</v>
      </c>
      <c r="B261" s="6">
        <v>45832</v>
      </c>
      <c r="C261">
        <v>2025</v>
      </c>
      <c r="D261" t="s">
        <v>20</v>
      </c>
      <c r="E261">
        <v>6</v>
      </c>
      <c r="F261" t="s">
        <v>48</v>
      </c>
      <c r="G261" t="s">
        <v>29</v>
      </c>
      <c r="H261" t="s">
        <v>23</v>
      </c>
      <c r="I261" t="s">
        <v>49</v>
      </c>
      <c r="J261" t="s">
        <v>31</v>
      </c>
      <c r="K261" t="s">
        <v>26</v>
      </c>
      <c r="L261" t="s">
        <v>78</v>
      </c>
      <c r="M261">
        <v>79</v>
      </c>
      <c r="N261">
        <v>95</v>
      </c>
      <c r="O261">
        <v>7505</v>
      </c>
      <c r="P261">
        <v>4582</v>
      </c>
      <c r="Q261">
        <v>2923</v>
      </c>
      <c r="R261">
        <v>0</v>
      </c>
      <c r="S261" t="s">
        <v>38</v>
      </c>
      <c r="T261">
        <v>313.83</v>
      </c>
    </row>
    <row r="262" spans="1:20" x14ac:dyDescent="0.25">
      <c r="A262">
        <v>100261</v>
      </c>
      <c r="B262" s="6">
        <v>45176</v>
      </c>
      <c r="C262">
        <v>2023</v>
      </c>
      <c r="D262" t="s">
        <v>39</v>
      </c>
      <c r="E262">
        <v>9</v>
      </c>
      <c r="F262" t="s">
        <v>40</v>
      </c>
      <c r="G262" t="s">
        <v>22</v>
      </c>
      <c r="H262" t="s">
        <v>23</v>
      </c>
      <c r="I262" t="s">
        <v>71</v>
      </c>
      <c r="J262" t="s">
        <v>31</v>
      </c>
      <c r="K262" t="s">
        <v>51</v>
      </c>
      <c r="L262" t="s">
        <v>76</v>
      </c>
      <c r="M262">
        <v>16</v>
      </c>
      <c r="N262">
        <v>40</v>
      </c>
      <c r="O262">
        <v>640</v>
      </c>
      <c r="P262">
        <v>368</v>
      </c>
      <c r="Q262">
        <v>272</v>
      </c>
      <c r="R262">
        <v>0</v>
      </c>
      <c r="S262" t="s">
        <v>57</v>
      </c>
      <c r="T262">
        <v>17.93</v>
      </c>
    </row>
    <row r="263" spans="1:20" x14ac:dyDescent="0.25">
      <c r="A263">
        <v>100262</v>
      </c>
      <c r="B263" s="6">
        <v>45870</v>
      </c>
      <c r="C263">
        <v>2025</v>
      </c>
      <c r="D263" t="s">
        <v>39</v>
      </c>
      <c r="E263">
        <v>8</v>
      </c>
      <c r="F263" t="s">
        <v>58</v>
      </c>
      <c r="G263" t="s">
        <v>22</v>
      </c>
      <c r="H263" t="s">
        <v>23</v>
      </c>
      <c r="I263" t="s">
        <v>71</v>
      </c>
      <c r="J263" t="s">
        <v>68</v>
      </c>
      <c r="K263" t="s">
        <v>32</v>
      </c>
      <c r="L263" t="s">
        <v>47</v>
      </c>
      <c r="M263">
        <v>129</v>
      </c>
      <c r="N263">
        <v>180</v>
      </c>
      <c r="O263">
        <v>22755.599999999999</v>
      </c>
      <c r="P263">
        <v>14835</v>
      </c>
      <c r="Q263">
        <v>7920.6</v>
      </c>
      <c r="R263">
        <v>0.02</v>
      </c>
      <c r="S263" t="s">
        <v>28</v>
      </c>
      <c r="T263">
        <v>1256</v>
      </c>
    </row>
    <row r="264" spans="1:20" x14ac:dyDescent="0.25">
      <c r="A264">
        <v>100263</v>
      </c>
      <c r="B264" s="6">
        <v>45910</v>
      </c>
      <c r="C264">
        <v>2025</v>
      </c>
      <c r="D264" t="s">
        <v>39</v>
      </c>
      <c r="E264">
        <v>9</v>
      </c>
      <c r="F264" t="s">
        <v>40</v>
      </c>
      <c r="G264" t="s">
        <v>45</v>
      </c>
      <c r="H264" t="s">
        <v>23</v>
      </c>
      <c r="I264" t="s">
        <v>90</v>
      </c>
      <c r="J264" t="s">
        <v>42</v>
      </c>
      <c r="K264" t="s">
        <v>51</v>
      </c>
      <c r="L264" t="s">
        <v>92</v>
      </c>
      <c r="M264">
        <v>137</v>
      </c>
      <c r="N264">
        <v>50</v>
      </c>
      <c r="O264">
        <v>6165</v>
      </c>
      <c r="P264">
        <v>3973</v>
      </c>
      <c r="Q264">
        <v>2192</v>
      </c>
      <c r="R264">
        <v>0.1</v>
      </c>
      <c r="S264" t="s">
        <v>38</v>
      </c>
      <c r="T264">
        <v>154.53</v>
      </c>
    </row>
    <row r="265" spans="1:20" x14ac:dyDescent="0.25">
      <c r="A265">
        <v>100264</v>
      </c>
      <c r="B265" s="6">
        <v>45821</v>
      </c>
      <c r="C265">
        <v>2025</v>
      </c>
      <c r="D265" t="s">
        <v>20</v>
      </c>
      <c r="E265">
        <v>6</v>
      </c>
      <c r="F265" t="s">
        <v>48</v>
      </c>
      <c r="G265" t="s">
        <v>35</v>
      </c>
      <c r="H265" t="s">
        <v>23</v>
      </c>
      <c r="I265" t="s">
        <v>77</v>
      </c>
      <c r="J265" t="s">
        <v>68</v>
      </c>
      <c r="K265" t="s">
        <v>55</v>
      </c>
      <c r="L265" t="s">
        <v>89</v>
      </c>
      <c r="M265">
        <v>42</v>
      </c>
      <c r="N265">
        <v>280</v>
      </c>
      <c r="O265">
        <v>11407.2</v>
      </c>
      <c r="P265">
        <v>8610</v>
      </c>
      <c r="Q265">
        <v>2797.2</v>
      </c>
      <c r="R265">
        <v>0.03</v>
      </c>
      <c r="S265" t="s">
        <v>70</v>
      </c>
      <c r="T265">
        <v>243.11</v>
      </c>
    </row>
    <row r="266" spans="1:20" x14ac:dyDescent="0.25">
      <c r="A266">
        <v>100265</v>
      </c>
      <c r="B266" s="6">
        <v>44969</v>
      </c>
      <c r="C266">
        <v>2023</v>
      </c>
      <c r="D266" t="s">
        <v>63</v>
      </c>
      <c r="E266">
        <v>2</v>
      </c>
      <c r="F266" t="s">
        <v>81</v>
      </c>
      <c r="G266" t="s">
        <v>45</v>
      </c>
      <c r="H266" t="s">
        <v>23</v>
      </c>
      <c r="I266" t="s">
        <v>90</v>
      </c>
      <c r="J266" t="s">
        <v>42</v>
      </c>
      <c r="K266" t="s">
        <v>26</v>
      </c>
      <c r="L266" t="s">
        <v>27</v>
      </c>
      <c r="M266">
        <v>107</v>
      </c>
      <c r="N266">
        <v>110</v>
      </c>
      <c r="O266">
        <v>11770</v>
      </c>
      <c r="P266">
        <v>7276</v>
      </c>
      <c r="Q266">
        <v>4494</v>
      </c>
      <c r="R266">
        <v>0</v>
      </c>
      <c r="S266" t="s">
        <v>70</v>
      </c>
      <c r="T266">
        <v>473.23</v>
      </c>
    </row>
    <row r="267" spans="1:20" x14ac:dyDescent="0.25">
      <c r="A267">
        <v>100266</v>
      </c>
      <c r="B267" s="6">
        <v>44948</v>
      </c>
      <c r="C267">
        <v>2023</v>
      </c>
      <c r="D267" t="s">
        <v>63</v>
      </c>
      <c r="E267">
        <v>1</v>
      </c>
      <c r="F267" t="s">
        <v>79</v>
      </c>
      <c r="G267" t="s">
        <v>29</v>
      </c>
      <c r="H267" t="s">
        <v>23</v>
      </c>
      <c r="I267" t="s">
        <v>73</v>
      </c>
      <c r="J267" t="s">
        <v>50</v>
      </c>
      <c r="K267" t="s">
        <v>26</v>
      </c>
      <c r="L267" t="s">
        <v>78</v>
      </c>
      <c r="M267">
        <v>121</v>
      </c>
      <c r="N267">
        <v>95</v>
      </c>
      <c r="O267">
        <v>11150.15</v>
      </c>
      <c r="P267">
        <v>7018</v>
      </c>
      <c r="Q267">
        <v>4132.1499999999996</v>
      </c>
      <c r="R267">
        <v>0.03</v>
      </c>
      <c r="S267" t="s">
        <v>38</v>
      </c>
      <c r="T267">
        <v>626.76</v>
      </c>
    </row>
    <row r="268" spans="1:20" x14ac:dyDescent="0.25">
      <c r="A268">
        <v>100267</v>
      </c>
      <c r="B268" s="6">
        <v>45497</v>
      </c>
      <c r="C268">
        <v>2024</v>
      </c>
      <c r="D268" t="s">
        <v>39</v>
      </c>
      <c r="E268">
        <v>7</v>
      </c>
      <c r="F268" t="s">
        <v>75</v>
      </c>
      <c r="G268" t="s">
        <v>35</v>
      </c>
      <c r="H268" t="s">
        <v>23</v>
      </c>
      <c r="I268" t="s">
        <v>53</v>
      </c>
      <c r="J268" t="s">
        <v>50</v>
      </c>
      <c r="K268" t="s">
        <v>32</v>
      </c>
      <c r="L268" t="s">
        <v>74</v>
      </c>
      <c r="M268">
        <v>58</v>
      </c>
      <c r="N268">
        <v>25</v>
      </c>
      <c r="O268">
        <v>1421</v>
      </c>
      <c r="P268">
        <v>812</v>
      </c>
      <c r="Q268">
        <v>609</v>
      </c>
      <c r="R268">
        <v>0.02</v>
      </c>
      <c r="S268" t="s">
        <v>70</v>
      </c>
      <c r="T268">
        <v>41.53</v>
      </c>
    </row>
    <row r="269" spans="1:20" x14ac:dyDescent="0.25">
      <c r="A269">
        <v>100268</v>
      </c>
      <c r="B269" s="6">
        <v>46018</v>
      </c>
      <c r="C269">
        <v>2025</v>
      </c>
      <c r="D269" t="s">
        <v>43</v>
      </c>
      <c r="E269">
        <v>12</v>
      </c>
      <c r="F269" t="s">
        <v>83</v>
      </c>
      <c r="G269" t="s">
        <v>35</v>
      </c>
      <c r="H269" t="s">
        <v>23</v>
      </c>
      <c r="I269" t="s">
        <v>80</v>
      </c>
      <c r="J269" t="s">
        <v>25</v>
      </c>
      <c r="K269" t="s">
        <v>59</v>
      </c>
      <c r="L269" t="s">
        <v>91</v>
      </c>
      <c r="M269">
        <v>88</v>
      </c>
      <c r="N269">
        <v>140</v>
      </c>
      <c r="O269">
        <v>11334.4</v>
      </c>
      <c r="P269">
        <v>7216</v>
      </c>
      <c r="Q269">
        <v>4118.3999999999996</v>
      </c>
      <c r="R269">
        <v>0.08</v>
      </c>
      <c r="S269" t="s">
        <v>28</v>
      </c>
      <c r="T269">
        <v>712.73</v>
      </c>
    </row>
    <row r="270" spans="1:20" x14ac:dyDescent="0.25">
      <c r="A270">
        <v>100269</v>
      </c>
      <c r="B270" s="6">
        <v>45606</v>
      </c>
      <c r="C270">
        <v>2024</v>
      </c>
      <c r="D270" t="s">
        <v>43</v>
      </c>
      <c r="E270">
        <v>11</v>
      </c>
      <c r="F270" t="s">
        <v>87</v>
      </c>
      <c r="G270" t="s">
        <v>35</v>
      </c>
      <c r="H270" t="s">
        <v>23</v>
      </c>
      <c r="I270" t="s">
        <v>80</v>
      </c>
      <c r="J270" t="s">
        <v>31</v>
      </c>
      <c r="K270" t="s">
        <v>26</v>
      </c>
      <c r="L270" t="s">
        <v>69</v>
      </c>
      <c r="M270">
        <v>75</v>
      </c>
      <c r="N270">
        <v>130</v>
      </c>
      <c r="O270">
        <v>9750</v>
      </c>
      <c r="P270">
        <v>5700</v>
      </c>
      <c r="Q270">
        <v>4050</v>
      </c>
      <c r="R270">
        <v>0</v>
      </c>
      <c r="S270" t="s">
        <v>38</v>
      </c>
      <c r="T270">
        <v>395.03</v>
      </c>
    </row>
    <row r="271" spans="1:20" x14ac:dyDescent="0.25">
      <c r="A271">
        <v>100270</v>
      </c>
      <c r="B271" s="6">
        <v>45938</v>
      </c>
      <c r="C271">
        <v>2025</v>
      </c>
      <c r="D271" t="s">
        <v>43</v>
      </c>
      <c r="E271">
        <v>10</v>
      </c>
      <c r="F271" t="s">
        <v>44</v>
      </c>
      <c r="G271" t="s">
        <v>22</v>
      </c>
      <c r="H271" t="s">
        <v>23</v>
      </c>
      <c r="I271" t="s">
        <v>41</v>
      </c>
      <c r="J271" t="s">
        <v>61</v>
      </c>
      <c r="K271" t="s">
        <v>51</v>
      </c>
      <c r="L271" t="s">
        <v>52</v>
      </c>
      <c r="M271">
        <v>98</v>
      </c>
      <c r="N271">
        <v>75</v>
      </c>
      <c r="O271">
        <v>7129.5</v>
      </c>
      <c r="P271">
        <v>4312</v>
      </c>
      <c r="Q271">
        <v>2817.5</v>
      </c>
      <c r="R271">
        <v>0.03</v>
      </c>
      <c r="S271" t="s">
        <v>28</v>
      </c>
      <c r="T271">
        <v>143.57</v>
      </c>
    </row>
    <row r="272" spans="1:20" x14ac:dyDescent="0.25">
      <c r="A272">
        <v>100271</v>
      </c>
      <c r="B272" s="6">
        <v>45430</v>
      </c>
      <c r="C272">
        <v>2024</v>
      </c>
      <c r="D272" t="s">
        <v>20</v>
      </c>
      <c r="E272">
        <v>5</v>
      </c>
      <c r="F272" t="s">
        <v>21</v>
      </c>
      <c r="G272" t="s">
        <v>29</v>
      </c>
      <c r="H272" t="s">
        <v>23</v>
      </c>
      <c r="I272" t="s">
        <v>85</v>
      </c>
      <c r="J272" t="s">
        <v>54</v>
      </c>
      <c r="K272" t="s">
        <v>32</v>
      </c>
      <c r="L272" t="s">
        <v>47</v>
      </c>
      <c r="M272">
        <v>50</v>
      </c>
      <c r="N272">
        <v>180</v>
      </c>
      <c r="O272">
        <v>8550</v>
      </c>
      <c r="P272">
        <v>5750</v>
      </c>
      <c r="Q272">
        <v>2800</v>
      </c>
      <c r="R272">
        <v>0.05</v>
      </c>
      <c r="S272" t="s">
        <v>70</v>
      </c>
      <c r="T272">
        <v>426.66</v>
      </c>
    </row>
    <row r="273" spans="1:20" x14ac:dyDescent="0.25">
      <c r="A273">
        <v>100272</v>
      </c>
      <c r="B273" s="6">
        <v>45164</v>
      </c>
      <c r="C273">
        <v>2023</v>
      </c>
      <c r="D273" t="s">
        <v>39</v>
      </c>
      <c r="E273">
        <v>8</v>
      </c>
      <c r="F273" t="s">
        <v>58</v>
      </c>
      <c r="G273" t="s">
        <v>29</v>
      </c>
      <c r="H273" t="s">
        <v>23</v>
      </c>
      <c r="I273" t="s">
        <v>85</v>
      </c>
      <c r="J273" t="s">
        <v>61</v>
      </c>
      <c r="K273" t="s">
        <v>32</v>
      </c>
      <c r="L273" t="s">
        <v>47</v>
      </c>
      <c r="M273">
        <v>21</v>
      </c>
      <c r="N273">
        <v>180</v>
      </c>
      <c r="O273">
        <v>3780</v>
      </c>
      <c r="P273">
        <v>2415</v>
      </c>
      <c r="Q273">
        <v>1365</v>
      </c>
      <c r="R273">
        <v>0</v>
      </c>
      <c r="S273" t="s">
        <v>28</v>
      </c>
      <c r="T273">
        <v>184.24</v>
      </c>
    </row>
    <row r="274" spans="1:20" x14ac:dyDescent="0.25">
      <c r="A274">
        <v>100273</v>
      </c>
      <c r="B274" s="6">
        <v>44966</v>
      </c>
      <c r="C274">
        <v>2023</v>
      </c>
      <c r="D274" t="s">
        <v>63</v>
      </c>
      <c r="E274">
        <v>2</v>
      </c>
      <c r="F274" t="s">
        <v>81</v>
      </c>
      <c r="G274" t="s">
        <v>35</v>
      </c>
      <c r="H274" t="s">
        <v>23</v>
      </c>
      <c r="I274" t="s">
        <v>77</v>
      </c>
      <c r="J274" t="s">
        <v>25</v>
      </c>
      <c r="K274" t="s">
        <v>59</v>
      </c>
      <c r="L274" t="s">
        <v>67</v>
      </c>
      <c r="M274">
        <v>17</v>
      </c>
      <c r="N274">
        <v>95</v>
      </c>
      <c r="O274">
        <v>1485.8</v>
      </c>
      <c r="P274">
        <v>952</v>
      </c>
      <c r="Q274">
        <v>533.79999999999995</v>
      </c>
      <c r="R274">
        <v>0.08</v>
      </c>
      <c r="S274" t="s">
        <v>38</v>
      </c>
      <c r="T274">
        <v>75.760000000000005</v>
      </c>
    </row>
    <row r="275" spans="1:20" x14ac:dyDescent="0.25">
      <c r="A275">
        <v>100274</v>
      </c>
      <c r="B275" s="6">
        <v>45916</v>
      </c>
      <c r="C275">
        <v>2025</v>
      </c>
      <c r="D275" t="s">
        <v>39</v>
      </c>
      <c r="E275">
        <v>9</v>
      </c>
      <c r="F275" t="s">
        <v>40</v>
      </c>
      <c r="G275" t="s">
        <v>35</v>
      </c>
      <c r="H275" t="s">
        <v>23</v>
      </c>
      <c r="I275" t="s">
        <v>36</v>
      </c>
      <c r="J275" t="s">
        <v>31</v>
      </c>
      <c r="K275" t="s">
        <v>32</v>
      </c>
      <c r="L275" t="s">
        <v>47</v>
      </c>
      <c r="M275">
        <v>146</v>
      </c>
      <c r="N275">
        <v>180</v>
      </c>
      <c r="O275">
        <v>24177.599999999999</v>
      </c>
      <c r="P275">
        <v>16790</v>
      </c>
      <c r="Q275">
        <v>7387.6</v>
      </c>
      <c r="R275">
        <v>0.08</v>
      </c>
      <c r="S275" t="s">
        <v>28</v>
      </c>
      <c r="T275">
        <v>1034.47</v>
      </c>
    </row>
    <row r="276" spans="1:20" x14ac:dyDescent="0.25">
      <c r="A276">
        <v>100275</v>
      </c>
      <c r="B276" s="6">
        <v>45939</v>
      </c>
      <c r="C276">
        <v>2025</v>
      </c>
      <c r="D276" t="s">
        <v>43</v>
      </c>
      <c r="E276">
        <v>10</v>
      </c>
      <c r="F276" t="s">
        <v>44</v>
      </c>
      <c r="G276" t="s">
        <v>45</v>
      </c>
      <c r="H276" t="s">
        <v>23</v>
      </c>
      <c r="I276" t="s">
        <v>88</v>
      </c>
      <c r="J276" t="s">
        <v>31</v>
      </c>
      <c r="K276" t="s">
        <v>59</v>
      </c>
      <c r="L276" t="s">
        <v>91</v>
      </c>
      <c r="M276">
        <v>111</v>
      </c>
      <c r="N276">
        <v>140</v>
      </c>
      <c r="O276">
        <v>13986</v>
      </c>
      <c r="P276">
        <v>9102</v>
      </c>
      <c r="Q276">
        <v>4884</v>
      </c>
      <c r="R276">
        <v>0.1</v>
      </c>
      <c r="S276" t="s">
        <v>38</v>
      </c>
      <c r="T276">
        <v>714.51</v>
      </c>
    </row>
    <row r="277" spans="1:20" x14ac:dyDescent="0.25">
      <c r="A277">
        <v>100276</v>
      </c>
      <c r="B277" s="6">
        <v>45057</v>
      </c>
      <c r="C277">
        <v>2023</v>
      </c>
      <c r="D277" t="s">
        <v>20</v>
      </c>
      <c r="E277">
        <v>5</v>
      </c>
      <c r="F277" t="s">
        <v>21</v>
      </c>
      <c r="G277" t="s">
        <v>45</v>
      </c>
      <c r="H277" t="s">
        <v>23</v>
      </c>
      <c r="I277" t="s">
        <v>62</v>
      </c>
      <c r="J277" t="s">
        <v>50</v>
      </c>
      <c r="K277" t="s">
        <v>26</v>
      </c>
      <c r="L277" t="s">
        <v>78</v>
      </c>
      <c r="M277">
        <v>135</v>
      </c>
      <c r="N277">
        <v>95</v>
      </c>
      <c r="O277">
        <v>12440.25</v>
      </c>
      <c r="P277">
        <v>7830</v>
      </c>
      <c r="Q277">
        <v>4610.25</v>
      </c>
      <c r="R277">
        <v>0.03</v>
      </c>
      <c r="S277" t="s">
        <v>28</v>
      </c>
      <c r="T277">
        <v>852.66</v>
      </c>
    </row>
    <row r="278" spans="1:20" x14ac:dyDescent="0.25">
      <c r="A278">
        <v>100277</v>
      </c>
      <c r="B278" s="6">
        <v>45572</v>
      </c>
      <c r="C278">
        <v>2024</v>
      </c>
      <c r="D278" t="s">
        <v>43</v>
      </c>
      <c r="E278">
        <v>10</v>
      </c>
      <c r="F278" t="s">
        <v>44</v>
      </c>
      <c r="G278" t="s">
        <v>22</v>
      </c>
      <c r="H278" t="s">
        <v>23</v>
      </c>
      <c r="I278" t="s">
        <v>65</v>
      </c>
      <c r="J278" t="s">
        <v>68</v>
      </c>
      <c r="K278" t="s">
        <v>51</v>
      </c>
      <c r="L278" t="s">
        <v>52</v>
      </c>
      <c r="M278">
        <v>117</v>
      </c>
      <c r="N278">
        <v>75</v>
      </c>
      <c r="O278">
        <v>8511.75</v>
      </c>
      <c r="P278">
        <v>5148</v>
      </c>
      <c r="Q278">
        <v>3363.75</v>
      </c>
      <c r="R278">
        <v>0.03</v>
      </c>
      <c r="S278" t="s">
        <v>57</v>
      </c>
      <c r="T278">
        <v>295.18</v>
      </c>
    </row>
    <row r="279" spans="1:20" x14ac:dyDescent="0.25">
      <c r="A279">
        <v>100278</v>
      </c>
      <c r="B279" s="6">
        <v>45514</v>
      </c>
      <c r="C279">
        <v>2024</v>
      </c>
      <c r="D279" t="s">
        <v>39</v>
      </c>
      <c r="E279">
        <v>8</v>
      </c>
      <c r="F279" t="s">
        <v>58</v>
      </c>
      <c r="G279" t="s">
        <v>29</v>
      </c>
      <c r="H279" t="s">
        <v>23</v>
      </c>
      <c r="I279" t="s">
        <v>85</v>
      </c>
      <c r="J279" t="s">
        <v>68</v>
      </c>
      <c r="K279" t="s">
        <v>32</v>
      </c>
      <c r="L279" t="s">
        <v>37</v>
      </c>
      <c r="M279">
        <v>43</v>
      </c>
      <c r="N279">
        <v>120</v>
      </c>
      <c r="O279">
        <v>5056.8</v>
      </c>
      <c r="P279">
        <v>3354</v>
      </c>
      <c r="Q279">
        <v>1702.8</v>
      </c>
      <c r="R279">
        <v>0.02</v>
      </c>
      <c r="S279" t="s">
        <v>70</v>
      </c>
      <c r="T279">
        <v>201.11</v>
      </c>
    </row>
    <row r="280" spans="1:20" x14ac:dyDescent="0.25">
      <c r="A280">
        <v>100279</v>
      </c>
      <c r="B280" s="6">
        <v>45205</v>
      </c>
      <c r="C280">
        <v>2023</v>
      </c>
      <c r="D280" t="s">
        <v>43</v>
      </c>
      <c r="E280">
        <v>10</v>
      </c>
      <c r="F280" t="s">
        <v>44</v>
      </c>
      <c r="G280" t="s">
        <v>29</v>
      </c>
      <c r="H280" t="s">
        <v>23</v>
      </c>
      <c r="I280" t="s">
        <v>49</v>
      </c>
      <c r="J280" t="s">
        <v>25</v>
      </c>
      <c r="K280" t="s">
        <v>51</v>
      </c>
      <c r="L280" t="s">
        <v>92</v>
      </c>
      <c r="M280">
        <v>117</v>
      </c>
      <c r="N280">
        <v>50</v>
      </c>
      <c r="O280">
        <v>5674.5</v>
      </c>
      <c r="P280">
        <v>3393</v>
      </c>
      <c r="Q280">
        <v>2281.5</v>
      </c>
      <c r="R280">
        <v>0.03</v>
      </c>
      <c r="S280" t="s">
        <v>38</v>
      </c>
      <c r="T280">
        <v>390.69</v>
      </c>
    </row>
    <row r="281" spans="1:20" x14ac:dyDescent="0.25">
      <c r="A281">
        <v>100280</v>
      </c>
      <c r="B281" s="6">
        <v>45819</v>
      </c>
      <c r="C281">
        <v>2025</v>
      </c>
      <c r="D281" t="s">
        <v>20</v>
      </c>
      <c r="E281">
        <v>6</v>
      </c>
      <c r="F281" t="s">
        <v>48</v>
      </c>
      <c r="G281" t="s">
        <v>29</v>
      </c>
      <c r="H281" t="s">
        <v>23</v>
      </c>
      <c r="I281" t="s">
        <v>85</v>
      </c>
      <c r="J281" t="s">
        <v>50</v>
      </c>
      <c r="K281" t="s">
        <v>51</v>
      </c>
      <c r="L281" t="s">
        <v>72</v>
      </c>
      <c r="M281">
        <v>56</v>
      </c>
      <c r="N281">
        <v>90</v>
      </c>
      <c r="O281">
        <v>5040</v>
      </c>
      <c r="P281">
        <v>2912</v>
      </c>
      <c r="Q281">
        <v>2128</v>
      </c>
      <c r="R281">
        <v>0</v>
      </c>
      <c r="S281" t="s">
        <v>28</v>
      </c>
      <c r="T281">
        <v>312.81</v>
      </c>
    </row>
    <row r="282" spans="1:20" x14ac:dyDescent="0.25">
      <c r="A282">
        <v>100281</v>
      </c>
      <c r="B282" s="6">
        <v>45781</v>
      </c>
      <c r="C282">
        <v>2025</v>
      </c>
      <c r="D282" t="s">
        <v>20</v>
      </c>
      <c r="E282">
        <v>5</v>
      </c>
      <c r="F282" t="s">
        <v>21</v>
      </c>
      <c r="G282" t="s">
        <v>29</v>
      </c>
      <c r="H282" t="s">
        <v>23</v>
      </c>
      <c r="I282" t="s">
        <v>30</v>
      </c>
      <c r="J282" t="s">
        <v>25</v>
      </c>
      <c r="K282" t="s">
        <v>51</v>
      </c>
      <c r="L282" t="s">
        <v>76</v>
      </c>
      <c r="M282">
        <v>56</v>
      </c>
      <c r="N282">
        <v>40</v>
      </c>
      <c r="O282">
        <v>2195.1999999999998</v>
      </c>
      <c r="P282">
        <v>1288</v>
      </c>
      <c r="Q282">
        <v>907.2</v>
      </c>
      <c r="R282">
        <v>0.02</v>
      </c>
      <c r="S282" t="s">
        <v>57</v>
      </c>
      <c r="T282">
        <v>58.6</v>
      </c>
    </row>
    <row r="283" spans="1:20" x14ac:dyDescent="0.25">
      <c r="A283">
        <v>100282</v>
      </c>
      <c r="B283" s="6">
        <v>45875</v>
      </c>
      <c r="C283">
        <v>2025</v>
      </c>
      <c r="D283" t="s">
        <v>39</v>
      </c>
      <c r="E283">
        <v>8</v>
      </c>
      <c r="F283" t="s">
        <v>58</v>
      </c>
      <c r="G283" t="s">
        <v>35</v>
      </c>
      <c r="H283" t="s">
        <v>23</v>
      </c>
      <c r="I283" t="s">
        <v>80</v>
      </c>
      <c r="J283" t="s">
        <v>54</v>
      </c>
      <c r="K283" t="s">
        <v>55</v>
      </c>
      <c r="L283" t="s">
        <v>56</v>
      </c>
      <c r="M283">
        <v>48</v>
      </c>
      <c r="N283">
        <v>320</v>
      </c>
      <c r="O283">
        <v>14131.2</v>
      </c>
      <c r="P283">
        <v>11280</v>
      </c>
      <c r="Q283">
        <v>2851.2</v>
      </c>
      <c r="R283">
        <v>0.08</v>
      </c>
      <c r="S283" t="s">
        <v>38</v>
      </c>
      <c r="T283">
        <v>257.89999999999998</v>
      </c>
    </row>
    <row r="284" spans="1:20" x14ac:dyDescent="0.25">
      <c r="A284">
        <v>100283</v>
      </c>
      <c r="B284" s="6">
        <v>45572</v>
      </c>
      <c r="C284">
        <v>2024</v>
      </c>
      <c r="D284" t="s">
        <v>43</v>
      </c>
      <c r="E284">
        <v>10</v>
      </c>
      <c r="F284" t="s">
        <v>44</v>
      </c>
      <c r="G284" t="s">
        <v>22</v>
      </c>
      <c r="H284" t="s">
        <v>23</v>
      </c>
      <c r="I284" t="s">
        <v>24</v>
      </c>
      <c r="J284" t="s">
        <v>50</v>
      </c>
      <c r="K284" t="s">
        <v>59</v>
      </c>
      <c r="L284" t="s">
        <v>67</v>
      </c>
      <c r="M284">
        <v>107</v>
      </c>
      <c r="N284">
        <v>95</v>
      </c>
      <c r="O284">
        <v>9860.0499999999993</v>
      </c>
      <c r="P284">
        <v>5992</v>
      </c>
      <c r="Q284">
        <v>3868.05</v>
      </c>
      <c r="R284">
        <v>0.03</v>
      </c>
      <c r="S284" t="s">
        <v>38</v>
      </c>
      <c r="T284">
        <v>397.55</v>
      </c>
    </row>
    <row r="285" spans="1:20" x14ac:dyDescent="0.25">
      <c r="A285">
        <v>100284</v>
      </c>
      <c r="B285" s="6">
        <v>45628</v>
      </c>
      <c r="C285">
        <v>2024</v>
      </c>
      <c r="D285" t="s">
        <v>43</v>
      </c>
      <c r="E285">
        <v>12</v>
      </c>
      <c r="F285" t="s">
        <v>83</v>
      </c>
      <c r="G285" t="s">
        <v>22</v>
      </c>
      <c r="H285" t="s">
        <v>23</v>
      </c>
      <c r="I285" t="s">
        <v>24</v>
      </c>
      <c r="J285" t="s">
        <v>66</v>
      </c>
      <c r="K285" t="s">
        <v>55</v>
      </c>
      <c r="L285" t="s">
        <v>84</v>
      </c>
      <c r="M285">
        <v>93</v>
      </c>
      <c r="N285">
        <v>55</v>
      </c>
      <c r="O285">
        <v>5115</v>
      </c>
      <c r="P285">
        <v>3441</v>
      </c>
      <c r="Q285">
        <v>1674</v>
      </c>
      <c r="R285">
        <v>0</v>
      </c>
      <c r="S285" t="s">
        <v>28</v>
      </c>
      <c r="T285">
        <v>195.29</v>
      </c>
    </row>
    <row r="286" spans="1:20" x14ac:dyDescent="0.25">
      <c r="A286">
        <v>100285</v>
      </c>
      <c r="B286" s="6">
        <v>45588</v>
      </c>
      <c r="C286">
        <v>2024</v>
      </c>
      <c r="D286" t="s">
        <v>43</v>
      </c>
      <c r="E286">
        <v>10</v>
      </c>
      <c r="F286" t="s">
        <v>44</v>
      </c>
      <c r="G286" t="s">
        <v>29</v>
      </c>
      <c r="H286" t="s">
        <v>23</v>
      </c>
      <c r="I286" t="s">
        <v>73</v>
      </c>
      <c r="J286" t="s">
        <v>50</v>
      </c>
      <c r="K286" t="s">
        <v>51</v>
      </c>
      <c r="L286" t="s">
        <v>52</v>
      </c>
      <c r="M286">
        <v>140</v>
      </c>
      <c r="N286">
        <v>75</v>
      </c>
      <c r="O286">
        <v>9975</v>
      </c>
      <c r="P286">
        <v>6160</v>
      </c>
      <c r="Q286">
        <v>3815</v>
      </c>
      <c r="R286">
        <v>0.05</v>
      </c>
      <c r="S286" t="s">
        <v>28</v>
      </c>
      <c r="T286">
        <v>591.22</v>
      </c>
    </row>
    <row r="287" spans="1:20" x14ac:dyDescent="0.25">
      <c r="A287">
        <v>100286</v>
      </c>
      <c r="B287" s="6">
        <v>46013</v>
      </c>
      <c r="C287">
        <v>2025</v>
      </c>
      <c r="D287" t="s">
        <v>43</v>
      </c>
      <c r="E287">
        <v>12</v>
      </c>
      <c r="F287" t="s">
        <v>83</v>
      </c>
      <c r="G287" t="s">
        <v>45</v>
      </c>
      <c r="H287" t="s">
        <v>23</v>
      </c>
      <c r="I287" t="s">
        <v>90</v>
      </c>
      <c r="J287" t="s">
        <v>66</v>
      </c>
      <c r="K287" t="s">
        <v>59</v>
      </c>
      <c r="L287" t="s">
        <v>60</v>
      </c>
      <c r="M287">
        <v>28</v>
      </c>
      <c r="N287">
        <v>45</v>
      </c>
      <c r="O287">
        <v>1159.2</v>
      </c>
      <c r="P287">
        <v>756</v>
      </c>
      <c r="Q287">
        <v>403.2</v>
      </c>
      <c r="R287">
        <v>0.08</v>
      </c>
      <c r="S287" t="s">
        <v>38</v>
      </c>
      <c r="T287">
        <v>24.57</v>
      </c>
    </row>
    <row r="288" spans="1:20" x14ac:dyDescent="0.25">
      <c r="A288">
        <v>100287</v>
      </c>
      <c r="B288" s="6">
        <v>45602</v>
      </c>
      <c r="C288">
        <v>2024</v>
      </c>
      <c r="D288" t="s">
        <v>43</v>
      </c>
      <c r="E288">
        <v>11</v>
      </c>
      <c r="F288" t="s">
        <v>87</v>
      </c>
      <c r="G288" t="s">
        <v>29</v>
      </c>
      <c r="H288" t="s">
        <v>23</v>
      </c>
      <c r="I288" t="s">
        <v>73</v>
      </c>
      <c r="J288" t="s">
        <v>61</v>
      </c>
      <c r="K288" t="s">
        <v>51</v>
      </c>
      <c r="L288" t="s">
        <v>72</v>
      </c>
      <c r="M288">
        <v>129</v>
      </c>
      <c r="N288">
        <v>90</v>
      </c>
      <c r="O288">
        <v>11377.8</v>
      </c>
      <c r="P288">
        <v>6708</v>
      </c>
      <c r="Q288">
        <v>4669.8</v>
      </c>
      <c r="R288">
        <v>0.02</v>
      </c>
      <c r="S288" t="s">
        <v>38</v>
      </c>
      <c r="T288">
        <v>686.64</v>
      </c>
    </row>
    <row r="289" spans="1:20" x14ac:dyDescent="0.25">
      <c r="A289">
        <v>100288</v>
      </c>
      <c r="B289" s="6">
        <v>45260</v>
      </c>
      <c r="C289">
        <v>2023</v>
      </c>
      <c r="D289" t="s">
        <v>43</v>
      </c>
      <c r="E289">
        <v>11</v>
      </c>
      <c r="F289" t="s">
        <v>87</v>
      </c>
      <c r="G289" t="s">
        <v>35</v>
      </c>
      <c r="H289" t="s">
        <v>23</v>
      </c>
      <c r="I289" t="s">
        <v>77</v>
      </c>
      <c r="J289" t="s">
        <v>66</v>
      </c>
      <c r="K289" t="s">
        <v>32</v>
      </c>
      <c r="L289" t="s">
        <v>47</v>
      </c>
      <c r="M289">
        <v>17</v>
      </c>
      <c r="N289">
        <v>180</v>
      </c>
      <c r="O289">
        <v>2815.2</v>
      </c>
      <c r="P289">
        <v>1955</v>
      </c>
      <c r="Q289">
        <v>860.2</v>
      </c>
      <c r="R289">
        <v>0.08</v>
      </c>
      <c r="S289" t="s">
        <v>28</v>
      </c>
      <c r="T289">
        <v>93.39</v>
      </c>
    </row>
    <row r="290" spans="1:20" x14ac:dyDescent="0.25">
      <c r="A290">
        <v>100289</v>
      </c>
      <c r="B290" s="6">
        <v>45621</v>
      </c>
      <c r="C290">
        <v>2024</v>
      </c>
      <c r="D290" t="s">
        <v>43</v>
      </c>
      <c r="E290">
        <v>11</v>
      </c>
      <c r="F290" t="s">
        <v>87</v>
      </c>
      <c r="G290" t="s">
        <v>29</v>
      </c>
      <c r="H290" t="s">
        <v>23</v>
      </c>
      <c r="I290" t="s">
        <v>73</v>
      </c>
      <c r="J290" t="s">
        <v>68</v>
      </c>
      <c r="K290" t="s">
        <v>26</v>
      </c>
      <c r="L290" t="s">
        <v>82</v>
      </c>
      <c r="M290">
        <v>21</v>
      </c>
      <c r="N290">
        <v>105</v>
      </c>
      <c r="O290">
        <v>2094.75</v>
      </c>
      <c r="P290">
        <v>1281</v>
      </c>
      <c r="Q290">
        <v>813.75</v>
      </c>
      <c r="R290">
        <v>0.05</v>
      </c>
      <c r="S290" t="s">
        <v>70</v>
      </c>
      <c r="T290">
        <v>146.11000000000001</v>
      </c>
    </row>
    <row r="291" spans="1:20" x14ac:dyDescent="0.25">
      <c r="A291">
        <v>100290</v>
      </c>
      <c r="B291" s="6">
        <v>45587</v>
      </c>
      <c r="C291">
        <v>2024</v>
      </c>
      <c r="D291" t="s">
        <v>43</v>
      </c>
      <c r="E291">
        <v>10</v>
      </c>
      <c r="F291" t="s">
        <v>44</v>
      </c>
      <c r="G291" t="s">
        <v>45</v>
      </c>
      <c r="H291" t="s">
        <v>23</v>
      </c>
      <c r="I291" t="s">
        <v>62</v>
      </c>
      <c r="J291" t="s">
        <v>31</v>
      </c>
      <c r="K291" t="s">
        <v>26</v>
      </c>
      <c r="L291" t="s">
        <v>69</v>
      </c>
      <c r="M291">
        <v>146</v>
      </c>
      <c r="N291">
        <v>130</v>
      </c>
      <c r="O291">
        <v>18031</v>
      </c>
      <c r="P291">
        <v>11096</v>
      </c>
      <c r="Q291">
        <v>6935</v>
      </c>
      <c r="R291">
        <v>0.05</v>
      </c>
      <c r="S291" t="s">
        <v>28</v>
      </c>
      <c r="T291">
        <v>1092.8699999999999</v>
      </c>
    </row>
    <row r="292" spans="1:20" x14ac:dyDescent="0.25">
      <c r="A292">
        <v>100291</v>
      </c>
      <c r="B292" s="6">
        <v>45958</v>
      </c>
      <c r="C292">
        <v>2025</v>
      </c>
      <c r="D292" t="s">
        <v>43</v>
      </c>
      <c r="E292">
        <v>10</v>
      </c>
      <c r="F292" t="s">
        <v>44</v>
      </c>
      <c r="G292" t="s">
        <v>45</v>
      </c>
      <c r="H292" t="s">
        <v>23</v>
      </c>
      <c r="I292" t="s">
        <v>90</v>
      </c>
      <c r="J292" t="s">
        <v>25</v>
      </c>
      <c r="K292" t="s">
        <v>51</v>
      </c>
      <c r="L292" t="s">
        <v>72</v>
      </c>
      <c r="M292">
        <v>85</v>
      </c>
      <c r="N292">
        <v>90</v>
      </c>
      <c r="O292">
        <v>7420.5</v>
      </c>
      <c r="P292">
        <v>4420</v>
      </c>
      <c r="Q292">
        <v>3000.5</v>
      </c>
      <c r="R292">
        <v>0.03</v>
      </c>
      <c r="S292" t="s">
        <v>28</v>
      </c>
      <c r="T292">
        <v>167.43</v>
      </c>
    </row>
    <row r="293" spans="1:20" x14ac:dyDescent="0.25">
      <c r="A293">
        <v>100292</v>
      </c>
      <c r="B293" s="6">
        <v>45531</v>
      </c>
      <c r="C293">
        <v>2024</v>
      </c>
      <c r="D293" t="s">
        <v>39</v>
      </c>
      <c r="E293">
        <v>8</v>
      </c>
      <c r="F293" t="s">
        <v>58</v>
      </c>
      <c r="G293" t="s">
        <v>35</v>
      </c>
      <c r="H293" t="s">
        <v>23</v>
      </c>
      <c r="I293" t="s">
        <v>80</v>
      </c>
      <c r="J293" t="s">
        <v>54</v>
      </c>
      <c r="K293" t="s">
        <v>55</v>
      </c>
      <c r="L293" t="s">
        <v>84</v>
      </c>
      <c r="M293">
        <v>29</v>
      </c>
      <c r="N293">
        <v>55</v>
      </c>
      <c r="O293">
        <v>1515.25</v>
      </c>
      <c r="P293">
        <v>1073</v>
      </c>
      <c r="Q293">
        <v>442.25</v>
      </c>
      <c r="R293">
        <v>0.05</v>
      </c>
      <c r="S293" t="s">
        <v>70</v>
      </c>
      <c r="T293">
        <v>76.03</v>
      </c>
    </row>
    <row r="294" spans="1:20" x14ac:dyDescent="0.25">
      <c r="A294">
        <v>100293</v>
      </c>
      <c r="B294" s="6">
        <v>45466</v>
      </c>
      <c r="C294">
        <v>2024</v>
      </c>
      <c r="D294" t="s">
        <v>20</v>
      </c>
      <c r="E294">
        <v>6</v>
      </c>
      <c r="F294" t="s">
        <v>48</v>
      </c>
      <c r="G294" t="s">
        <v>29</v>
      </c>
      <c r="H294" t="s">
        <v>23</v>
      </c>
      <c r="I294" t="s">
        <v>85</v>
      </c>
      <c r="J294" t="s">
        <v>25</v>
      </c>
      <c r="K294" t="s">
        <v>26</v>
      </c>
      <c r="L294" t="s">
        <v>69</v>
      </c>
      <c r="M294">
        <v>95</v>
      </c>
      <c r="N294">
        <v>130</v>
      </c>
      <c r="O294">
        <v>12103</v>
      </c>
      <c r="P294">
        <v>7220</v>
      </c>
      <c r="Q294">
        <v>4883</v>
      </c>
      <c r="R294">
        <v>0.02</v>
      </c>
      <c r="S294" t="s">
        <v>57</v>
      </c>
      <c r="T294">
        <v>362.32</v>
      </c>
    </row>
    <row r="295" spans="1:20" x14ac:dyDescent="0.25">
      <c r="A295">
        <v>100294</v>
      </c>
      <c r="B295" s="6">
        <v>45140</v>
      </c>
      <c r="C295">
        <v>2023</v>
      </c>
      <c r="D295" t="s">
        <v>39</v>
      </c>
      <c r="E295">
        <v>8</v>
      </c>
      <c r="F295" t="s">
        <v>58</v>
      </c>
      <c r="G295" t="s">
        <v>45</v>
      </c>
      <c r="H295" t="s">
        <v>23</v>
      </c>
      <c r="I295" t="s">
        <v>88</v>
      </c>
      <c r="J295" t="s">
        <v>50</v>
      </c>
      <c r="K295" t="s">
        <v>51</v>
      </c>
      <c r="L295" t="s">
        <v>72</v>
      </c>
      <c r="M295">
        <v>15</v>
      </c>
      <c r="N295">
        <v>90</v>
      </c>
      <c r="O295">
        <v>1350</v>
      </c>
      <c r="P295">
        <v>780</v>
      </c>
      <c r="Q295">
        <v>570</v>
      </c>
      <c r="R295">
        <v>0</v>
      </c>
      <c r="S295" t="s">
        <v>70</v>
      </c>
      <c r="T295">
        <v>30.65</v>
      </c>
    </row>
    <row r="296" spans="1:20" x14ac:dyDescent="0.25">
      <c r="A296">
        <v>100295</v>
      </c>
      <c r="B296" s="6">
        <v>45367</v>
      </c>
      <c r="C296">
        <v>2024</v>
      </c>
      <c r="D296" t="s">
        <v>63</v>
      </c>
      <c r="E296">
        <v>3</v>
      </c>
      <c r="F296" t="s">
        <v>64</v>
      </c>
      <c r="G296" t="s">
        <v>45</v>
      </c>
      <c r="H296" t="s">
        <v>23</v>
      </c>
      <c r="I296" t="s">
        <v>46</v>
      </c>
      <c r="J296" t="s">
        <v>42</v>
      </c>
      <c r="K296" t="s">
        <v>59</v>
      </c>
      <c r="L296" t="s">
        <v>91</v>
      </c>
      <c r="M296">
        <v>44</v>
      </c>
      <c r="N296">
        <v>140</v>
      </c>
      <c r="O296">
        <v>5975.2</v>
      </c>
      <c r="P296">
        <v>3608</v>
      </c>
      <c r="Q296">
        <v>2367.1999999999998</v>
      </c>
      <c r="R296">
        <v>0.03</v>
      </c>
      <c r="S296" t="s">
        <v>70</v>
      </c>
      <c r="T296">
        <v>245.5</v>
      </c>
    </row>
    <row r="297" spans="1:20" x14ac:dyDescent="0.25">
      <c r="A297">
        <v>100296</v>
      </c>
      <c r="B297" s="6">
        <v>45924</v>
      </c>
      <c r="C297">
        <v>2025</v>
      </c>
      <c r="D297" t="s">
        <v>39</v>
      </c>
      <c r="E297">
        <v>9</v>
      </c>
      <c r="F297" t="s">
        <v>40</v>
      </c>
      <c r="G297" t="s">
        <v>45</v>
      </c>
      <c r="H297" t="s">
        <v>23</v>
      </c>
      <c r="I297" t="s">
        <v>88</v>
      </c>
      <c r="J297" t="s">
        <v>54</v>
      </c>
      <c r="K297" t="s">
        <v>32</v>
      </c>
      <c r="L297" t="s">
        <v>47</v>
      </c>
      <c r="M297">
        <v>52</v>
      </c>
      <c r="N297">
        <v>180</v>
      </c>
      <c r="O297">
        <v>8611.2000000000007</v>
      </c>
      <c r="P297">
        <v>5980</v>
      </c>
      <c r="Q297">
        <v>2631.2</v>
      </c>
      <c r="R297">
        <v>0.08</v>
      </c>
      <c r="S297" t="s">
        <v>57</v>
      </c>
      <c r="T297">
        <v>264.10000000000002</v>
      </c>
    </row>
    <row r="298" spans="1:20" x14ac:dyDescent="0.25">
      <c r="A298">
        <v>100297</v>
      </c>
      <c r="B298" s="6">
        <v>45630</v>
      </c>
      <c r="C298">
        <v>2024</v>
      </c>
      <c r="D298" t="s">
        <v>43</v>
      </c>
      <c r="E298">
        <v>12</v>
      </c>
      <c r="F298" t="s">
        <v>83</v>
      </c>
      <c r="G298" t="s">
        <v>35</v>
      </c>
      <c r="H298" t="s">
        <v>23</v>
      </c>
      <c r="I298" t="s">
        <v>36</v>
      </c>
      <c r="J298" t="s">
        <v>42</v>
      </c>
      <c r="K298" t="s">
        <v>51</v>
      </c>
      <c r="L298" t="s">
        <v>76</v>
      </c>
      <c r="M298">
        <v>18</v>
      </c>
      <c r="N298">
        <v>40</v>
      </c>
      <c r="O298">
        <v>662.4</v>
      </c>
      <c r="P298">
        <v>414</v>
      </c>
      <c r="Q298">
        <v>248.4</v>
      </c>
      <c r="R298">
        <v>0.08</v>
      </c>
      <c r="S298" t="s">
        <v>38</v>
      </c>
      <c r="T298">
        <v>20.3</v>
      </c>
    </row>
    <row r="299" spans="1:20" x14ac:dyDescent="0.25">
      <c r="A299">
        <v>100298</v>
      </c>
      <c r="B299" s="6">
        <v>45745</v>
      </c>
      <c r="C299">
        <v>2025</v>
      </c>
      <c r="D299" t="s">
        <v>63</v>
      </c>
      <c r="E299">
        <v>3</v>
      </c>
      <c r="F299" t="s">
        <v>64</v>
      </c>
      <c r="G299" t="s">
        <v>22</v>
      </c>
      <c r="H299" t="s">
        <v>23</v>
      </c>
      <c r="I299" t="s">
        <v>24</v>
      </c>
      <c r="J299" t="s">
        <v>25</v>
      </c>
      <c r="K299" t="s">
        <v>59</v>
      </c>
      <c r="L299" t="s">
        <v>67</v>
      </c>
      <c r="M299">
        <v>150</v>
      </c>
      <c r="N299">
        <v>95</v>
      </c>
      <c r="O299">
        <v>13537.5</v>
      </c>
      <c r="P299">
        <v>8400</v>
      </c>
      <c r="Q299">
        <v>5137.5</v>
      </c>
      <c r="R299">
        <v>0.05</v>
      </c>
      <c r="S299" t="s">
        <v>38</v>
      </c>
      <c r="T299">
        <v>236.46</v>
      </c>
    </row>
    <row r="300" spans="1:20" x14ac:dyDescent="0.25">
      <c r="A300">
        <v>100299</v>
      </c>
      <c r="B300" s="6">
        <v>44927</v>
      </c>
      <c r="C300">
        <v>2023</v>
      </c>
      <c r="D300" t="s">
        <v>63</v>
      </c>
      <c r="E300">
        <v>1</v>
      </c>
      <c r="F300" t="s">
        <v>79</v>
      </c>
      <c r="G300" t="s">
        <v>29</v>
      </c>
      <c r="H300" t="s">
        <v>23</v>
      </c>
      <c r="I300" t="s">
        <v>49</v>
      </c>
      <c r="J300" t="s">
        <v>61</v>
      </c>
      <c r="K300" t="s">
        <v>26</v>
      </c>
      <c r="L300" t="s">
        <v>82</v>
      </c>
      <c r="M300">
        <v>118</v>
      </c>
      <c r="N300">
        <v>105</v>
      </c>
      <c r="O300">
        <v>11770.5</v>
      </c>
      <c r="P300">
        <v>7198</v>
      </c>
      <c r="Q300">
        <v>4572.5</v>
      </c>
      <c r="R300">
        <v>0.05</v>
      </c>
      <c r="S300" t="s">
        <v>57</v>
      </c>
      <c r="T300">
        <v>376.84</v>
      </c>
    </row>
    <row r="301" spans="1:20" x14ac:dyDescent="0.25">
      <c r="A301">
        <v>100300</v>
      </c>
      <c r="B301" s="6">
        <v>45914</v>
      </c>
      <c r="C301">
        <v>2025</v>
      </c>
      <c r="D301" t="s">
        <v>39</v>
      </c>
      <c r="E301">
        <v>9</v>
      </c>
      <c r="F301" t="s">
        <v>40</v>
      </c>
      <c r="G301" t="s">
        <v>35</v>
      </c>
      <c r="H301" t="s">
        <v>23</v>
      </c>
      <c r="I301" t="s">
        <v>77</v>
      </c>
      <c r="J301" t="s">
        <v>42</v>
      </c>
      <c r="K301" t="s">
        <v>32</v>
      </c>
      <c r="L301" t="s">
        <v>74</v>
      </c>
      <c r="M301">
        <v>96</v>
      </c>
      <c r="N301">
        <v>25</v>
      </c>
      <c r="O301">
        <v>2280</v>
      </c>
      <c r="P301">
        <v>1344</v>
      </c>
      <c r="Q301">
        <v>936</v>
      </c>
      <c r="R301">
        <v>0.05</v>
      </c>
      <c r="S301" t="s">
        <v>70</v>
      </c>
      <c r="T301">
        <v>138.22999999999999</v>
      </c>
    </row>
    <row r="302" spans="1:20" x14ac:dyDescent="0.25">
      <c r="A302">
        <v>100301</v>
      </c>
      <c r="B302" s="6">
        <v>45776</v>
      </c>
      <c r="C302">
        <v>2025</v>
      </c>
      <c r="D302" t="s">
        <v>20</v>
      </c>
      <c r="E302">
        <v>4</v>
      </c>
      <c r="F302" t="s">
        <v>34</v>
      </c>
      <c r="G302" t="s">
        <v>35</v>
      </c>
      <c r="H302" t="s">
        <v>23</v>
      </c>
      <c r="I302" t="s">
        <v>36</v>
      </c>
      <c r="J302" t="s">
        <v>54</v>
      </c>
      <c r="K302" t="s">
        <v>26</v>
      </c>
      <c r="L302" t="s">
        <v>27</v>
      </c>
      <c r="M302">
        <v>136</v>
      </c>
      <c r="N302">
        <v>110</v>
      </c>
      <c r="O302">
        <v>14212</v>
      </c>
      <c r="P302">
        <v>9248</v>
      </c>
      <c r="Q302">
        <v>4964</v>
      </c>
      <c r="R302">
        <v>0.05</v>
      </c>
      <c r="S302" t="s">
        <v>70</v>
      </c>
      <c r="T302">
        <v>285.32</v>
      </c>
    </row>
    <row r="303" spans="1:20" x14ac:dyDescent="0.25">
      <c r="A303">
        <v>100302</v>
      </c>
      <c r="B303" s="6">
        <v>45258</v>
      </c>
      <c r="C303">
        <v>2023</v>
      </c>
      <c r="D303" t="s">
        <v>43</v>
      </c>
      <c r="E303">
        <v>11</v>
      </c>
      <c r="F303" t="s">
        <v>87</v>
      </c>
      <c r="G303" t="s">
        <v>35</v>
      </c>
      <c r="H303" t="s">
        <v>23</v>
      </c>
      <c r="I303" t="s">
        <v>53</v>
      </c>
      <c r="J303" t="s">
        <v>68</v>
      </c>
      <c r="K303" t="s">
        <v>51</v>
      </c>
      <c r="L303" t="s">
        <v>52</v>
      </c>
      <c r="M303">
        <v>11</v>
      </c>
      <c r="N303">
        <v>75</v>
      </c>
      <c r="O303">
        <v>783.75</v>
      </c>
      <c r="P303">
        <v>484</v>
      </c>
      <c r="Q303">
        <v>299.75</v>
      </c>
      <c r="R303">
        <v>0.05</v>
      </c>
      <c r="S303" t="s">
        <v>28</v>
      </c>
      <c r="T303">
        <v>41.01</v>
      </c>
    </row>
    <row r="304" spans="1:20" x14ac:dyDescent="0.25">
      <c r="A304">
        <v>100303</v>
      </c>
      <c r="B304" s="6">
        <v>45836</v>
      </c>
      <c r="C304">
        <v>2025</v>
      </c>
      <c r="D304" t="s">
        <v>20</v>
      </c>
      <c r="E304">
        <v>6</v>
      </c>
      <c r="F304" t="s">
        <v>48</v>
      </c>
      <c r="G304" t="s">
        <v>35</v>
      </c>
      <c r="H304" t="s">
        <v>23</v>
      </c>
      <c r="I304" t="s">
        <v>53</v>
      </c>
      <c r="J304" t="s">
        <v>25</v>
      </c>
      <c r="K304" t="s">
        <v>55</v>
      </c>
      <c r="L304" t="s">
        <v>93</v>
      </c>
      <c r="M304">
        <v>48</v>
      </c>
      <c r="N304">
        <v>60</v>
      </c>
      <c r="O304">
        <v>2649.6</v>
      </c>
      <c r="P304">
        <v>2016</v>
      </c>
      <c r="Q304">
        <v>633.6</v>
      </c>
      <c r="R304">
        <v>0.08</v>
      </c>
      <c r="S304" t="s">
        <v>57</v>
      </c>
      <c r="T304">
        <v>145.25</v>
      </c>
    </row>
    <row r="305" spans="1:20" x14ac:dyDescent="0.25">
      <c r="A305">
        <v>100304</v>
      </c>
      <c r="B305" s="6">
        <v>45313</v>
      </c>
      <c r="C305">
        <v>2024</v>
      </c>
      <c r="D305" t="s">
        <v>63</v>
      </c>
      <c r="E305">
        <v>1</v>
      </c>
      <c r="F305" t="s">
        <v>79</v>
      </c>
      <c r="G305" t="s">
        <v>29</v>
      </c>
      <c r="H305" t="s">
        <v>23</v>
      </c>
      <c r="I305" t="s">
        <v>85</v>
      </c>
      <c r="J305" t="s">
        <v>61</v>
      </c>
      <c r="K305" t="s">
        <v>32</v>
      </c>
      <c r="L305" t="s">
        <v>37</v>
      </c>
      <c r="M305">
        <v>21</v>
      </c>
      <c r="N305">
        <v>120</v>
      </c>
      <c r="O305">
        <v>2469.6</v>
      </c>
      <c r="P305">
        <v>1638</v>
      </c>
      <c r="Q305">
        <v>831.6</v>
      </c>
      <c r="R305">
        <v>0.02</v>
      </c>
      <c r="S305" t="s">
        <v>38</v>
      </c>
      <c r="T305">
        <v>103.06</v>
      </c>
    </row>
    <row r="306" spans="1:20" x14ac:dyDescent="0.25">
      <c r="A306">
        <v>100305</v>
      </c>
      <c r="B306" s="6">
        <v>45500</v>
      </c>
      <c r="C306">
        <v>2024</v>
      </c>
      <c r="D306" t="s">
        <v>39</v>
      </c>
      <c r="E306">
        <v>7</v>
      </c>
      <c r="F306" t="s">
        <v>75</v>
      </c>
      <c r="G306" t="s">
        <v>45</v>
      </c>
      <c r="H306" t="s">
        <v>23</v>
      </c>
      <c r="I306" t="s">
        <v>90</v>
      </c>
      <c r="J306" t="s">
        <v>68</v>
      </c>
      <c r="K306" t="s">
        <v>51</v>
      </c>
      <c r="L306" t="s">
        <v>52</v>
      </c>
      <c r="M306">
        <v>47</v>
      </c>
      <c r="N306">
        <v>75</v>
      </c>
      <c r="O306">
        <v>3243</v>
      </c>
      <c r="P306">
        <v>2068</v>
      </c>
      <c r="Q306">
        <v>1175</v>
      </c>
      <c r="R306">
        <v>0.08</v>
      </c>
      <c r="S306" t="s">
        <v>70</v>
      </c>
      <c r="T306">
        <v>172.16</v>
      </c>
    </row>
    <row r="307" spans="1:20" x14ac:dyDescent="0.25">
      <c r="A307">
        <v>100306</v>
      </c>
      <c r="B307" s="6">
        <v>45301</v>
      </c>
      <c r="C307">
        <v>2024</v>
      </c>
      <c r="D307" t="s">
        <v>63</v>
      </c>
      <c r="E307">
        <v>1</v>
      </c>
      <c r="F307" t="s">
        <v>79</v>
      </c>
      <c r="G307" t="s">
        <v>45</v>
      </c>
      <c r="H307" t="s">
        <v>23</v>
      </c>
      <c r="I307" t="s">
        <v>46</v>
      </c>
      <c r="J307" t="s">
        <v>50</v>
      </c>
      <c r="K307" t="s">
        <v>55</v>
      </c>
      <c r="L307" t="s">
        <v>84</v>
      </c>
      <c r="M307">
        <v>117</v>
      </c>
      <c r="N307">
        <v>55</v>
      </c>
      <c r="O307">
        <v>6113.25</v>
      </c>
      <c r="P307">
        <v>4329</v>
      </c>
      <c r="Q307">
        <v>1784.25</v>
      </c>
      <c r="R307">
        <v>0.05</v>
      </c>
      <c r="S307" t="s">
        <v>70</v>
      </c>
      <c r="T307">
        <v>368.22</v>
      </c>
    </row>
    <row r="308" spans="1:20" x14ac:dyDescent="0.25">
      <c r="A308">
        <v>100307</v>
      </c>
      <c r="B308" s="6">
        <v>45991</v>
      </c>
      <c r="C308">
        <v>2025</v>
      </c>
      <c r="D308" t="s">
        <v>43</v>
      </c>
      <c r="E308">
        <v>11</v>
      </c>
      <c r="F308" t="s">
        <v>87</v>
      </c>
      <c r="G308" t="s">
        <v>22</v>
      </c>
      <c r="H308" t="s">
        <v>23</v>
      </c>
      <c r="I308" t="s">
        <v>24</v>
      </c>
      <c r="J308" t="s">
        <v>31</v>
      </c>
      <c r="K308" t="s">
        <v>51</v>
      </c>
      <c r="L308" t="s">
        <v>72</v>
      </c>
      <c r="M308">
        <v>66</v>
      </c>
      <c r="N308">
        <v>90</v>
      </c>
      <c r="O308">
        <v>5940</v>
      </c>
      <c r="P308">
        <v>3432</v>
      </c>
      <c r="Q308">
        <v>2508</v>
      </c>
      <c r="R308">
        <v>0</v>
      </c>
      <c r="S308" t="s">
        <v>38</v>
      </c>
      <c r="T308">
        <v>217.48</v>
      </c>
    </row>
    <row r="309" spans="1:20" x14ac:dyDescent="0.25">
      <c r="A309">
        <v>100308</v>
      </c>
      <c r="B309" s="6">
        <v>45366</v>
      </c>
      <c r="C309">
        <v>2024</v>
      </c>
      <c r="D309" t="s">
        <v>63</v>
      </c>
      <c r="E309">
        <v>3</v>
      </c>
      <c r="F309" t="s">
        <v>64</v>
      </c>
      <c r="G309" t="s">
        <v>29</v>
      </c>
      <c r="H309" t="s">
        <v>23</v>
      </c>
      <c r="I309" t="s">
        <v>73</v>
      </c>
      <c r="J309" t="s">
        <v>25</v>
      </c>
      <c r="K309" t="s">
        <v>59</v>
      </c>
      <c r="L309" t="s">
        <v>60</v>
      </c>
      <c r="M309">
        <v>65</v>
      </c>
      <c r="N309">
        <v>45</v>
      </c>
      <c r="O309">
        <v>2778.75</v>
      </c>
      <c r="P309">
        <v>1755</v>
      </c>
      <c r="Q309">
        <v>1023.75</v>
      </c>
      <c r="R309">
        <v>0.05</v>
      </c>
      <c r="S309" t="s">
        <v>38</v>
      </c>
      <c r="T309">
        <v>186.36</v>
      </c>
    </row>
    <row r="310" spans="1:20" x14ac:dyDescent="0.25">
      <c r="A310">
        <v>100309</v>
      </c>
      <c r="B310" s="6">
        <v>45840</v>
      </c>
      <c r="C310">
        <v>2025</v>
      </c>
      <c r="D310" t="s">
        <v>39</v>
      </c>
      <c r="E310">
        <v>7</v>
      </c>
      <c r="F310" t="s">
        <v>75</v>
      </c>
      <c r="G310" t="s">
        <v>29</v>
      </c>
      <c r="H310" t="s">
        <v>23</v>
      </c>
      <c r="I310" t="s">
        <v>30</v>
      </c>
      <c r="J310" t="s">
        <v>31</v>
      </c>
      <c r="K310" t="s">
        <v>51</v>
      </c>
      <c r="L310" t="s">
        <v>52</v>
      </c>
      <c r="M310">
        <v>135</v>
      </c>
      <c r="N310">
        <v>75</v>
      </c>
      <c r="O310">
        <v>9618.75</v>
      </c>
      <c r="P310">
        <v>5940</v>
      </c>
      <c r="Q310">
        <v>3678.75</v>
      </c>
      <c r="R310">
        <v>0.05</v>
      </c>
      <c r="S310" t="s">
        <v>70</v>
      </c>
      <c r="T310">
        <v>197.85</v>
      </c>
    </row>
    <row r="311" spans="1:20" x14ac:dyDescent="0.25">
      <c r="A311">
        <v>100310</v>
      </c>
      <c r="B311" s="6">
        <v>45856</v>
      </c>
      <c r="C311">
        <v>2025</v>
      </c>
      <c r="D311" t="s">
        <v>39</v>
      </c>
      <c r="E311">
        <v>7</v>
      </c>
      <c r="F311" t="s">
        <v>75</v>
      </c>
      <c r="G311" t="s">
        <v>29</v>
      </c>
      <c r="H311" t="s">
        <v>23</v>
      </c>
      <c r="I311" t="s">
        <v>49</v>
      </c>
      <c r="J311" t="s">
        <v>68</v>
      </c>
      <c r="K311" t="s">
        <v>59</v>
      </c>
      <c r="L311" t="s">
        <v>86</v>
      </c>
      <c r="M311">
        <v>74</v>
      </c>
      <c r="N311">
        <v>160</v>
      </c>
      <c r="O311">
        <v>11840</v>
      </c>
      <c r="P311">
        <v>7030</v>
      </c>
      <c r="Q311">
        <v>4810</v>
      </c>
      <c r="R311">
        <v>0</v>
      </c>
      <c r="S311" t="s">
        <v>70</v>
      </c>
      <c r="T311">
        <v>286.58</v>
      </c>
    </row>
    <row r="312" spans="1:20" x14ac:dyDescent="0.25">
      <c r="A312">
        <v>100311</v>
      </c>
      <c r="B312" s="6">
        <v>45369</v>
      </c>
      <c r="C312">
        <v>2024</v>
      </c>
      <c r="D312" t="s">
        <v>63</v>
      </c>
      <c r="E312">
        <v>3</v>
      </c>
      <c r="F312" t="s">
        <v>64</v>
      </c>
      <c r="G312" t="s">
        <v>22</v>
      </c>
      <c r="H312" t="s">
        <v>23</v>
      </c>
      <c r="I312" t="s">
        <v>24</v>
      </c>
      <c r="J312" t="s">
        <v>68</v>
      </c>
      <c r="K312" t="s">
        <v>32</v>
      </c>
      <c r="L312" t="s">
        <v>33</v>
      </c>
      <c r="M312">
        <v>116</v>
      </c>
      <c r="N312">
        <v>60</v>
      </c>
      <c r="O312">
        <v>6751.2</v>
      </c>
      <c r="P312">
        <v>4408</v>
      </c>
      <c r="Q312">
        <v>2343.1999999999998</v>
      </c>
      <c r="R312">
        <v>0.03</v>
      </c>
      <c r="S312" t="s">
        <v>38</v>
      </c>
      <c r="T312">
        <v>160.69</v>
      </c>
    </row>
    <row r="313" spans="1:20" x14ac:dyDescent="0.25">
      <c r="A313">
        <v>100312</v>
      </c>
      <c r="B313" s="6">
        <v>45051</v>
      </c>
      <c r="C313">
        <v>2023</v>
      </c>
      <c r="D313" t="s">
        <v>20</v>
      </c>
      <c r="E313">
        <v>5</v>
      </c>
      <c r="F313" t="s">
        <v>21</v>
      </c>
      <c r="G313" t="s">
        <v>22</v>
      </c>
      <c r="H313" t="s">
        <v>23</v>
      </c>
      <c r="I313" t="s">
        <v>71</v>
      </c>
      <c r="J313" t="s">
        <v>61</v>
      </c>
      <c r="K313" t="s">
        <v>51</v>
      </c>
      <c r="L313" t="s">
        <v>92</v>
      </c>
      <c r="M313">
        <v>131</v>
      </c>
      <c r="N313">
        <v>50</v>
      </c>
      <c r="O313">
        <v>6550</v>
      </c>
      <c r="P313">
        <v>3799</v>
      </c>
      <c r="Q313">
        <v>2751</v>
      </c>
      <c r="R313">
        <v>0</v>
      </c>
      <c r="S313" t="s">
        <v>70</v>
      </c>
      <c r="T313">
        <v>442.62</v>
      </c>
    </row>
    <row r="314" spans="1:20" x14ac:dyDescent="0.25">
      <c r="A314">
        <v>100313</v>
      </c>
      <c r="B314" s="6">
        <v>45572</v>
      </c>
      <c r="C314">
        <v>2024</v>
      </c>
      <c r="D314" t="s">
        <v>43</v>
      </c>
      <c r="E314">
        <v>10</v>
      </c>
      <c r="F314" t="s">
        <v>44</v>
      </c>
      <c r="G314" t="s">
        <v>29</v>
      </c>
      <c r="H314" t="s">
        <v>23</v>
      </c>
      <c r="I314" t="s">
        <v>85</v>
      </c>
      <c r="J314" t="s">
        <v>50</v>
      </c>
      <c r="K314" t="s">
        <v>26</v>
      </c>
      <c r="L314" t="s">
        <v>27</v>
      </c>
      <c r="M314">
        <v>38</v>
      </c>
      <c r="N314">
        <v>110</v>
      </c>
      <c r="O314">
        <v>4096.3999999999996</v>
      </c>
      <c r="P314">
        <v>2584</v>
      </c>
      <c r="Q314">
        <v>1512.4</v>
      </c>
      <c r="R314">
        <v>0.02</v>
      </c>
      <c r="S314" t="s">
        <v>38</v>
      </c>
      <c r="T314">
        <v>277.99</v>
      </c>
    </row>
    <row r="315" spans="1:20" x14ac:dyDescent="0.25">
      <c r="A315">
        <v>100314</v>
      </c>
      <c r="B315" s="6">
        <v>45934</v>
      </c>
      <c r="C315">
        <v>2025</v>
      </c>
      <c r="D315" t="s">
        <v>43</v>
      </c>
      <c r="E315">
        <v>10</v>
      </c>
      <c r="F315" t="s">
        <v>44</v>
      </c>
      <c r="G315" t="s">
        <v>35</v>
      </c>
      <c r="H315" t="s">
        <v>23</v>
      </c>
      <c r="I315" t="s">
        <v>80</v>
      </c>
      <c r="J315" t="s">
        <v>61</v>
      </c>
      <c r="K315" t="s">
        <v>55</v>
      </c>
      <c r="L315" t="s">
        <v>93</v>
      </c>
      <c r="M315">
        <v>58</v>
      </c>
      <c r="N315">
        <v>60</v>
      </c>
      <c r="O315">
        <v>3375.6</v>
      </c>
      <c r="P315">
        <v>2436</v>
      </c>
      <c r="Q315">
        <v>939.6</v>
      </c>
      <c r="R315">
        <v>0.03</v>
      </c>
      <c r="S315" t="s">
        <v>57</v>
      </c>
      <c r="T315">
        <v>81.89</v>
      </c>
    </row>
    <row r="316" spans="1:20" x14ac:dyDescent="0.25">
      <c r="A316">
        <v>100315</v>
      </c>
      <c r="B316" s="6">
        <v>45873</v>
      </c>
      <c r="C316">
        <v>2025</v>
      </c>
      <c r="D316" t="s">
        <v>39</v>
      </c>
      <c r="E316">
        <v>8</v>
      </c>
      <c r="F316" t="s">
        <v>58</v>
      </c>
      <c r="G316" t="s">
        <v>22</v>
      </c>
      <c r="H316" t="s">
        <v>23</v>
      </c>
      <c r="I316" t="s">
        <v>41</v>
      </c>
      <c r="J316" t="s">
        <v>54</v>
      </c>
      <c r="K316" t="s">
        <v>26</v>
      </c>
      <c r="L316" t="s">
        <v>27</v>
      </c>
      <c r="M316">
        <v>60</v>
      </c>
      <c r="N316">
        <v>110</v>
      </c>
      <c r="O316">
        <v>6600</v>
      </c>
      <c r="P316">
        <v>4080</v>
      </c>
      <c r="Q316">
        <v>2520</v>
      </c>
      <c r="R316">
        <v>0</v>
      </c>
      <c r="S316" t="s">
        <v>38</v>
      </c>
      <c r="T316">
        <v>283.2</v>
      </c>
    </row>
    <row r="317" spans="1:20" x14ac:dyDescent="0.25">
      <c r="A317">
        <v>100316</v>
      </c>
      <c r="B317" s="6">
        <v>45226</v>
      </c>
      <c r="C317">
        <v>2023</v>
      </c>
      <c r="D317" t="s">
        <v>43</v>
      </c>
      <c r="E317">
        <v>10</v>
      </c>
      <c r="F317" t="s">
        <v>44</v>
      </c>
      <c r="G317" t="s">
        <v>22</v>
      </c>
      <c r="H317" t="s">
        <v>23</v>
      </c>
      <c r="I317" t="s">
        <v>24</v>
      </c>
      <c r="J317" t="s">
        <v>61</v>
      </c>
      <c r="K317" t="s">
        <v>59</v>
      </c>
      <c r="L317" t="s">
        <v>60</v>
      </c>
      <c r="M317">
        <v>101</v>
      </c>
      <c r="N317">
        <v>45</v>
      </c>
      <c r="O317">
        <v>4317.75</v>
      </c>
      <c r="P317">
        <v>2727</v>
      </c>
      <c r="Q317">
        <v>1590.75</v>
      </c>
      <c r="R317">
        <v>0.05</v>
      </c>
      <c r="S317" t="s">
        <v>70</v>
      </c>
      <c r="T317">
        <v>302.17</v>
      </c>
    </row>
    <row r="318" spans="1:20" x14ac:dyDescent="0.25">
      <c r="A318">
        <v>100317</v>
      </c>
      <c r="B318" s="6">
        <v>45065</v>
      </c>
      <c r="C318">
        <v>2023</v>
      </c>
      <c r="D318" t="s">
        <v>20</v>
      </c>
      <c r="E318">
        <v>5</v>
      </c>
      <c r="F318" t="s">
        <v>21</v>
      </c>
      <c r="G318" t="s">
        <v>29</v>
      </c>
      <c r="H318" t="s">
        <v>23</v>
      </c>
      <c r="I318" t="s">
        <v>30</v>
      </c>
      <c r="J318" t="s">
        <v>68</v>
      </c>
      <c r="K318" t="s">
        <v>26</v>
      </c>
      <c r="L318" t="s">
        <v>69</v>
      </c>
      <c r="M318">
        <v>91</v>
      </c>
      <c r="N318">
        <v>130</v>
      </c>
      <c r="O318">
        <v>11238.5</v>
      </c>
      <c r="P318">
        <v>6916</v>
      </c>
      <c r="Q318">
        <v>4322.5</v>
      </c>
      <c r="R318">
        <v>0.05</v>
      </c>
      <c r="S318" t="s">
        <v>70</v>
      </c>
      <c r="T318">
        <v>520.52</v>
      </c>
    </row>
    <row r="319" spans="1:20" x14ac:dyDescent="0.25">
      <c r="A319">
        <v>100318</v>
      </c>
      <c r="B319" s="6">
        <v>45925</v>
      </c>
      <c r="C319">
        <v>2025</v>
      </c>
      <c r="D319" t="s">
        <v>39</v>
      </c>
      <c r="E319">
        <v>9</v>
      </c>
      <c r="F319" t="s">
        <v>40</v>
      </c>
      <c r="G319" t="s">
        <v>45</v>
      </c>
      <c r="H319" t="s">
        <v>23</v>
      </c>
      <c r="I319" t="s">
        <v>62</v>
      </c>
      <c r="J319" t="s">
        <v>31</v>
      </c>
      <c r="K319" t="s">
        <v>32</v>
      </c>
      <c r="L319" t="s">
        <v>37</v>
      </c>
      <c r="M319">
        <v>110</v>
      </c>
      <c r="N319">
        <v>120</v>
      </c>
      <c r="O319">
        <v>12804</v>
      </c>
      <c r="P319">
        <v>8580</v>
      </c>
      <c r="Q319">
        <v>4224</v>
      </c>
      <c r="R319">
        <v>0.03</v>
      </c>
      <c r="S319" t="s">
        <v>70</v>
      </c>
      <c r="T319">
        <v>352.45</v>
      </c>
    </row>
    <row r="320" spans="1:20" x14ac:dyDescent="0.25">
      <c r="A320">
        <v>100319</v>
      </c>
      <c r="B320" s="6">
        <v>45193</v>
      </c>
      <c r="C320">
        <v>2023</v>
      </c>
      <c r="D320" t="s">
        <v>39</v>
      </c>
      <c r="E320">
        <v>9</v>
      </c>
      <c r="F320" t="s">
        <v>40</v>
      </c>
      <c r="G320" t="s">
        <v>35</v>
      </c>
      <c r="H320" t="s">
        <v>23</v>
      </c>
      <c r="I320" t="s">
        <v>77</v>
      </c>
      <c r="J320" t="s">
        <v>31</v>
      </c>
      <c r="K320" t="s">
        <v>51</v>
      </c>
      <c r="L320" t="s">
        <v>76</v>
      </c>
      <c r="M320">
        <v>148</v>
      </c>
      <c r="N320">
        <v>40</v>
      </c>
      <c r="O320">
        <v>5742.4</v>
      </c>
      <c r="P320">
        <v>3404</v>
      </c>
      <c r="Q320">
        <v>2338.4</v>
      </c>
      <c r="R320">
        <v>0.03</v>
      </c>
      <c r="S320" t="s">
        <v>38</v>
      </c>
      <c r="T320">
        <v>104.37</v>
      </c>
    </row>
    <row r="321" spans="1:20" x14ac:dyDescent="0.25">
      <c r="A321">
        <v>100320</v>
      </c>
      <c r="B321" s="6">
        <v>45484</v>
      </c>
      <c r="C321">
        <v>2024</v>
      </c>
      <c r="D321" t="s">
        <v>39</v>
      </c>
      <c r="E321">
        <v>7</v>
      </c>
      <c r="F321" t="s">
        <v>75</v>
      </c>
      <c r="G321" t="s">
        <v>35</v>
      </c>
      <c r="H321" t="s">
        <v>23</v>
      </c>
      <c r="I321" t="s">
        <v>80</v>
      </c>
      <c r="J321" t="s">
        <v>66</v>
      </c>
      <c r="K321" t="s">
        <v>55</v>
      </c>
      <c r="L321" t="s">
        <v>89</v>
      </c>
      <c r="M321">
        <v>57</v>
      </c>
      <c r="N321">
        <v>280</v>
      </c>
      <c r="O321">
        <v>15960</v>
      </c>
      <c r="P321">
        <v>11685</v>
      </c>
      <c r="Q321">
        <v>4275</v>
      </c>
      <c r="R321">
        <v>0</v>
      </c>
      <c r="S321" t="s">
        <v>70</v>
      </c>
      <c r="T321">
        <v>901.81</v>
      </c>
    </row>
    <row r="322" spans="1:20" x14ac:dyDescent="0.25">
      <c r="A322">
        <v>100321</v>
      </c>
      <c r="B322" s="6">
        <v>45333</v>
      </c>
      <c r="C322">
        <v>2024</v>
      </c>
      <c r="D322" t="s">
        <v>63</v>
      </c>
      <c r="E322">
        <v>2</v>
      </c>
      <c r="F322" t="s">
        <v>81</v>
      </c>
      <c r="G322" t="s">
        <v>22</v>
      </c>
      <c r="H322" t="s">
        <v>23</v>
      </c>
      <c r="I322" t="s">
        <v>24</v>
      </c>
      <c r="J322" t="s">
        <v>54</v>
      </c>
      <c r="K322" t="s">
        <v>59</v>
      </c>
      <c r="L322" t="s">
        <v>60</v>
      </c>
      <c r="M322">
        <v>91</v>
      </c>
      <c r="N322">
        <v>45</v>
      </c>
      <c r="O322">
        <v>3972.15</v>
      </c>
      <c r="P322">
        <v>2457</v>
      </c>
      <c r="Q322">
        <v>1515.15</v>
      </c>
      <c r="R322">
        <v>0.03</v>
      </c>
      <c r="S322" t="s">
        <v>70</v>
      </c>
      <c r="T322">
        <v>191.13</v>
      </c>
    </row>
    <row r="323" spans="1:20" x14ac:dyDescent="0.25">
      <c r="A323">
        <v>100322</v>
      </c>
      <c r="B323" s="6">
        <v>45291</v>
      </c>
      <c r="C323">
        <v>2023</v>
      </c>
      <c r="D323" t="s">
        <v>43</v>
      </c>
      <c r="E323">
        <v>12</v>
      </c>
      <c r="F323" t="s">
        <v>83</v>
      </c>
      <c r="G323" t="s">
        <v>22</v>
      </c>
      <c r="H323" t="s">
        <v>23</v>
      </c>
      <c r="I323" t="s">
        <v>65</v>
      </c>
      <c r="J323" t="s">
        <v>42</v>
      </c>
      <c r="K323" t="s">
        <v>55</v>
      </c>
      <c r="L323" t="s">
        <v>56</v>
      </c>
      <c r="M323">
        <v>125</v>
      </c>
      <c r="N323">
        <v>320</v>
      </c>
      <c r="O323">
        <v>40000</v>
      </c>
      <c r="P323">
        <v>29375</v>
      </c>
      <c r="Q323">
        <v>10625</v>
      </c>
      <c r="R323">
        <v>0</v>
      </c>
      <c r="S323" t="s">
        <v>28</v>
      </c>
      <c r="T323">
        <v>2008.44</v>
      </c>
    </row>
    <row r="324" spans="1:20" x14ac:dyDescent="0.25">
      <c r="A324">
        <v>100323</v>
      </c>
      <c r="B324" s="6">
        <v>45073</v>
      </c>
      <c r="C324">
        <v>2023</v>
      </c>
      <c r="D324" t="s">
        <v>20</v>
      </c>
      <c r="E324">
        <v>5</v>
      </c>
      <c r="F324" t="s">
        <v>21</v>
      </c>
      <c r="G324" t="s">
        <v>22</v>
      </c>
      <c r="H324" t="s">
        <v>23</v>
      </c>
      <c r="I324" t="s">
        <v>41</v>
      </c>
      <c r="J324" t="s">
        <v>54</v>
      </c>
      <c r="K324" t="s">
        <v>51</v>
      </c>
      <c r="L324" t="s">
        <v>92</v>
      </c>
      <c r="M324">
        <v>22</v>
      </c>
      <c r="N324">
        <v>50</v>
      </c>
      <c r="O324">
        <v>990</v>
      </c>
      <c r="P324">
        <v>638</v>
      </c>
      <c r="Q324">
        <v>352</v>
      </c>
      <c r="R324">
        <v>0.1</v>
      </c>
      <c r="S324" t="s">
        <v>38</v>
      </c>
      <c r="T324">
        <v>26.87</v>
      </c>
    </row>
    <row r="325" spans="1:20" x14ac:dyDescent="0.25">
      <c r="A325">
        <v>100324</v>
      </c>
      <c r="B325" s="6">
        <v>45406</v>
      </c>
      <c r="C325">
        <v>2024</v>
      </c>
      <c r="D325" t="s">
        <v>20</v>
      </c>
      <c r="E325">
        <v>4</v>
      </c>
      <c r="F325" t="s">
        <v>34</v>
      </c>
      <c r="G325" t="s">
        <v>35</v>
      </c>
      <c r="H325" t="s">
        <v>23</v>
      </c>
      <c r="I325" t="s">
        <v>77</v>
      </c>
      <c r="J325" t="s">
        <v>61</v>
      </c>
      <c r="K325" t="s">
        <v>32</v>
      </c>
      <c r="L325" t="s">
        <v>74</v>
      </c>
      <c r="M325">
        <v>63</v>
      </c>
      <c r="N325">
        <v>25</v>
      </c>
      <c r="O325">
        <v>1527.75</v>
      </c>
      <c r="P325">
        <v>882</v>
      </c>
      <c r="Q325">
        <v>645.75</v>
      </c>
      <c r="R325">
        <v>0.03</v>
      </c>
      <c r="S325" t="s">
        <v>38</v>
      </c>
      <c r="T325">
        <v>76.069999999999993</v>
      </c>
    </row>
    <row r="326" spans="1:20" x14ac:dyDescent="0.25">
      <c r="A326">
        <v>100325</v>
      </c>
      <c r="B326" s="6">
        <v>45120</v>
      </c>
      <c r="C326">
        <v>2023</v>
      </c>
      <c r="D326" t="s">
        <v>39</v>
      </c>
      <c r="E326">
        <v>7</v>
      </c>
      <c r="F326" t="s">
        <v>75</v>
      </c>
      <c r="G326" t="s">
        <v>45</v>
      </c>
      <c r="H326" t="s">
        <v>23</v>
      </c>
      <c r="I326" t="s">
        <v>62</v>
      </c>
      <c r="J326" t="s">
        <v>68</v>
      </c>
      <c r="K326" t="s">
        <v>26</v>
      </c>
      <c r="L326" t="s">
        <v>78</v>
      </c>
      <c r="M326">
        <v>66</v>
      </c>
      <c r="N326">
        <v>95</v>
      </c>
      <c r="O326">
        <v>5956.5</v>
      </c>
      <c r="P326">
        <v>3828</v>
      </c>
      <c r="Q326">
        <v>2128.5</v>
      </c>
      <c r="R326">
        <v>0.05</v>
      </c>
      <c r="S326" t="s">
        <v>57</v>
      </c>
      <c r="T326">
        <v>413.86</v>
      </c>
    </row>
    <row r="327" spans="1:20" x14ac:dyDescent="0.25">
      <c r="A327">
        <v>100326</v>
      </c>
      <c r="B327" s="6">
        <v>45039</v>
      </c>
      <c r="C327">
        <v>2023</v>
      </c>
      <c r="D327" t="s">
        <v>20</v>
      </c>
      <c r="E327">
        <v>4</v>
      </c>
      <c r="F327" t="s">
        <v>34</v>
      </c>
      <c r="G327" t="s">
        <v>29</v>
      </c>
      <c r="H327" t="s">
        <v>23</v>
      </c>
      <c r="I327" t="s">
        <v>30</v>
      </c>
      <c r="J327" t="s">
        <v>54</v>
      </c>
      <c r="K327" t="s">
        <v>32</v>
      </c>
      <c r="L327" t="s">
        <v>74</v>
      </c>
      <c r="M327">
        <v>74</v>
      </c>
      <c r="N327">
        <v>25</v>
      </c>
      <c r="O327">
        <v>1813</v>
      </c>
      <c r="P327">
        <v>1036</v>
      </c>
      <c r="Q327">
        <v>777</v>
      </c>
      <c r="R327">
        <v>0.02</v>
      </c>
      <c r="S327" t="s">
        <v>38</v>
      </c>
      <c r="T327">
        <v>90.31</v>
      </c>
    </row>
    <row r="328" spans="1:20" x14ac:dyDescent="0.25">
      <c r="A328">
        <v>100327</v>
      </c>
      <c r="B328" s="6">
        <v>45574</v>
      </c>
      <c r="C328">
        <v>2024</v>
      </c>
      <c r="D328" t="s">
        <v>43</v>
      </c>
      <c r="E328">
        <v>10</v>
      </c>
      <c r="F328" t="s">
        <v>44</v>
      </c>
      <c r="G328" t="s">
        <v>45</v>
      </c>
      <c r="H328" t="s">
        <v>23</v>
      </c>
      <c r="I328" t="s">
        <v>62</v>
      </c>
      <c r="J328" t="s">
        <v>31</v>
      </c>
      <c r="K328" t="s">
        <v>59</v>
      </c>
      <c r="L328" t="s">
        <v>67</v>
      </c>
      <c r="M328">
        <v>10</v>
      </c>
      <c r="N328">
        <v>95</v>
      </c>
      <c r="O328">
        <v>874</v>
      </c>
      <c r="P328">
        <v>560</v>
      </c>
      <c r="Q328">
        <v>314</v>
      </c>
      <c r="R328">
        <v>0.08</v>
      </c>
      <c r="S328" t="s">
        <v>38</v>
      </c>
      <c r="T328">
        <v>42.61</v>
      </c>
    </row>
    <row r="329" spans="1:20" x14ac:dyDescent="0.25">
      <c r="A329">
        <v>100328</v>
      </c>
      <c r="B329" s="6">
        <v>45728</v>
      </c>
      <c r="C329">
        <v>2025</v>
      </c>
      <c r="D329" t="s">
        <v>63</v>
      </c>
      <c r="E329">
        <v>3</v>
      </c>
      <c r="F329" t="s">
        <v>64</v>
      </c>
      <c r="G329" t="s">
        <v>35</v>
      </c>
      <c r="H329" t="s">
        <v>23</v>
      </c>
      <c r="I329" t="s">
        <v>36</v>
      </c>
      <c r="J329" t="s">
        <v>66</v>
      </c>
      <c r="K329" t="s">
        <v>51</v>
      </c>
      <c r="L329" t="s">
        <v>76</v>
      </c>
      <c r="M329">
        <v>111</v>
      </c>
      <c r="N329">
        <v>40</v>
      </c>
      <c r="O329">
        <v>4351.2</v>
      </c>
      <c r="P329">
        <v>2553</v>
      </c>
      <c r="Q329">
        <v>1798.2</v>
      </c>
      <c r="R329">
        <v>0.02</v>
      </c>
      <c r="S329" t="s">
        <v>57</v>
      </c>
      <c r="T329">
        <v>196.68</v>
      </c>
    </row>
    <row r="330" spans="1:20" x14ac:dyDescent="0.25">
      <c r="A330">
        <v>100329</v>
      </c>
      <c r="B330" s="6">
        <v>44971</v>
      </c>
      <c r="C330">
        <v>2023</v>
      </c>
      <c r="D330" t="s">
        <v>63</v>
      </c>
      <c r="E330">
        <v>2</v>
      </c>
      <c r="F330" t="s">
        <v>81</v>
      </c>
      <c r="G330" t="s">
        <v>45</v>
      </c>
      <c r="H330" t="s">
        <v>23</v>
      </c>
      <c r="I330" t="s">
        <v>90</v>
      </c>
      <c r="J330" t="s">
        <v>68</v>
      </c>
      <c r="K330" t="s">
        <v>59</v>
      </c>
      <c r="L330" t="s">
        <v>91</v>
      </c>
      <c r="M330">
        <v>75</v>
      </c>
      <c r="N330">
        <v>140</v>
      </c>
      <c r="O330">
        <v>10500</v>
      </c>
      <c r="P330">
        <v>6150</v>
      </c>
      <c r="Q330">
        <v>4350</v>
      </c>
      <c r="R330">
        <v>0</v>
      </c>
      <c r="S330" t="s">
        <v>38</v>
      </c>
      <c r="T330">
        <v>446.61</v>
      </c>
    </row>
    <row r="331" spans="1:20" x14ac:dyDescent="0.25">
      <c r="A331">
        <v>100330</v>
      </c>
      <c r="B331" s="6">
        <v>45248</v>
      </c>
      <c r="C331">
        <v>2023</v>
      </c>
      <c r="D331" t="s">
        <v>43</v>
      </c>
      <c r="E331">
        <v>11</v>
      </c>
      <c r="F331" t="s">
        <v>87</v>
      </c>
      <c r="G331" t="s">
        <v>35</v>
      </c>
      <c r="H331" t="s">
        <v>23</v>
      </c>
      <c r="I331" t="s">
        <v>36</v>
      </c>
      <c r="J331" t="s">
        <v>66</v>
      </c>
      <c r="K331" t="s">
        <v>51</v>
      </c>
      <c r="L331" t="s">
        <v>52</v>
      </c>
      <c r="M331">
        <v>43</v>
      </c>
      <c r="N331">
        <v>75</v>
      </c>
      <c r="O331">
        <v>3160.5</v>
      </c>
      <c r="P331">
        <v>1892</v>
      </c>
      <c r="Q331">
        <v>1268.5</v>
      </c>
      <c r="R331">
        <v>0.02</v>
      </c>
      <c r="S331" t="s">
        <v>38</v>
      </c>
      <c r="T331">
        <v>187.07</v>
      </c>
    </row>
    <row r="332" spans="1:20" x14ac:dyDescent="0.25">
      <c r="A332">
        <v>100331</v>
      </c>
      <c r="B332" s="6">
        <v>45977</v>
      </c>
      <c r="C332">
        <v>2025</v>
      </c>
      <c r="D332" t="s">
        <v>43</v>
      </c>
      <c r="E332">
        <v>11</v>
      </c>
      <c r="F332" t="s">
        <v>87</v>
      </c>
      <c r="G332" t="s">
        <v>35</v>
      </c>
      <c r="H332" t="s">
        <v>23</v>
      </c>
      <c r="I332" t="s">
        <v>77</v>
      </c>
      <c r="J332" t="s">
        <v>61</v>
      </c>
      <c r="K332" t="s">
        <v>59</v>
      </c>
      <c r="L332" t="s">
        <v>67</v>
      </c>
      <c r="M332">
        <v>74</v>
      </c>
      <c r="N332">
        <v>95</v>
      </c>
      <c r="O332">
        <v>6819.1</v>
      </c>
      <c r="P332">
        <v>4144</v>
      </c>
      <c r="Q332">
        <v>2675.1</v>
      </c>
      <c r="R332">
        <v>0.03</v>
      </c>
      <c r="S332" t="s">
        <v>70</v>
      </c>
      <c r="T332">
        <v>184.53</v>
      </c>
    </row>
    <row r="333" spans="1:20" x14ac:dyDescent="0.25">
      <c r="A333">
        <v>100332</v>
      </c>
      <c r="B333" s="6">
        <v>46003</v>
      </c>
      <c r="C333">
        <v>2025</v>
      </c>
      <c r="D333" t="s">
        <v>43</v>
      </c>
      <c r="E333">
        <v>12</v>
      </c>
      <c r="F333" t="s">
        <v>83</v>
      </c>
      <c r="G333" t="s">
        <v>22</v>
      </c>
      <c r="H333" t="s">
        <v>23</v>
      </c>
      <c r="I333" t="s">
        <v>71</v>
      </c>
      <c r="J333" t="s">
        <v>68</v>
      </c>
      <c r="K333" t="s">
        <v>26</v>
      </c>
      <c r="L333" t="s">
        <v>69</v>
      </c>
      <c r="M333">
        <v>90</v>
      </c>
      <c r="N333">
        <v>130</v>
      </c>
      <c r="O333">
        <v>11115</v>
      </c>
      <c r="P333">
        <v>6840</v>
      </c>
      <c r="Q333">
        <v>4275</v>
      </c>
      <c r="R333">
        <v>0.05</v>
      </c>
      <c r="S333" t="s">
        <v>70</v>
      </c>
      <c r="T333">
        <v>696.7</v>
      </c>
    </row>
    <row r="334" spans="1:20" x14ac:dyDescent="0.25">
      <c r="A334">
        <v>100333</v>
      </c>
      <c r="B334" s="6">
        <v>45586</v>
      </c>
      <c r="C334">
        <v>2024</v>
      </c>
      <c r="D334" t="s">
        <v>43</v>
      </c>
      <c r="E334">
        <v>10</v>
      </c>
      <c r="F334" t="s">
        <v>44</v>
      </c>
      <c r="G334" t="s">
        <v>29</v>
      </c>
      <c r="H334" t="s">
        <v>23</v>
      </c>
      <c r="I334" t="s">
        <v>85</v>
      </c>
      <c r="J334" t="s">
        <v>66</v>
      </c>
      <c r="K334" t="s">
        <v>51</v>
      </c>
      <c r="L334" t="s">
        <v>72</v>
      </c>
      <c r="M334">
        <v>119</v>
      </c>
      <c r="N334">
        <v>90</v>
      </c>
      <c r="O334">
        <v>9853.2000000000007</v>
      </c>
      <c r="P334">
        <v>6188</v>
      </c>
      <c r="Q334">
        <v>3665.2</v>
      </c>
      <c r="R334">
        <v>0.08</v>
      </c>
      <c r="S334" t="s">
        <v>70</v>
      </c>
      <c r="T334">
        <v>583.48</v>
      </c>
    </row>
    <row r="335" spans="1:20" x14ac:dyDescent="0.25">
      <c r="A335">
        <v>100334</v>
      </c>
      <c r="B335" s="6">
        <v>45186</v>
      </c>
      <c r="C335">
        <v>2023</v>
      </c>
      <c r="D335" t="s">
        <v>39</v>
      </c>
      <c r="E335">
        <v>9</v>
      </c>
      <c r="F335" t="s">
        <v>40</v>
      </c>
      <c r="G335" t="s">
        <v>45</v>
      </c>
      <c r="H335" t="s">
        <v>23</v>
      </c>
      <c r="I335" t="s">
        <v>90</v>
      </c>
      <c r="J335" t="s">
        <v>68</v>
      </c>
      <c r="K335" t="s">
        <v>26</v>
      </c>
      <c r="L335" t="s">
        <v>78</v>
      </c>
      <c r="M335">
        <v>21</v>
      </c>
      <c r="N335">
        <v>95</v>
      </c>
      <c r="O335">
        <v>1935.15</v>
      </c>
      <c r="P335">
        <v>1218</v>
      </c>
      <c r="Q335">
        <v>717.15</v>
      </c>
      <c r="R335">
        <v>0.03</v>
      </c>
      <c r="S335" t="s">
        <v>57</v>
      </c>
      <c r="T335">
        <v>59.28</v>
      </c>
    </row>
    <row r="336" spans="1:20" x14ac:dyDescent="0.25">
      <c r="A336">
        <v>100335</v>
      </c>
      <c r="B336" s="6">
        <v>45799</v>
      </c>
      <c r="C336">
        <v>2025</v>
      </c>
      <c r="D336" t="s">
        <v>20</v>
      </c>
      <c r="E336">
        <v>5</v>
      </c>
      <c r="F336" t="s">
        <v>21</v>
      </c>
      <c r="G336" t="s">
        <v>29</v>
      </c>
      <c r="H336" t="s">
        <v>23</v>
      </c>
      <c r="I336" t="s">
        <v>73</v>
      </c>
      <c r="J336" t="s">
        <v>66</v>
      </c>
      <c r="K336" t="s">
        <v>51</v>
      </c>
      <c r="L336" t="s">
        <v>52</v>
      </c>
      <c r="M336">
        <v>102</v>
      </c>
      <c r="N336">
        <v>75</v>
      </c>
      <c r="O336">
        <v>7650</v>
      </c>
      <c r="P336">
        <v>4488</v>
      </c>
      <c r="Q336">
        <v>3162</v>
      </c>
      <c r="R336">
        <v>0</v>
      </c>
      <c r="S336" t="s">
        <v>28</v>
      </c>
      <c r="T336">
        <v>230.95</v>
      </c>
    </row>
    <row r="337" spans="1:20" x14ac:dyDescent="0.25">
      <c r="A337">
        <v>100336</v>
      </c>
      <c r="B337" s="6">
        <v>45744</v>
      </c>
      <c r="C337">
        <v>2025</v>
      </c>
      <c r="D337" t="s">
        <v>63</v>
      </c>
      <c r="E337">
        <v>3</v>
      </c>
      <c r="F337" t="s">
        <v>64</v>
      </c>
      <c r="G337" t="s">
        <v>29</v>
      </c>
      <c r="H337" t="s">
        <v>23</v>
      </c>
      <c r="I337" t="s">
        <v>73</v>
      </c>
      <c r="J337" t="s">
        <v>42</v>
      </c>
      <c r="K337" t="s">
        <v>51</v>
      </c>
      <c r="L337" t="s">
        <v>72</v>
      </c>
      <c r="M337">
        <v>130</v>
      </c>
      <c r="N337">
        <v>90</v>
      </c>
      <c r="O337">
        <v>11700</v>
      </c>
      <c r="P337">
        <v>6760</v>
      </c>
      <c r="Q337">
        <v>4940</v>
      </c>
      <c r="R337">
        <v>0</v>
      </c>
      <c r="S337" t="s">
        <v>38</v>
      </c>
      <c r="T337">
        <v>774.53</v>
      </c>
    </row>
    <row r="338" spans="1:20" x14ac:dyDescent="0.25">
      <c r="A338">
        <v>100337</v>
      </c>
      <c r="B338" s="6">
        <v>45063</v>
      </c>
      <c r="C338">
        <v>2023</v>
      </c>
      <c r="D338" t="s">
        <v>20</v>
      </c>
      <c r="E338">
        <v>5</v>
      </c>
      <c r="F338" t="s">
        <v>21</v>
      </c>
      <c r="G338" t="s">
        <v>22</v>
      </c>
      <c r="H338" t="s">
        <v>23</v>
      </c>
      <c r="I338" t="s">
        <v>41</v>
      </c>
      <c r="J338" t="s">
        <v>42</v>
      </c>
      <c r="K338" t="s">
        <v>51</v>
      </c>
      <c r="L338" t="s">
        <v>72</v>
      </c>
      <c r="M338">
        <v>91</v>
      </c>
      <c r="N338">
        <v>90</v>
      </c>
      <c r="O338">
        <v>7534.8</v>
      </c>
      <c r="P338">
        <v>4732</v>
      </c>
      <c r="Q338">
        <v>2802.8</v>
      </c>
      <c r="R338">
        <v>0.08</v>
      </c>
      <c r="S338" t="s">
        <v>38</v>
      </c>
      <c r="T338">
        <v>292.8</v>
      </c>
    </row>
    <row r="339" spans="1:20" x14ac:dyDescent="0.25">
      <c r="A339">
        <v>100338</v>
      </c>
      <c r="B339" s="6">
        <v>45617</v>
      </c>
      <c r="C339">
        <v>2024</v>
      </c>
      <c r="D339" t="s">
        <v>43</v>
      </c>
      <c r="E339">
        <v>11</v>
      </c>
      <c r="F339" t="s">
        <v>87</v>
      </c>
      <c r="G339" t="s">
        <v>45</v>
      </c>
      <c r="H339" t="s">
        <v>23</v>
      </c>
      <c r="I339" t="s">
        <v>46</v>
      </c>
      <c r="J339" t="s">
        <v>68</v>
      </c>
      <c r="K339" t="s">
        <v>26</v>
      </c>
      <c r="L339" t="s">
        <v>78</v>
      </c>
      <c r="M339">
        <v>69</v>
      </c>
      <c r="N339">
        <v>95</v>
      </c>
      <c r="O339">
        <v>6227.25</v>
      </c>
      <c r="P339">
        <v>4002</v>
      </c>
      <c r="Q339">
        <v>2225.25</v>
      </c>
      <c r="R339">
        <v>0.05</v>
      </c>
      <c r="S339" t="s">
        <v>38</v>
      </c>
      <c r="T339">
        <v>334.48</v>
      </c>
    </row>
    <row r="340" spans="1:20" x14ac:dyDescent="0.25">
      <c r="A340">
        <v>100339</v>
      </c>
      <c r="B340" s="6">
        <v>45161</v>
      </c>
      <c r="C340">
        <v>2023</v>
      </c>
      <c r="D340" t="s">
        <v>39</v>
      </c>
      <c r="E340">
        <v>8</v>
      </c>
      <c r="F340" t="s">
        <v>58</v>
      </c>
      <c r="G340" t="s">
        <v>45</v>
      </c>
      <c r="H340" t="s">
        <v>23</v>
      </c>
      <c r="I340" t="s">
        <v>46</v>
      </c>
      <c r="J340" t="s">
        <v>66</v>
      </c>
      <c r="K340" t="s">
        <v>55</v>
      </c>
      <c r="L340" t="s">
        <v>56</v>
      </c>
      <c r="M340">
        <v>20</v>
      </c>
      <c r="N340">
        <v>320</v>
      </c>
      <c r="O340">
        <v>5760</v>
      </c>
      <c r="P340">
        <v>4700</v>
      </c>
      <c r="Q340">
        <v>1060</v>
      </c>
      <c r="R340">
        <v>0.1</v>
      </c>
      <c r="S340" t="s">
        <v>38</v>
      </c>
      <c r="T340">
        <v>308.95999999999998</v>
      </c>
    </row>
    <row r="341" spans="1:20" x14ac:dyDescent="0.25">
      <c r="A341">
        <v>100340</v>
      </c>
      <c r="B341" s="6">
        <v>45905</v>
      </c>
      <c r="C341">
        <v>2025</v>
      </c>
      <c r="D341" t="s">
        <v>39</v>
      </c>
      <c r="E341">
        <v>9</v>
      </c>
      <c r="F341" t="s">
        <v>40</v>
      </c>
      <c r="G341" t="s">
        <v>22</v>
      </c>
      <c r="H341" t="s">
        <v>23</v>
      </c>
      <c r="I341" t="s">
        <v>65</v>
      </c>
      <c r="J341" t="s">
        <v>31</v>
      </c>
      <c r="K341" t="s">
        <v>55</v>
      </c>
      <c r="L341" t="s">
        <v>93</v>
      </c>
      <c r="M341">
        <v>110</v>
      </c>
      <c r="N341">
        <v>60</v>
      </c>
      <c r="O341">
        <v>6402</v>
      </c>
      <c r="P341">
        <v>4620</v>
      </c>
      <c r="Q341">
        <v>1782</v>
      </c>
      <c r="R341">
        <v>0.03</v>
      </c>
      <c r="S341" t="s">
        <v>70</v>
      </c>
      <c r="T341">
        <v>231.63</v>
      </c>
    </row>
    <row r="342" spans="1:20" x14ac:dyDescent="0.25">
      <c r="A342">
        <v>100341</v>
      </c>
      <c r="B342" s="6">
        <v>45153</v>
      </c>
      <c r="C342">
        <v>2023</v>
      </c>
      <c r="D342" t="s">
        <v>39</v>
      </c>
      <c r="E342">
        <v>8</v>
      </c>
      <c r="F342" t="s">
        <v>58</v>
      </c>
      <c r="G342" t="s">
        <v>29</v>
      </c>
      <c r="H342" t="s">
        <v>23</v>
      </c>
      <c r="I342" t="s">
        <v>73</v>
      </c>
      <c r="J342" t="s">
        <v>54</v>
      </c>
      <c r="K342" t="s">
        <v>32</v>
      </c>
      <c r="L342" t="s">
        <v>37</v>
      </c>
      <c r="M342">
        <v>22</v>
      </c>
      <c r="N342">
        <v>120</v>
      </c>
      <c r="O342">
        <v>2560.8000000000002</v>
      </c>
      <c r="P342">
        <v>1716</v>
      </c>
      <c r="Q342">
        <v>844.8</v>
      </c>
      <c r="R342">
        <v>0.03</v>
      </c>
      <c r="S342" t="s">
        <v>57</v>
      </c>
      <c r="T342">
        <v>154.21</v>
      </c>
    </row>
    <row r="343" spans="1:20" x14ac:dyDescent="0.25">
      <c r="A343">
        <v>100342</v>
      </c>
      <c r="B343" s="6">
        <v>45575</v>
      </c>
      <c r="C343">
        <v>2024</v>
      </c>
      <c r="D343" t="s">
        <v>43</v>
      </c>
      <c r="E343">
        <v>10</v>
      </c>
      <c r="F343" t="s">
        <v>44</v>
      </c>
      <c r="G343" t="s">
        <v>45</v>
      </c>
      <c r="H343" t="s">
        <v>23</v>
      </c>
      <c r="I343" t="s">
        <v>88</v>
      </c>
      <c r="J343" t="s">
        <v>68</v>
      </c>
      <c r="K343" t="s">
        <v>59</v>
      </c>
      <c r="L343" t="s">
        <v>91</v>
      </c>
      <c r="M343">
        <v>109</v>
      </c>
      <c r="N343">
        <v>140</v>
      </c>
      <c r="O343">
        <v>14497</v>
      </c>
      <c r="P343">
        <v>8938</v>
      </c>
      <c r="Q343">
        <v>5559</v>
      </c>
      <c r="R343">
        <v>0.05</v>
      </c>
      <c r="S343" t="s">
        <v>38</v>
      </c>
      <c r="T343">
        <v>702.04</v>
      </c>
    </row>
    <row r="344" spans="1:20" x14ac:dyDescent="0.25">
      <c r="A344">
        <v>100343</v>
      </c>
      <c r="B344" s="6">
        <v>45702</v>
      </c>
      <c r="C344">
        <v>2025</v>
      </c>
      <c r="D344" t="s">
        <v>63</v>
      </c>
      <c r="E344">
        <v>2</v>
      </c>
      <c r="F344" t="s">
        <v>81</v>
      </c>
      <c r="G344" t="s">
        <v>22</v>
      </c>
      <c r="H344" t="s">
        <v>23</v>
      </c>
      <c r="I344" t="s">
        <v>65</v>
      </c>
      <c r="J344" t="s">
        <v>31</v>
      </c>
      <c r="K344" t="s">
        <v>26</v>
      </c>
      <c r="L344" t="s">
        <v>82</v>
      </c>
      <c r="M344">
        <v>79</v>
      </c>
      <c r="N344">
        <v>105</v>
      </c>
      <c r="O344">
        <v>7880.25</v>
      </c>
      <c r="P344">
        <v>4819</v>
      </c>
      <c r="Q344">
        <v>3061.25</v>
      </c>
      <c r="R344">
        <v>0.05</v>
      </c>
      <c r="S344" t="s">
        <v>70</v>
      </c>
      <c r="T344">
        <v>289.45999999999998</v>
      </c>
    </row>
    <row r="345" spans="1:20" x14ac:dyDescent="0.25">
      <c r="A345">
        <v>100344</v>
      </c>
      <c r="B345" s="6">
        <v>46015</v>
      </c>
      <c r="C345">
        <v>2025</v>
      </c>
      <c r="D345" t="s">
        <v>43</v>
      </c>
      <c r="E345">
        <v>12</v>
      </c>
      <c r="F345" t="s">
        <v>83</v>
      </c>
      <c r="G345" t="s">
        <v>29</v>
      </c>
      <c r="H345" t="s">
        <v>23</v>
      </c>
      <c r="I345" t="s">
        <v>73</v>
      </c>
      <c r="J345" t="s">
        <v>68</v>
      </c>
      <c r="K345" t="s">
        <v>51</v>
      </c>
      <c r="L345" t="s">
        <v>52</v>
      </c>
      <c r="M345">
        <v>22</v>
      </c>
      <c r="N345">
        <v>75</v>
      </c>
      <c r="O345">
        <v>1650</v>
      </c>
      <c r="P345">
        <v>968</v>
      </c>
      <c r="Q345">
        <v>682</v>
      </c>
      <c r="R345">
        <v>0</v>
      </c>
      <c r="S345" t="s">
        <v>70</v>
      </c>
      <c r="T345">
        <v>34.869999999999997</v>
      </c>
    </row>
    <row r="346" spans="1:20" x14ac:dyDescent="0.25">
      <c r="A346">
        <v>100345</v>
      </c>
      <c r="B346" s="6">
        <v>44979</v>
      </c>
      <c r="C346">
        <v>2023</v>
      </c>
      <c r="D346" t="s">
        <v>63</v>
      </c>
      <c r="E346">
        <v>2</v>
      </c>
      <c r="F346" t="s">
        <v>81</v>
      </c>
      <c r="G346" t="s">
        <v>35</v>
      </c>
      <c r="H346" t="s">
        <v>23</v>
      </c>
      <c r="I346" t="s">
        <v>36</v>
      </c>
      <c r="J346" t="s">
        <v>66</v>
      </c>
      <c r="K346" t="s">
        <v>51</v>
      </c>
      <c r="L346" t="s">
        <v>76</v>
      </c>
      <c r="M346">
        <v>33</v>
      </c>
      <c r="N346">
        <v>40</v>
      </c>
      <c r="O346">
        <v>1214.4000000000001</v>
      </c>
      <c r="P346">
        <v>759</v>
      </c>
      <c r="Q346">
        <v>455.4</v>
      </c>
      <c r="R346">
        <v>0.08</v>
      </c>
      <c r="S346" t="s">
        <v>70</v>
      </c>
      <c r="T346">
        <v>65.599999999999994</v>
      </c>
    </row>
    <row r="347" spans="1:20" x14ac:dyDescent="0.25">
      <c r="A347">
        <v>100346</v>
      </c>
      <c r="B347" s="6">
        <v>45313</v>
      </c>
      <c r="C347">
        <v>2024</v>
      </c>
      <c r="D347" t="s">
        <v>63</v>
      </c>
      <c r="E347">
        <v>1</v>
      </c>
      <c r="F347" t="s">
        <v>79</v>
      </c>
      <c r="G347" t="s">
        <v>22</v>
      </c>
      <c r="H347" t="s">
        <v>23</v>
      </c>
      <c r="I347" t="s">
        <v>41</v>
      </c>
      <c r="J347" t="s">
        <v>50</v>
      </c>
      <c r="K347" t="s">
        <v>59</v>
      </c>
      <c r="L347" t="s">
        <v>86</v>
      </c>
      <c r="M347">
        <v>125</v>
      </c>
      <c r="N347">
        <v>160</v>
      </c>
      <c r="O347">
        <v>20000</v>
      </c>
      <c r="P347">
        <v>11875</v>
      </c>
      <c r="Q347">
        <v>8125</v>
      </c>
      <c r="R347">
        <v>0</v>
      </c>
      <c r="S347" t="s">
        <v>38</v>
      </c>
      <c r="T347">
        <v>810.5</v>
      </c>
    </row>
    <row r="348" spans="1:20" x14ac:dyDescent="0.25">
      <c r="A348">
        <v>100347</v>
      </c>
      <c r="B348" s="6">
        <v>45784</v>
      </c>
      <c r="C348">
        <v>2025</v>
      </c>
      <c r="D348" t="s">
        <v>20</v>
      </c>
      <c r="E348">
        <v>5</v>
      </c>
      <c r="F348" t="s">
        <v>21</v>
      </c>
      <c r="G348" t="s">
        <v>35</v>
      </c>
      <c r="H348" t="s">
        <v>23</v>
      </c>
      <c r="I348" t="s">
        <v>77</v>
      </c>
      <c r="J348" t="s">
        <v>68</v>
      </c>
      <c r="K348" t="s">
        <v>51</v>
      </c>
      <c r="L348" t="s">
        <v>72</v>
      </c>
      <c r="M348">
        <v>25</v>
      </c>
      <c r="N348">
        <v>90</v>
      </c>
      <c r="O348">
        <v>2137.5</v>
      </c>
      <c r="P348">
        <v>1300</v>
      </c>
      <c r="Q348">
        <v>837.5</v>
      </c>
      <c r="R348">
        <v>0.05</v>
      </c>
      <c r="S348" t="s">
        <v>28</v>
      </c>
      <c r="T348">
        <v>93.35</v>
      </c>
    </row>
    <row r="349" spans="1:20" x14ac:dyDescent="0.25">
      <c r="A349">
        <v>100348</v>
      </c>
      <c r="B349" s="6">
        <v>45101</v>
      </c>
      <c r="C349">
        <v>2023</v>
      </c>
      <c r="D349" t="s">
        <v>20</v>
      </c>
      <c r="E349">
        <v>6</v>
      </c>
      <c r="F349" t="s">
        <v>48</v>
      </c>
      <c r="G349" t="s">
        <v>35</v>
      </c>
      <c r="H349" t="s">
        <v>23</v>
      </c>
      <c r="I349" t="s">
        <v>77</v>
      </c>
      <c r="J349" t="s">
        <v>42</v>
      </c>
      <c r="K349" t="s">
        <v>32</v>
      </c>
      <c r="L349" t="s">
        <v>33</v>
      </c>
      <c r="M349">
        <v>144</v>
      </c>
      <c r="N349">
        <v>60</v>
      </c>
      <c r="O349">
        <v>8640</v>
      </c>
      <c r="P349">
        <v>5472</v>
      </c>
      <c r="Q349">
        <v>3168</v>
      </c>
      <c r="R349">
        <v>0</v>
      </c>
      <c r="S349" t="s">
        <v>57</v>
      </c>
      <c r="T349">
        <v>268.98</v>
      </c>
    </row>
    <row r="350" spans="1:20" x14ac:dyDescent="0.25">
      <c r="A350">
        <v>100349</v>
      </c>
      <c r="B350" s="6">
        <v>45445</v>
      </c>
      <c r="C350">
        <v>2024</v>
      </c>
      <c r="D350" t="s">
        <v>20</v>
      </c>
      <c r="E350">
        <v>6</v>
      </c>
      <c r="F350" t="s">
        <v>48</v>
      </c>
      <c r="G350" t="s">
        <v>29</v>
      </c>
      <c r="H350" t="s">
        <v>23</v>
      </c>
      <c r="I350" t="s">
        <v>73</v>
      </c>
      <c r="J350" t="s">
        <v>50</v>
      </c>
      <c r="K350" t="s">
        <v>51</v>
      </c>
      <c r="L350" t="s">
        <v>72</v>
      </c>
      <c r="M350">
        <v>52</v>
      </c>
      <c r="N350">
        <v>90</v>
      </c>
      <c r="O350">
        <v>4446</v>
      </c>
      <c r="P350">
        <v>2704</v>
      </c>
      <c r="Q350">
        <v>1742</v>
      </c>
      <c r="R350">
        <v>0.05</v>
      </c>
      <c r="S350" t="s">
        <v>57</v>
      </c>
      <c r="T350">
        <v>200.79</v>
      </c>
    </row>
    <row r="351" spans="1:20" x14ac:dyDescent="0.25">
      <c r="A351">
        <v>100350</v>
      </c>
      <c r="B351" s="6">
        <v>45383</v>
      </c>
      <c r="C351">
        <v>2024</v>
      </c>
      <c r="D351" t="s">
        <v>20</v>
      </c>
      <c r="E351">
        <v>4</v>
      </c>
      <c r="F351" t="s">
        <v>34</v>
      </c>
      <c r="G351" t="s">
        <v>29</v>
      </c>
      <c r="H351" t="s">
        <v>23</v>
      </c>
      <c r="I351" t="s">
        <v>30</v>
      </c>
      <c r="J351" t="s">
        <v>25</v>
      </c>
      <c r="K351" t="s">
        <v>26</v>
      </c>
      <c r="L351" t="s">
        <v>69</v>
      </c>
      <c r="M351">
        <v>54</v>
      </c>
      <c r="N351">
        <v>130</v>
      </c>
      <c r="O351">
        <v>6809.4</v>
      </c>
      <c r="P351">
        <v>4104</v>
      </c>
      <c r="Q351">
        <v>2705.4</v>
      </c>
      <c r="R351">
        <v>0.03</v>
      </c>
      <c r="S351" t="s">
        <v>57</v>
      </c>
      <c r="T351">
        <v>215.59</v>
      </c>
    </row>
    <row r="352" spans="1:20" x14ac:dyDescent="0.25">
      <c r="A352">
        <v>100351</v>
      </c>
      <c r="B352" s="6">
        <v>45083</v>
      </c>
      <c r="C352">
        <v>2023</v>
      </c>
      <c r="D352" t="s">
        <v>20</v>
      </c>
      <c r="E352">
        <v>6</v>
      </c>
      <c r="F352" t="s">
        <v>48</v>
      </c>
      <c r="G352" t="s">
        <v>35</v>
      </c>
      <c r="H352" t="s">
        <v>23</v>
      </c>
      <c r="I352" t="s">
        <v>36</v>
      </c>
      <c r="J352" t="s">
        <v>68</v>
      </c>
      <c r="K352" t="s">
        <v>59</v>
      </c>
      <c r="L352" t="s">
        <v>67</v>
      </c>
      <c r="M352">
        <v>133</v>
      </c>
      <c r="N352">
        <v>95</v>
      </c>
      <c r="O352">
        <v>12255.95</v>
      </c>
      <c r="P352">
        <v>7448</v>
      </c>
      <c r="Q352">
        <v>4807.95</v>
      </c>
      <c r="R352">
        <v>0.03</v>
      </c>
      <c r="S352" t="s">
        <v>28</v>
      </c>
      <c r="T352">
        <v>222.83</v>
      </c>
    </row>
    <row r="353" spans="1:20" x14ac:dyDescent="0.25">
      <c r="A353">
        <v>100352</v>
      </c>
      <c r="B353" s="6">
        <v>45557</v>
      </c>
      <c r="C353">
        <v>2024</v>
      </c>
      <c r="D353" t="s">
        <v>39</v>
      </c>
      <c r="E353">
        <v>9</v>
      </c>
      <c r="F353" t="s">
        <v>40</v>
      </c>
      <c r="G353" t="s">
        <v>45</v>
      </c>
      <c r="H353" t="s">
        <v>23</v>
      </c>
      <c r="I353" t="s">
        <v>62</v>
      </c>
      <c r="J353" t="s">
        <v>42</v>
      </c>
      <c r="K353" t="s">
        <v>55</v>
      </c>
      <c r="L353" t="s">
        <v>84</v>
      </c>
      <c r="M353">
        <v>84</v>
      </c>
      <c r="N353">
        <v>55</v>
      </c>
      <c r="O353">
        <v>4158</v>
      </c>
      <c r="P353">
        <v>3108</v>
      </c>
      <c r="Q353">
        <v>1050</v>
      </c>
      <c r="R353">
        <v>0.1</v>
      </c>
      <c r="S353" t="s">
        <v>38</v>
      </c>
      <c r="T353">
        <v>79.66</v>
      </c>
    </row>
    <row r="354" spans="1:20" x14ac:dyDescent="0.25">
      <c r="A354">
        <v>100353</v>
      </c>
      <c r="B354" s="6">
        <v>45288</v>
      </c>
      <c r="C354">
        <v>2023</v>
      </c>
      <c r="D354" t="s">
        <v>43</v>
      </c>
      <c r="E354">
        <v>12</v>
      </c>
      <c r="F354" t="s">
        <v>83</v>
      </c>
      <c r="G354" t="s">
        <v>45</v>
      </c>
      <c r="H354" t="s">
        <v>23</v>
      </c>
      <c r="I354" t="s">
        <v>88</v>
      </c>
      <c r="J354" t="s">
        <v>31</v>
      </c>
      <c r="K354" t="s">
        <v>26</v>
      </c>
      <c r="L354" t="s">
        <v>69</v>
      </c>
      <c r="M354">
        <v>54</v>
      </c>
      <c r="N354">
        <v>130</v>
      </c>
      <c r="O354">
        <v>6879.6</v>
      </c>
      <c r="P354">
        <v>4104</v>
      </c>
      <c r="Q354">
        <v>2775.6</v>
      </c>
      <c r="R354">
        <v>0.02</v>
      </c>
      <c r="S354" t="s">
        <v>70</v>
      </c>
      <c r="T354">
        <v>474.63</v>
      </c>
    </row>
    <row r="355" spans="1:20" x14ac:dyDescent="0.25">
      <c r="A355">
        <v>100354</v>
      </c>
      <c r="B355" s="6">
        <v>45933</v>
      </c>
      <c r="C355">
        <v>2025</v>
      </c>
      <c r="D355" t="s">
        <v>43</v>
      </c>
      <c r="E355">
        <v>10</v>
      </c>
      <c r="F355" t="s">
        <v>44</v>
      </c>
      <c r="G355" t="s">
        <v>22</v>
      </c>
      <c r="H355" t="s">
        <v>23</v>
      </c>
      <c r="I355" t="s">
        <v>65</v>
      </c>
      <c r="J355" t="s">
        <v>66</v>
      </c>
      <c r="K355" t="s">
        <v>59</v>
      </c>
      <c r="L355" t="s">
        <v>60</v>
      </c>
      <c r="M355">
        <v>58</v>
      </c>
      <c r="N355">
        <v>45</v>
      </c>
      <c r="O355">
        <v>2349</v>
      </c>
      <c r="P355">
        <v>1566</v>
      </c>
      <c r="Q355">
        <v>783</v>
      </c>
      <c r="R355">
        <v>0.1</v>
      </c>
      <c r="S355" t="s">
        <v>70</v>
      </c>
      <c r="T355">
        <v>78.819999999999993</v>
      </c>
    </row>
    <row r="356" spans="1:20" x14ac:dyDescent="0.25">
      <c r="A356">
        <v>100355</v>
      </c>
      <c r="B356" s="6">
        <v>45485</v>
      </c>
      <c r="C356">
        <v>2024</v>
      </c>
      <c r="D356" t="s">
        <v>39</v>
      </c>
      <c r="E356">
        <v>7</v>
      </c>
      <c r="F356" t="s">
        <v>75</v>
      </c>
      <c r="G356" t="s">
        <v>22</v>
      </c>
      <c r="H356" t="s">
        <v>23</v>
      </c>
      <c r="I356" t="s">
        <v>71</v>
      </c>
      <c r="J356" t="s">
        <v>25</v>
      </c>
      <c r="K356" t="s">
        <v>26</v>
      </c>
      <c r="L356" t="s">
        <v>78</v>
      </c>
      <c r="M356">
        <v>123</v>
      </c>
      <c r="N356">
        <v>95</v>
      </c>
      <c r="O356">
        <v>11685</v>
      </c>
      <c r="P356">
        <v>7134</v>
      </c>
      <c r="Q356">
        <v>4551</v>
      </c>
      <c r="R356">
        <v>0</v>
      </c>
      <c r="S356" t="s">
        <v>38</v>
      </c>
      <c r="T356">
        <v>580.75</v>
      </c>
    </row>
    <row r="357" spans="1:20" x14ac:dyDescent="0.25">
      <c r="A357">
        <v>100356</v>
      </c>
      <c r="B357" s="6">
        <v>45872</v>
      </c>
      <c r="C357">
        <v>2025</v>
      </c>
      <c r="D357" t="s">
        <v>39</v>
      </c>
      <c r="E357">
        <v>8</v>
      </c>
      <c r="F357" t="s">
        <v>58</v>
      </c>
      <c r="G357" t="s">
        <v>35</v>
      </c>
      <c r="H357" t="s">
        <v>23</v>
      </c>
      <c r="I357" t="s">
        <v>53</v>
      </c>
      <c r="J357" t="s">
        <v>66</v>
      </c>
      <c r="K357" t="s">
        <v>26</v>
      </c>
      <c r="L357" t="s">
        <v>82</v>
      </c>
      <c r="M357">
        <v>70</v>
      </c>
      <c r="N357">
        <v>105</v>
      </c>
      <c r="O357">
        <v>6615</v>
      </c>
      <c r="P357">
        <v>4270</v>
      </c>
      <c r="Q357">
        <v>2345</v>
      </c>
      <c r="R357">
        <v>0.1</v>
      </c>
      <c r="S357" t="s">
        <v>38</v>
      </c>
      <c r="T357">
        <v>449.34</v>
      </c>
    </row>
    <row r="358" spans="1:20" x14ac:dyDescent="0.25">
      <c r="A358">
        <v>100357</v>
      </c>
      <c r="B358" s="6">
        <v>45524</v>
      </c>
      <c r="C358">
        <v>2024</v>
      </c>
      <c r="D358" t="s">
        <v>39</v>
      </c>
      <c r="E358">
        <v>8</v>
      </c>
      <c r="F358" t="s">
        <v>58</v>
      </c>
      <c r="G358" t="s">
        <v>35</v>
      </c>
      <c r="H358" t="s">
        <v>23</v>
      </c>
      <c r="I358" t="s">
        <v>36</v>
      </c>
      <c r="J358" t="s">
        <v>66</v>
      </c>
      <c r="K358" t="s">
        <v>59</v>
      </c>
      <c r="L358" t="s">
        <v>86</v>
      </c>
      <c r="M358">
        <v>150</v>
      </c>
      <c r="N358">
        <v>160</v>
      </c>
      <c r="O358">
        <v>23280</v>
      </c>
      <c r="P358">
        <v>14250</v>
      </c>
      <c r="Q358">
        <v>9030</v>
      </c>
      <c r="R358">
        <v>0.03</v>
      </c>
      <c r="S358" t="s">
        <v>70</v>
      </c>
      <c r="T358">
        <v>1067.3399999999999</v>
      </c>
    </row>
    <row r="359" spans="1:20" x14ac:dyDescent="0.25">
      <c r="A359">
        <v>100358</v>
      </c>
      <c r="B359" s="6">
        <v>45419</v>
      </c>
      <c r="C359">
        <v>2024</v>
      </c>
      <c r="D359" t="s">
        <v>20</v>
      </c>
      <c r="E359">
        <v>5</v>
      </c>
      <c r="F359" t="s">
        <v>21</v>
      </c>
      <c r="G359" t="s">
        <v>22</v>
      </c>
      <c r="H359" t="s">
        <v>23</v>
      </c>
      <c r="I359" t="s">
        <v>65</v>
      </c>
      <c r="J359" t="s">
        <v>50</v>
      </c>
      <c r="K359" t="s">
        <v>26</v>
      </c>
      <c r="L359" t="s">
        <v>82</v>
      </c>
      <c r="M359">
        <v>84</v>
      </c>
      <c r="N359">
        <v>105</v>
      </c>
      <c r="O359">
        <v>8379</v>
      </c>
      <c r="P359">
        <v>5124</v>
      </c>
      <c r="Q359">
        <v>3255</v>
      </c>
      <c r="R359">
        <v>0.05</v>
      </c>
      <c r="S359" t="s">
        <v>57</v>
      </c>
      <c r="T359">
        <v>519.15</v>
      </c>
    </row>
    <row r="360" spans="1:20" x14ac:dyDescent="0.25">
      <c r="A360">
        <v>100359</v>
      </c>
      <c r="B360" s="6">
        <v>45198</v>
      </c>
      <c r="C360">
        <v>2023</v>
      </c>
      <c r="D360" t="s">
        <v>39</v>
      </c>
      <c r="E360">
        <v>9</v>
      </c>
      <c r="F360" t="s">
        <v>40</v>
      </c>
      <c r="G360" t="s">
        <v>29</v>
      </c>
      <c r="H360" t="s">
        <v>23</v>
      </c>
      <c r="I360" t="s">
        <v>30</v>
      </c>
      <c r="J360" t="s">
        <v>50</v>
      </c>
      <c r="K360" t="s">
        <v>59</v>
      </c>
      <c r="L360" t="s">
        <v>91</v>
      </c>
      <c r="M360">
        <v>73</v>
      </c>
      <c r="N360">
        <v>140</v>
      </c>
      <c r="O360">
        <v>9198</v>
      </c>
      <c r="P360">
        <v>5986</v>
      </c>
      <c r="Q360">
        <v>3212</v>
      </c>
      <c r="R360">
        <v>0.1</v>
      </c>
      <c r="S360" t="s">
        <v>38</v>
      </c>
      <c r="T360">
        <v>402.32</v>
      </c>
    </row>
    <row r="361" spans="1:20" x14ac:dyDescent="0.25">
      <c r="A361">
        <v>100360</v>
      </c>
      <c r="B361" s="6">
        <v>45200</v>
      </c>
      <c r="C361">
        <v>2023</v>
      </c>
      <c r="D361" t="s">
        <v>43</v>
      </c>
      <c r="E361">
        <v>10</v>
      </c>
      <c r="F361" t="s">
        <v>44</v>
      </c>
      <c r="G361" t="s">
        <v>22</v>
      </c>
      <c r="H361" t="s">
        <v>23</v>
      </c>
      <c r="I361" t="s">
        <v>24</v>
      </c>
      <c r="J361" t="s">
        <v>25</v>
      </c>
      <c r="K361" t="s">
        <v>32</v>
      </c>
      <c r="L361" t="s">
        <v>33</v>
      </c>
      <c r="M361">
        <v>143</v>
      </c>
      <c r="N361">
        <v>60</v>
      </c>
      <c r="O361">
        <v>8408.4</v>
      </c>
      <c r="P361">
        <v>5434</v>
      </c>
      <c r="Q361">
        <v>2974.4</v>
      </c>
      <c r="R361">
        <v>0.02</v>
      </c>
      <c r="S361" t="s">
        <v>38</v>
      </c>
      <c r="T361">
        <v>492.67</v>
      </c>
    </row>
    <row r="362" spans="1:20" x14ac:dyDescent="0.25">
      <c r="A362">
        <v>100361</v>
      </c>
      <c r="B362" s="6">
        <v>45545</v>
      </c>
      <c r="C362">
        <v>2024</v>
      </c>
      <c r="D362" t="s">
        <v>39</v>
      </c>
      <c r="E362">
        <v>9</v>
      </c>
      <c r="F362" t="s">
        <v>40</v>
      </c>
      <c r="G362" t="s">
        <v>22</v>
      </c>
      <c r="H362" t="s">
        <v>23</v>
      </c>
      <c r="I362" t="s">
        <v>71</v>
      </c>
      <c r="J362" t="s">
        <v>31</v>
      </c>
      <c r="K362" t="s">
        <v>55</v>
      </c>
      <c r="L362" t="s">
        <v>84</v>
      </c>
      <c r="M362">
        <v>17</v>
      </c>
      <c r="N362">
        <v>55</v>
      </c>
      <c r="O362">
        <v>935</v>
      </c>
      <c r="P362">
        <v>629</v>
      </c>
      <c r="Q362">
        <v>306</v>
      </c>
      <c r="R362">
        <v>0</v>
      </c>
      <c r="S362" t="s">
        <v>38</v>
      </c>
      <c r="T362">
        <v>38.549999999999997</v>
      </c>
    </row>
    <row r="363" spans="1:20" x14ac:dyDescent="0.25">
      <c r="A363">
        <v>100362</v>
      </c>
      <c r="B363" s="6">
        <v>45759</v>
      </c>
      <c r="C363">
        <v>2025</v>
      </c>
      <c r="D363" t="s">
        <v>20</v>
      </c>
      <c r="E363">
        <v>4</v>
      </c>
      <c r="F363" t="s">
        <v>34</v>
      </c>
      <c r="G363" t="s">
        <v>22</v>
      </c>
      <c r="H363" t="s">
        <v>23</v>
      </c>
      <c r="I363" t="s">
        <v>24</v>
      </c>
      <c r="J363" t="s">
        <v>50</v>
      </c>
      <c r="K363" t="s">
        <v>26</v>
      </c>
      <c r="L363" t="s">
        <v>82</v>
      </c>
      <c r="M363">
        <v>97</v>
      </c>
      <c r="N363">
        <v>105</v>
      </c>
      <c r="O363">
        <v>9675.75</v>
      </c>
      <c r="P363">
        <v>5917</v>
      </c>
      <c r="Q363">
        <v>3758.75</v>
      </c>
      <c r="R363">
        <v>0.05</v>
      </c>
      <c r="S363" t="s">
        <v>38</v>
      </c>
      <c r="T363">
        <v>600.25</v>
      </c>
    </row>
    <row r="364" spans="1:20" x14ac:dyDescent="0.25">
      <c r="A364">
        <v>100363</v>
      </c>
      <c r="B364" s="6">
        <v>45000</v>
      </c>
      <c r="C364">
        <v>2023</v>
      </c>
      <c r="D364" t="s">
        <v>63</v>
      </c>
      <c r="E364">
        <v>3</v>
      </c>
      <c r="F364" t="s">
        <v>64</v>
      </c>
      <c r="G364" t="s">
        <v>29</v>
      </c>
      <c r="H364" t="s">
        <v>23</v>
      </c>
      <c r="I364" t="s">
        <v>73</v>
      </c>
      <c r="J364" t="s">
        <v>25</v>
      </c>
      <c r="K364" t="s">
        <v>51</v>
      </c>
      <c r="L364" t="s">
        <v>72</v>
      </c>
      <c r="M364">
        <v>113</v>
      </c>
      <c r="N364">
        <v>90</v>
      </c>
      <c r="O364">
        <v>9356.4</v>
      </c>
      <c r="P364">
        <v>5876</v>
      </c>
      <c r="Q364">
        <v>3480.4</v>
      </c>
      <c r="R364">
        <v>0.08</v>
      </c>
      <c r="S364" t="s">
        <v>38</v>
      </c>
      <c r="T364">
        <v>515.41999999999996</v>
      </c>
    </row>
    <row r="365" spans="1:20" x14ac:dyDescent="0.25">
      <c r="A365">
        <v>100364</v>
      </c>
      <c r="B365" s="6">
        <v>45815</v>
      </c>
      <c r="C365">
        <v>2025</v>
      </c>
      <c r="D365" t="s">
        <v>20</v>
      </c>
      <c r="E365">
        <v>6</v>
      </c>
      <c r="F365" t="s">
        <v>48</v>
      </c>
      <c r="G365" t="s">
        <v>45</v>
      </c>
      <c r="H365" t="s">
        <v>23</v>
      </c>
      <c r="I365" t="s">
        <v>90</v>
      </c>
      <c r="J365" t="s">
        <v>54</v>
      </c>
      <c r="K365" t="s">
        <v>55</v>
      </c>
      <c r="L365" t="s">
        <v>93</v>
      </c>
      <c r="M365">
        <v>19</v>
      </c>
      <c r="N365">
        <v>60</v>
      </c>
      <c r="O365">
        <v>1048.8</v>
      </c>
      <c r="P365">
        <v>798</v>
      </c>
      <c r="Q365">
        <v>250.8</v>
      </c>
      <c r="R365">
        <v>0.08</v>
      </c>
      <c r="S365" t="s">
        <v>28</v>
      </c>
      <c r="T365">
        <v>24.6</v>
      </c>
    </row>
    <row r="366" spans="1:20" x14ac:dyDescent="0.25">
      <c r="A366">
        <v>100365</v>
      </c>
      <c r="B366" s="6">
        <v>45055</v>
      </c>
      <c r="C366">
        <v>2023</v>
      </c>
      <c r="D366" t="s">
        <v>20</v>
      </c>
      <c r="E366">
        <v>5</v>
      </c>
      <c r="F366" t="s">
        <v>21</v>
      </c>
      <c r="G366" t="s">
        <v>29</v>
      </c>
      <c r="H366" t="s">
        <v>23</v>
      </c>
      <c r="I366" t="s">
        <v>73</v>
      </c>
      <c r="J366" t="s">
        <v>25</v>
      </c>
      <c r="K366" t="s">
        <v>26</v>
      </c>
      <c r="L366" t="s">
        <v>27</v>
      </c>
      <c r="M366">
        <v>76</v>
      </c>
      <c r="N366">
        <v>110</v>
      </c>
      <c r="O366">
        <v>8109.2</v>
      </c>
      <c r="P366">
        <v>5168</v>
      </c>
      <c r="Q366">
        <v>2941.2</v>
      </c>
      <c r="R366">
        <v>0.03</v>
      </c>
      <c r="S366" t="s">
        <v>38</v>
      </c>
      <c r="T366">
        <v>458.04</v>
      </c>
    </row>
    <row r="367" spans="1:20" x14ac:dyDescent="0.25">
      <c r="A367">
        <v>100366</v>
      </c>
      <c r="B367" s="6">
        <v>45644</v>
      </c>
      <c r="C367">
        <v>2024</v>
      </c>
      <c r="D367" t="s">
        <v>43</v>
      </c>
      <c r="E367">
        <v>12</v>
      </c>
      <c r="F367" t="s">
        <v>83</v>
      </c>
      <c r="G367" t="s">
        <v>45</v>
      </c>
      <c r="H367" t="s">
        <v>23</v>
      </c>
      <c r="I367" t="s">
        <v>88</v>
      </c>
      <c r="J367" t="s">
        <v>42</v>
      </c>
      <c r="K367" t="s">
        <v>55</v>
      </c>
      <c r="L367" t="s">
        <v>93</v>
      </c>
      <c r="M367">
        <v>100</v>
      </c>
      <c r="N367">
        <v>60</v>
      </c>
      <c r="O367">
        <v>5820</v>
      </c>
      <c r="P367">
        <v>4200</v>
      </c>
      <c r="Q367">
        <v>1620</v>
      </c>
      <c r="R367">
        <v>0.03</v>
      </c>
      <c r="S367" t="s">
        <v>38</v>
      </c>
      <c r="T367">
        <v>358.51</v>
      </c>
    </row>
    <row r="368" spans="1:20" x14ac:dyDescent="0.25">
      <c r="A368">
        <v>100367</v>
      </c>
      <c r="B368" s="6">
        <v>45241</v>
      </c>
      <c r="C368">
        <v>2023</v>
      </c>
      <c r="D368" t="s">
        <v>43</v>
      </c>
      <c r="E368">
        <v>11</v>
      </c>
      <c r="F368" t="s">
        <v>87</v>
      </c>
      <c r="G368" t="s">
        <v>22</v>
      </c>
      <c r="H368" t="s">
        <v>23</v>
      </c>
      <c r="I368" t="s">
        <v>71</v>
      </c>
      <c r="J368" t="s">
        <v>61</v>
      </c>
      <c r="K368" t="s">
        <v>32</v>
      </c>
      <c r="L368" t="s">
        <v>33</v>
      </c>
      <c r="M368">
        <v>31</v>
      </c>
      <c r="N368">
        <v>60</v>
      </c>
      <c r="O368">
        <v>1711.2</v>
      </c>
      <c r="P368">
        <v>1178</v>
      </c>
      <c r="Q368">
        <v>533.20000000000005</v>
      </c>
      <c r="R368">
        <v>0.08</v>
      </c>
      <c r="S368" t="s">
        <v>70</v>
      </c>
      <c r="T368">
        <v>52.25</v>
      </c>
    </row>
    <row r="369" spans="1:20" x14ac:dyDescent="0.25">
      <c r="A369">
        <v>100368</v>
      </c>
      <c r="B369" s="6">
        <v>45577</v>
      </c>
      <c r="C369">
        <v>2024</v>
      </c>
      <c r="D369" t="s">
        <v>43</v>
      </c>
      <c r="E369">
        <v>10</v>
      </c>
      <c r="F369" t="s">
        <v>44</v>
      </c>
      <c r="G369" t="s">
        <v>29</v>
      </c>
      <c r="H369" t="s">
        <v>23</v>
      </c>
      <c r="I369" t="s">
        <v>30</v>
      </c>
      <c r="J369" t="s">
        <v>54</v>
      </c>
      <c r="K369" t="s">
        <v>51</v>
      </c>
      <c r="L369" t="s">
        <v>72</v>
      </c>
      <c r="M369">
        <v>35</v>
      </c>
      <c r="N369">
        <v>90</v>
      </c>
      <c r="O369">
        <v>2898</v>
      </c>
      <c r="P369">
        <v>1820</v>
      </c>
      <c r="Q369">
        <v>1078</v>
      </c>
      <c r="R369">
        <v>0.08</v>
      </c>
      <c r="S369" t="s">
        <v>28</v>
      </c>
      <c r="T369">
        <v>66.39</v>
      </c>
    </row>
    <row r="370" spans="1:20" x14ac:dyDescent="0.25">
      <c r="A370">
        <v>100369</v>
      </c>
      <c r="B370" s="6">
        <v>45253</v>
      </c>
      <c r="C370">
        <v>2023</v>
      </c>
      <c r="D370" t="s">
        <v>43</v>
      </c>
      <c r="E370">
        <v>11</v>
      </c>
      <c r="F370" t="s">
        <v>87</v>
      </c>
      <c r="G370" t="s">
        <v>35</v>
      </c>
      <c r="H370" t="s">
        <v>23</v>
      </c>
      <c r="I370" t="s">
        <v>80</v>
      </c>
      <c r="J370" t="s">
        <v>68</v>
      </c>
      <c r="K370" t="s">
        <v>51</v>
      </c>
      <c r="L370" t="s">
        <v>76</v>
      </c>
      <c r="M370">
        <v>141</v>
      </c>
      <c r="N370">
        <v>40</v>
      </c>
      <c r="O370">
        <v>5188.8</v>
      </c>
      <c r="P370">
        <v>3243</v>
      </c>
      <c r="Q370">
        <v>1945.8</v>
      </c>
      <c r="R370">
        <v>0.08</v>
      </c>
      <c r="S370" t="s">
        <v>38</v>
      </c>
      <c r="T370">
        <v>331.51</v>
      </c>
    </row>
    <row r="371" spans="1:20" x14ac:dyDescent="0.25">
      <c r="A371">
        <v>100370</v>
      </c>
      <c r="B371" s="6">
        <v>45147</v>
      </c>
      <c r="C371">
        <v>2023</v>
      </c>
      <c r="D371" t="s">
        <v>39</v>
      </c>
      <c r="E371">
        <v>8</v>
      </c>
      <c r="F371" t="s">
        <v>58</v>
      </c>
      <c r="G371" t="s">
        <v>29</v>
      </c>
      <c r="H371" t="s">
        <v>23</v>
      </c>
      <c r="I371" t="s">
        <v>73</v>
      </c>
      <c r="J371" t="s">
        <v>25</v>
      </c>
      <c r="K371" t="s">
        <v>51</v>
      </c>
      <c r="L371" t="s">
        <v>72</v>
      </c>
      <c r="M371">
        <v>112</v>
      </c>
      <c r="N371">
        <v>90</v>
      </c>
      <c r="O371">
        <v>10080</v>
      </c>
      <c r="P371">
        <v>5824</v>
      </c>
      <c r="Q371">
        <v>4256</v>
      </c>
      <c r="R371">
        <v>0</v>
      </c>
      <c r="S371" t="s">
        <v>38</v>
      </c>
      <c r="T371">
        <v>503.82</v>
      </c>
    </row>
    <row r="372" spans="1:20" x14ac:dyDescent="0.25">
      <c r="A372">
        <v>100371</v>
      </c>
      <c r="B372" s="6">
        <v>45197</v>
      </c>
      <c r="C372">
        <v>2023</v>
      </c>
      <c r="D372" t="s">
        <v>39</v>
      </c>
      <c r="E372">
        <v>9</v>
      </c>
      <c r="F372" t="s">
        <v>40</v>
      </c>
      <c r="G372" t="s">
        <v>22</v>
      </c>
      <c r="H372" t="s">
        <v>23</v>
      </c>
      <c r="I372" t="s">
        <v>71</v>
      </c>
      <c r="J372" t="s">
        <v>50</v>
      </c>
      <c r="K372" t="s">
        <v>59</v>
      </c>
      <c r="L372" t="s">
        <v>67</v>
      </c>
      <c r="M372">
        <v>33</v>
      </c>
      <c r="N372">
        <v>95</v>
      </c>
      <c r="O372">
        <v>2884.2</v>
      </c>
      <c r="P372">
        <v>1848</v>
      </c>
      <c r="Q372">
        <v>1036.2</v>
      </c>
      <c r="R372">
        <v>0.08</v>
      </c>
      <c r="S372" t="s">
        <v>57</v>
      </c>
      <c r="T372">
        <v>50.82</v>
      </c>
    </row>
    <row r="373" spans="1:20" x14ac:dyDescent="0.25">
      <c r="A373">
        <v>100372</v>
      </c>
      <c r="B373" s="6">
        <v>45462</v>
      </c>
      <c r="C373">
        <v>2024</v>
      </c>
      <c r="D373" t="s">
        <v>20</v>
      </c>
      <c r="E373">
        <v>6</v>
      </c>
      <c r="F373" t="s">
        <v>48</v>
      </c>
      <c r="G373" t="s">
        <v>35</v>
      </c>
      <c r="H373" t="s">
        <v>23</v>
      </c>
      <c r="I373" t="s">
        <v>80</v>
      </c>
      <c r="J373" t="s">
        <v>66</v>
      </c>
      <c r="K373" t="s">
        <v>32</v>
      </c>
      <c r="L373" t="s">
        <v>37</v>
      </c>
      <c r="M373">
        <v>125</v>
      </c>
      <c r="N373">
        <v>120</v>
      </c>
      <c r="O373">
        <v>14550</v>
      </c>
      <c r="P373">
        <v>9750</v>
      </c>
      <c r="Q373">
        <v>4800</v>
      </c>
      <c r="R373">
        <v>0.03</v>
      </c>
      <c r="S373" t="s">
        <v>70</v>
      </c>
      <c r="T373">
        <v>248.32</v>
      </c>
    </row>
    <row r="374" spans="1:20" x14ac:dyDescent="0.25">
      <c r="A374">
        <v>100373</v>
      </c>
      <c r="B374" s="6">
        <v>45607</v>
      </c>
      <c r="C374">
        <v>2024</v>
      </c>
      <c r="D374" t="s">
        <v>43</v>
      </c>
      <c r="E374">
        <v>11</v>
      </c>
      <c r="F374" t="s">
        <v>87</v>
      </c>
      <c r="G374" t="s">
        <v>45</v>
      </c>
      <c r="H374" t="s">
        <v>23</v>
      </c>
      <c r="I374" t="s">
        <v>46</v>
      </c>
      <c r="J374" t="s">
        <v>54</v>
      </c>
      <c r="K374" t="s">
        <v>51</v>
      </c>
      <c r="L374" t="s">
        <v>76</v>
      </c>
      <c r="M374">
        <v>79</v>
      </c>
      <c r="N374">
        <v>40</v>
      </c>
      <c r="O374">
        <v>3160</v>
      </c>
      <c r="P374">
        <v>1817</v>
      </c>
      <c r="Q374">
        <v>1343</v>
      </c>
      <c r="R374">
        <v>0</v>
      </c>
      <c r="S374" t="s">
        <v>38</v>
      </c>
      <c r="T374">
        <v>216.52</v>
      </c>
    </row>
    <row r="375" spans="1:20" x14ac:dyDescent="0.25">
      <c r="A375">
        <v>100374</v>
      </c>
      <c r="B375" s="6">
        <v>45138</v>
      </c>
      <c r="C375">
        <v>2023</v>
      </c>
      <c r="D375" t="s">
        <v>39</v>
      </c>
      <c r="E375">
        <v>7</v>
      </c>
      <c r="F375" t="s">
        <v>75</v>
      </c>
      <c r="G375" t="s">
        <v>22</v>
      </c>
      <c r="H375" t="s">
        <v>23</v>
      </c>
      <c r="I375" t="s">
        <v>65</v>
      </c>
      <c r="J375" t="s">
        <v>54</v>
      </c>
      <c r="K375" t="s">
        <v>32</v>
      </c>
      <c r="L375" t="s">
        <v>74</v>
      </c>
      <c r="M375">
        <v>85</v>
      </c>
      <c r="N375">
        <v>25</v>
      </c>
      <c r="O375">
        <v>2082.5</v>
      </c>
      <c r="P375">
        <v>1190</v>
      </c>
      <c r="Q375">
        <v>892.5</v>
      </c>
      <c r="R375">
        <v>0.02</v>
      </c>
      <c r="S375" t="s">
        <v>70</v>
      </c>
      <c r="T375">
        <v>107.18</v>
      </c>
    </row>
    <row r="376" spans="1:20" x14ac:dyDescent="0.25">
      <c r="A376">
        <v>100375</v>
      </c>
      <c r="B376" s="6">
        <v>45232</v>
      </c>
      <c r="C376">
        <v>2023</v>
      </c>
      <c r="D376" t="s">
        <v>43</v>
      </c>
      <c r="E376">
        <v>11</v>
      </c>
      <c r="F376" t="s">
        <v>87</v>
      </c>
      <c r="G376" t="s">
        <v>35</v>
      </c>
      <c r="H376" t="s">
        <v>23</v>
      </c>
      <c r="I376" t="s">
        <v>36</v>
      </c>
      <c r="J376" t="s">
        <v>50</v>
      </c>
      <c r="K376" t="s">
        <v>26</v>
      </c>
      <c r="L376" t="s">
        <v>82</v>
      </c>
      <c r="M376">
        <v>135</v>
      </c>
      <c r="N376">
        <v>105</v>
      </c>
      <c r="O376">
        <v>13891.5</v>
      </c>
      <c r="P376">
        <v>8235</v>
      </c>
      <c r="Q376">
        <v>5656.5</v>
      </c>
      <c r="R376">
        <v>0.02</v>
      </c>
      <c r="S376" t="s">
        <v>28</v>
      </c>
      <c r="T376">
        <v>972.06</v>
      </c>
    </row>
    <row r="377" spans="1:20" x14ac:dyDescent="0.25">
      <c r="A377">
        <v>100376</v>
      </c>
      <c r="B377" s="6">
        <v>45430</v>
      </c>
      <c r="C377">
        <v>2024</v>
      </c>
      <c r="D377" t="s">
        <v>20</v>
      </c>
      <c r="E377">
        <v>5</v>
      </c>
      <c r="F377" t="s">
        <v>21</v>
      </c>
      <c r="G377" t="s">
        <v>35</v>
      </c>
      <c r="H377" t="s">
        <v>23</v>
      </c>
      <c r="I377" t="s">
        <v>77</v>
      </c>
      <c r="J377" t="s">
        <v>68</v>
      </c>
      <c r="K377" t="s">
        <v>59</v>
      </c>
      <c r="L377" t="s">
        <v>91</v>
      </c>
      <c r="M377">
        <v>25</v>
      </c>
      <c r="N377">
        <v>140</v>
      </c>
      <c r="O377">
        <v>3500</v>
      </c>
      <c r="P377">
        <v>2050</v>
      </c>
      <c r="Q377">
        <v>1450</v>
      </c>
      <c r="R377">
        <v>0</v>
      </c>
      <c r="S377" t="s">
        <v>38</v>
      </c>
      <c r="T377">
        <v>157.32</v>
      </c>
    </row>
    <row r="378" spans="1:20" x14ac:dyDescent="0.25">
      <c r="A378">
        <v>100377</v>
      </c>
      <c r="B378" s="6">
        <v>45088</v>
      </c>
      <c r="C378">
        <v>2023</v>
      </c>
      <c r="D378" t="s">
        <v>20</v>
      </c>
      <c r="E378">
        <v>6</v>
      </c>
      <c r="F378" t="s">
        <v>48</v>
      </c>
      <c r="G378" t="s">
        <v>22</v>
      </c>
      <c r="H378" t="s">
        <v>23</v>
      </c>
      <c r="I378" t="s">
        <v>41</v>
      </c>
      <c r="J378" t="s">
        <v>31</v>
      </c>
      <c r="K378" t="s">
        <v>59</v>
      </c>
      <c r="L378" t="s">
        <v>67</v>
      </c>
      <c r="M378">
        <v>19</v>
      </c>
      <c r="N378">
        <v>95</v>
      </c>
      <c r="O378">
        <v>1750.85</v>
      </c>
      <c r="P378">
        <v>1064</v>
      </c>
      <c r="Q378">
        <v>686.85</v>
      </c>
      <c r="R378">
        <v>0.03</v>
      </c>
      <c r="S378" t="s">
        <v>38</v>
      </c>
      <c r="T378">
        <v>61.09</v>
      </c>
    </row>
    <row r="379" spans="1:20" x14ac:dyDescent="0.25">
      <c r="A379">
        <v>100378</v>
      </c>
      <c r="B379" s="6">
        <v>45079</v>
      </c>
      <c r="C379">
        <v>2023</v>
      </c>
      <c r="D379" t="s">
        <v>20</v>
      </c>
      <c r="E379">
        <v>6</v>
      </c>
      <c r="F379" t="s">
        <v>48</v>
      </c>
      <c r="G379" t="s">
        <v>22</v>
      </c>
      <c r="H379" t="s">
        <v>23</v>
      </c>
      <c r="I379" t="s">
        <v>71</v>
      </c>
      <c r="J379" t="s">
        <v>42</v>
      </c>
      <c r="K379" t="s">
        <v>59</v>
      </c>
      <c r="L379" t="s">
        <v>60</v>
      </c>
      <c r="M379">
        <v>74</v>
      </c>
      <c r="N379">
        <v>45</v>
      </c>
      <c r="O379">
        <v>3163.5</v>
      </c>
      <c r="P379">
        <v>1998</v>
      </c>
      <c r="Q379">
        <v>1165.5</v>
      </c>
      <c r="R379">
        <v>0.05</v>
      </c>
      <c r="S379" t="s">
        <v>28</v>
      </c>
      <c r="T379">
        <v>77.39</v>
      </c>
    </row>
    <row r="380" spans="1:20" x14ac:dyDescent="0.25">
      <c r="A380">
        <v>100379</v>
      </c>
      <c r="B380" s="6">
        <v>45030</v>
      </c>
      <c r="C380">
        <v>2023</v>
      </c>
      <c r="D380" t="s">
        <v>20</v>
      </c>
      <c r="E380">
        <v>4</v>
      </c>
      <c r="F380" t="s">
        <v>34</v>
      </c>
      <c r="G380" t="s">
        <v>22</v>
      </c>
      <c r="H380" t="s">
        <v>23</v>
      </c>
      <c r="I380" t="s">
        <v>65</v>
      </c>
      <c r="J380" t="s">
        <v>61</v>
      </c>
      <c r="K380" t="s">
        <v>32</v>
      </c>
      <c r="L380" t="s">
        <v>33</v>
      </c>
      <c r="M380">
        <v>10</v>
      </c>
      <c r="N380">
        <v>60</v>
      </c>
      <c r="O380">
        <v>600</v>
      </c>
      <c r="P380">
        <v>380</v>
      </c>
      <c r="Q380">
        <v>220</v>
      </c>
      <c r="R380">
        <v>0</v>
      </c>
      <c r="S380" t="s">
        <v>28</v>
      </c>
      <c r="T380">
        <v>13.13</v>
      </c>
    </row>
    <row r="381" spans="1:20" x14ac:dyDescent="0.25">
      <c r="A381">
        <v>100380</v>
      </c>
      <c r="B381" s="6">
        <v>45689</v>
      </c>
      <c r="C381">
        <v>2025</v>
      </c>
      <c r="D381" t="s">
        <v>63</v>
      </c>
      <c r="E381">
        <v>2</v>
      </c>
      <c r="F381" t="s">
        <v>81</v>
      </c>
      <c r="G381" t="s">
        <v>45</v>
      </c>
      <c r="H381" t="s">
        <v>23</v>
      </c>
      <c r="I381" t="s">
        <v>46</v>
      </c>
      <c r="J381" t="s">
        <v>42</v>
      </c>
      <c r="K381" t="s">
        <v>32</v>
      </c>
      <c r="L381" t="s">
        <v>33</v>
      </c>
      <c r="M381">
        <v>15</v>
      </c>
      <c r="N381">
        <v>60</v>
      </c>
      <c r="O381">
        <v>855</v>
      </c>
      <c r="P381">
        <v>570</v>
      </c>
      <c r="Q381">
        <v>285</v>
      </c>
      <c r="R381">
        <v>0.05</v>
      </c>
      <c r="S381" t="s">
        <v>57</v>
      </c>
      <c r="T381">
        <v>20.22</v>
      </c>
    </row>
    <row r="382" spans="1:20" x14ac:dyDescent="0.25">
      <c r="A382">
        <v>100381</v>
      </c>
      <c r="B382" s="6">
        <v>45101</v>
      </c>
      <c r="C382">
        <v>2023</v>
      </c>
      <c r="D382" t="s">
        <v>20</v>
      </c>
      <c r="E382">
        <v>6</v>
      </c>
      <c r="F382" t="s">
        <v>48</v>
      </c>
      <c r="G382" t="s">
        <v>45</v>
      </c>
      <c r="H382" t="s">
        <v>23</v>
      </c>
      <c r="I382" t="s">
        <v>90</v>
      </c>
      <c r="J382" t="s">
        <v>50</v>
      </c>
      <c r="K382" t="s">
        <v>59</v>
      </c>
      <c r="L382" t="s">
        <v>60</v>
      </c>
      <c r="M382">
        <v>24</v>
      </c>
      <c r="N382">
        <v>45</v>
      </c>
      <c r="O382">
        <v>1047.5999999999999</v>
      </c>
      <c r="P382">
        <v>648</v>
      </c>
      <c r="Q382">
        <v>399.6</v>
      </c>
      <c r="R382">
        <v>0.03</v>
      </c>
      <c r="S382" t="s">
        <v>38</v>
      </c>
      <c r="T382">
        <v>38.03</v>
      </c>
    </row>
    <row r="383" spans="1:20" x14ac:dyDescent="0.25">
      <c r="A383">
        <v>100382</v>
      </c>
      <c r="B383" s="6">
        <v>45777</v>
      </c>
      <c r="C383">
        <v>2025</v>
      </c>
      <c r="D383" t="s">
        <v>20</v>
      </c>
      <c r="E383">
        <v>4</v>
      </c>
      <c r="F383" t="s">
        <v>34</v>
      </c>
      <c r="G383" t="s">
        <v>22</v>
      </c>
      <c r="H383" t="s">
        <v>23</v>
      </c>
      <c r="I383" t="s">
        <v>65</v>
      </c>
      <c r="J383" t="s">
        <v>54</v>
      </c>
      <c r="K383" t="s">
        <v>32</v>
      </c>
      <c r="L383" t="s">
        <v>33</v>
      </c>
      <c r="M383">
        <v>67</v>
      </c>
      <c r="N383">
        <v>60</v>
      </c>
      <c r="O383">
        <v>3819</v>
      </c>
      <c r="P383">
        <v>2546</v>
      </c>
      <c r="Q383">
        <v>1273</v>
      </c>
      <c r="R383">
        <v>0.05</v>
      </c>
      <c r="S383" t="s">
        <v>38</v>
      </c>
      <c r="T383">
        <v>234.41</v>
      </c>
    </row>
    <row r="384" spans="1:20" x14ac:dyDescent="0.25">
      <c r="A384">
        <v>100383</v>
      </c>
      <c r="B384" s="6">
        <v>45851</v>
      </c>
      <c r="C384">
        <v>2025</v>
      </c>
      <c r="D384" t="s">
        <v>39</v>
      </c>
      <c r="E384">
        <v>7</v>
      </c>
      <c r="F384" t="s">
        <v>75</v>
      </c>
      <c r="G384" t="s">
        <v>22</v>
      </c>
      <c r="H384" t="s">
        <v>23</v>
      </c>
      <c r="I384" t="s">
        <v>41</v>
      </c>
      <c r="J384" t="s">
        <v>31</v>
      </c>
      <c r="K384" t="s">
        <v>59</v>
      </c>
      <c r="L384" t="s">
        <v>60</v>
      </c>
      <c r="M384">
        <v>92</v>
      </c>
      <c r="N384">
        <v>45</v>
      </c>
      <c r="O384">
        <v>4015.8</v>
      </c>
      <c r="P384">
        <v>2484</v>
      </c>
      <c r="Q384">
        <v>1531.8</v>
      </c>
      <c r="R384">
        <v>0.03</v>
      </c>
      <c r="S384" t="s">
        <v>28</v>
      </c>
      <c r="T384">
        <v>128.44999999999999</v>
      </c>
    </row>
    <row r="385" spans="1:20" x14ac:dyDescent="0.25">
      <c r="A385">
        <v>100384</v>
      </c>
      <c r="B385" s="6">
        <v>45451</v>
      </c>
      <c r="C385">
        <v>2024</v>
      </c>
      <c r="D385" t="s">
        <v>20</v>
      </c>
      <c r="E385">
        <v>6</v>
      </c>
      <c r="F385" t="s">
        <v>48</v>
      </c>
      <c r="G385" t="s">
        <v>29</v>
      </c>
      <c r="H385" t="s">
        <v>23</v>
      </c>
      <c r="I385" t="s">
        <v>49</v>
      </c>
      <c r="J385" t="s">
        <v>50</v>
      </c>
      <c r="K385" t="s">
        <v>26</v>
      </c>
      <c r="L385" t="s">
        <v>69</v>
      </c>
      <c r="M385">
        <v>89</v>
      </c>
      <c r="N385">
        <v>130</v>
      </c>
      <c r="O385">
        <v>11570</v>
      </c>
      <c r="P385">
        <v>6764</v>
      </c>
      <c r="Q385">
        <v>4806</v>
      </c>
      <c r="R385">
        <v>0</v>
      </c>
      <c r="S385" t="s">
        <v>57</v>
      </c>
      <c r="T385">
        <v>724.18</v>
      </c>
    </row>
    <row r="386" spans="1:20" x14ac:dyDescent="0.25">
      <c r="A386">
        <v>100385</v>
      </c>
      <c r="B386" s="6">
        <v>45354</v>
      </c>
      <c r="C386">
        <v>2024</v>
      </c>
      <c r="D386" t="s">
        <v>63</v>
      </c>
      <c r="E386">
        <v>3</v>
      </c>
      <c r="F386" t="s">
        <v>64</v>
      </c>
      <c r="G386" t="s">
        <v>22</v>
      </c>
      <c r="H386" t="s">
        <v>23</v>
      </c>
      <c r="I386" t="s">
        <v>41</v>
      </c>
      <c r="J386" t="s">
        <v>31</v>
      </c>
      <c r="K386" t="s">
        <v>55</v>
      </c>
      <c r="L386" t="s">
        <v>89</v>
      </c>
      <c r="M386">
        <v>66</v>
      </c>
      <c r="N386">
        <v>280</v>
      </c>
      <c r="O386">
        <v>17556</v>
      </c>
      <c r="P386">
        <v>13530</v>
      </c>
      <c r="Q386">
        <v>4026</v>
      </c>
      <c r="R386">
        <v>0.05</v>
      </c>
      <c r="S386" t="s">
        <v>28</v>
      </c>
      <c r="T386">
        <v>505.19</v>
      </c>
    </row>
    <row r="387" spans="1:20" x14ac:dyDescent="0.25">
      <c r="A387">
        <v>100386</v>
      </c>
      <c r="B387" s="6">
        <v>45941</v>
      </c>
      <c r="C387">
        <v>2025</v>
      </c>
      <c r="D387" t="s">
        <v>43</v>
      </c>
      <c r="E387">
        <v>10</v>
      </c>
      <c r="F387" t="s">
        <v>44</v>
      </c>
      <c r="G387" t="s">
        <v>22</v>
      </c>
      <c r="H387" t="s">
        <v>23</v>
      </c>
      <c r="I387" t="s">
        <v>24</v>
      </c>
      <c r="J387" t="s">
        <v>66</v>
      </c>
      <c r="K387" t="s">
        <v>32</v>
      </c>
      <c r="L387" t="s">
        <v>47</v>
      </c>
      <c r="M387">
        <v>81</v>
      </c>
      <c r="N387">
        <v>180</v>
      </c>
      <c r="O387">
        <v>14580</v>
      </c>
      <c r="P387">
        <v>9315</v>
      </c>
      <c r="Q387">
        <v>5265</v>
      </c>
      <c r="R387">
        <v>0</v>
      </c>
      <c r="S387" t="s">
        <v>38</v>
      </c>
      <c r="T387">
        <v>658.83</v>
      </c>
    </row>
    <row r="388" spans="1:20" x14ac:dyDescent="0.25">
      <c r="A388">
        <v>100387</v>
      </c>
      <c r="B388" s="6">
        <v>45066</v>
      </c>
      <c r="C388">
        <v>2023</v>
      </c>
      <c r="D388" t="s">
        <v>20</v>
      </c>
      <c r="E388">
        <v>5</v>
      </c>
      <c r="F388" t="s">
        <v>21</v>
      </c>
      <c r="G388" t="s">
        <v>45</v>
      </c>
      <c r="H388" t="s">
        <v>23</v>
      </c>
      <c r="I388" t="s">
        <v>88</v>
      </c>
      <c r="J388" t="s">
        <v>42</v>
      </c>
      <c r="K388" t="s">
        <v>51</v>
      </c>
      <c r="L388" t="s">
        <v>92</v>
      </c>
      <c r="M388">
        <v>87</v>
      </c>
      <c r="N388">
        <v>50</v>
      </c>
      <c r="O388">
        <v>4132.5</v>
      </c>
      <c r="P388">
        <v>2523</v>
      </c>
      <c r="Q388">
        <v>1609.5</v>
      </c>
      <c r="R388">
        <v>0.05</v>
      </c>
      <c r="S388" t="s">
        <v>38</v>
      </c>
      <c r="T388">
        <v>118.16</v>
      </c>
    </row>
    <row r="389" spans="1:20" x14ac:dyDescent="0.25">
      <c r="A389">
        <v>100388</v>
      </c>
      <c r="B389" s="6">
        <v>44945</v>
      </c>
      <c r="C389">
        <v>2023</v>
      </c>
      <c r="D389" t="s">
        <v>63</v>
      </c>
      <c r="E389">
        <v>1</v>
      </c>
      <c r="F389" t="s">
        <v>79</v>
      </c>
      <c r="G389" t="s">
        <v>35</v>
      </c>
      <c r="H389" t="s">
        <v>23</v>
      </c>
      <c r="I389" t="s">
        <v>77</v>
      </c>
      <c r="J389" t="s">
        <v>50</v>
      </c>
      <c r="K389" t="s">
        <v>32</v>
      </c>
      <c r="L389" t="s">
        <v>33</v>
      </c>
      <c r="M389">
        <v>56</v>
      </c>
      <c r="N389">
        <v>60</v>
      </c>
      <c r="O389">
        <v>3259.2</v>
      </c>
      <c r="P389">
        <v>2128</v>
      </c>
      <c r="Q389">
        <v>1131.2</v>
      </c>
      <c r="R389">
        <v>0.03</v>
      </c>
      <c r="S389" t="s">
        <v>57</v>
      </c>
      <c r="T389">
        <v>224.93</v>
      </c>
    </row>
    <row r="390" spans="1:20" x14ac:dyDescent="0.25">
      <c r="A390">
        <v>100389</v>
      </c>
      <c r="B390" s="6">
        <v>45141</v>
      </c>
      <c r="C390">
        <v>2023</v>
      </c>
      <c r="D390" t="s">
        <v>39</v>
      </c>
      <c r="E390">
        <v>8</v>
      </c>
      <c r="F390" t="s">
        <v>58</v>
      </c>
      <c r="G390" t="s">
        <v>35</v>
      </c>
      <c r="H390" t="s">
        <v>23</v>
      </c>
      <c r="I390" t="s">
        <v>53</v>
      </c>
      <c r="J390" t="s">
        <v>42</v>
      </c>
      <c r="K390" t="s">
        <v>51</v>
      </c>
      <c r="L390" t="s">
        <v>76</v>
      </c>
      <c r="M390">
        <v>38</v>
      </c>
      <c r="N390">
        <v>40</v>
      </c>
      <c r="O390">
        <v>1489.6</v>
      </c>
      <c r="P390">
        <v>874</v>
      </c>
      <c r="Q390">
        <v>615.6</v>
      </c>
      <c r="R390">
        <v>0.02</v>
      </c>
      <c r="S390" t="s">
        <v>28</v>
      </c>
      <c r="T390">
        <v>99.46</v>
      </c>
    </row>
    <row r="391" spans="1:20" x14ac:dyDescent="0.25">
      <c r="A391">
        <v>100390</v>
      </c>
      <c r="B391" s="6">
        <v>45144</v>
      </c>
      <c r="C391">
        <v>2023</v>
      </c>
      <c r="D391" t="s">
        <v>39</v>
      </c>
      <c r="E391">
        <v>8</v>
      </c>
      <c r="F391" t="s">
        <v>58</v>
      </c>
      <c r="G391" t="s">
        <v>35</v>
      </c>
      <c r="H391" t="s">
        <v>23</v>
      </c>
      <c r="I391" t="s">
        <v>77</v>
      </c>
      <c r="J391" t="s">
        <v>42</v>
      </c>
      <c r="K391" t="s">
        <v>55</v>
      </c>
      <c r="L391" t="s">
        <v>84</v>
      </c>
      <c r="M391">
        <v>15</v>
      </c>
      <c r="N391">
        <v>55</v>
      </c>
      <c r="O391">
        <v>800.25</v>
      </c>
      <c r="P391">
        <v>555</v>
      </c>
      <c r="Q391">
        <v>245.25</v>
      </c>
      <c r="R391">
        <v>0.03</v>
      </c>
      <c r="S391" t="s">
        <v>57</v>
      </c>
      <c r="T391">
        <v>55.09</v>
      </c>
    </row>
    <row r="392" spans="1:20" x14ac:dyDescent="0.25">
      <c r="A392">
        <v>100391</v>
      </c>
      <c r="B392" s="6">
        <v>45351</v>
      </c>
      <c r="C392">
        <v>2024</v>
      </c>
      <c r="D392" t="s">
        <v>63</v>
      </c>
      <c r="E392">
        <v>2</v>
      </c>
      <c r="F392" t="s">
        <v>81</v>
      </c>
      <c r="G392" t="s">
        <v>45</v>
      </c>
      <c r="H392" t="s">
        <v>23</v>
      </c>
      <c r="I392" t="s">
        <v>90</v>
      </c>
      <c r="J392" t="s">
        <v>31</v>
      </c>
      <c r="K392" t="s">
        <v>59</v>
      </c>
      <c r="L392" t="s">
        <v>67</v>
      </c>
      <c r="M392">
        <v>140</v>
      </c>
      <c r="N392">
        <v>95</v>
      </c>
      <c r="O392">
        <v>13034</v>
      </c>
      <c r="P392">
        <v>7840</v>
      </c>
      <c r="Q392">
        <v>5194</v>
      </c>
      <c r="R392">
        <v>0.02</v>
      </c>
      <c r="S392" t="s">
        <v>70</v>
      </c>
      <c r="T392">
        <v>541.79</v>
      </c>
    </row>
    <row r="393" spans="1:20" x14ac:dyDescent="0.25">
      <c r="A393">
        <v>100392</v>
      </c>
      <c r="B393" s="6">
        <v>45512</v>
      </c>
      <c r="C393">
        <v>2024</v>
      </c>
      <c r="D393" t="s">
        <v>39</v>
      </c>
      <c r="E393">
        <v>8</v>
      </c>
      <c r="F393" t="s">
        <v>58</v>
      </c>
      <c r="G393" t="s">
        <v>35</v>
      </c>
      <c r="H393" t="s">
        <v>23</v>
      </c>
      <c r="I393" t="s">
        <v>36</v>
      </c>
      <c r="J393" t="s">
        <v>50</v>
      </c>
      <c r="K393" t="s">
        <v>32</v>
      </c>
      <c r="L393" t="s">
        <v>74</v>
      </c>
      <c r="M393">
        <v>48</v>
      </c>
      <c r="N393">
        <v>25</v>
      </c>
      <c r="O393">
        <v>1200</v>
      </c>
      <c r="P393">
        <v>672</v>
      </c>
      <c r="Q393">
        <v>528</v>
      </c>
      <c r="R393">
        <v>0</v>
      </c>
      <c r="S393" t="s">
        <v>38</v>
      </c>
      <c r="T393">
        <v>79.08</v>
      </c>
    </row>
    <row r="394" spans="1:20" x14ac:dyDescent="0.25">
      <c r="A394">
        <v>100393</v>
      </c>
      <c r="B394" s="6">
        <v>45876</v>
      </c>
      <c r="C394">
        <v>2025</v>
      </c>
      <c r="D394" t="s">
        <v>39</v>
      </c>
      <c r="E394">
        <v>8</v>
      </c>
      <c r="F394" t="s">
        <v>58</v>
      </c>
      <c r="G394" t="s">
        <v>29</v>
      </c>
      <c r="H394" t="s">
        <v>23</v>
      </c>
      <c r="I394" t="s">
        <v>49</v>
      </c>
      <c r="J394" t="s">
        <v>66</v>
      </c>
      <c r="K394" t="s">
        <v>51</v>
      </c>
      <c r="L394" t="s">
        <v>52</v>
      </c>
      <c r="M394">
        <v>120</v>
      </c>
      <c r="N394">
        <v>75</v>
      </c>
      <c r="O394">
        <v>8730</v>
      </c>
      <c r="P394">
        <v>5280</v>
      </c>
      <c r="Q394">
        <v>3450</v>
      </c>
      <c r="R394">
        <v>0.03</v>
      </c>
      <c r="S394" t="s">
        <v>28</v>
      </c>
      <c r="T394">
        <v>439.03</v>
      </c>
    </row>
    <row r="395" spans="1:20" x14ac:dyDescent="0.25">
      <c r="A395">
        <v>100394</v>
      </c>
      <c r="B395" s="6">
        <v>44999</v>
      </c>
      <c r="C395">
        <v>2023</v>
      </c>
      <c r="D395" t="s">
        <v>63</v>
      </c>
      <c r="E395">
        <v>3</v>
      </c>
      <c r="F395" t="s">
        <v>64</v>
      </c>
      <c r="G395" t="s">
        <v>45</v>
      </c>
      <c r="H395" t="s">
        <v>23</v>
      </c>
      <c r="I395" t="s">
        <v>62</v>
      </c>
      <c r="J395" t="s">
        <v>50</v>
      </c>
      <c r="K395" t="s">
        <v>59</v>
      </c>
      <c r="L395" t="s">
        <v>60</v>
      </c>
      <c r="M395">
        <v>109</v>
      </c>
      <c r="N395">
        <v>45</v>
      </c>
      <c r="O395">
        <v>4806.8999999999996</v>
      </c>
      <c r="P395">
        <v>2943</v>
      </c>
      <c r="Q395">
        <v>1863.9</v>
      </c>
      <c r="R395">
        <v>0.02</v>
      </c>
      <c r="S395" t="s">
        <v>28</v>
      </c>
      <c r="T395">
        <v>72.64</v>
      </c>
    </row>
    <row r="396" spans="1:20" x14ac:dyDescent="0.25">
      <c r="A396">
        <v>100395</v>
      </c>
      <c r="B396" s="6">
        <v>45192</v>
      </c>
      <c r="C396">
        <v>2023</v>
      </c>
      <c r="D396" t="s">
        <v>39</v>
      </c>
      <c r="E396">
        <v>9</v>
      </c>
      <c r="F396" t="s">
        <v>40</v>
      </c>
      <c r="G396" t="s">
        <v>45</v>
      </c>
      <c r="H396" t="s">
        <v>23</v>
      </c>
      <c r="I396" t="s">
        <v>90</v>
      </c>
      <c r="J396" t="s">
        <v>50</v>
      </c>
      <c r="K396" t="s">
        <v>32</v>
      </c>
      <c r="L396" t="s">
        <v>74</v>
      </c>
      <c r="M396">
        <v>57</v>
      </c>
      <c r="N396">
        <v>25</v>
      </c>
      <c r="O396">
        <v>1425</v>
      </c>
      <c r="P396">
        <v>798</v>
      </c>
      <c r="Q396">
        <v>627</v>
      </c>
      <c r="R396">
        <v>0</v>
      </c>
      <c r="S396" t="s">
        <v>57</v>
      </c>
      <c r="T396">
        <v>81.900000000000006</v>
      </c>
    </row>
    <row r="397" spans="1:20" x14ac:dyDescent="0.25">
      <c r="A397">
        <v>100396</v>
      </c>
      <c r="B397" s="6">
        <v>44951</v>
      </c>
      <c r="C397">
        <v>2023</v>
      </c>
      <c r="D397" t="s">
        <v>63</v>
      </c>
      <c r="E397">
        <v>1</v>
      </c>
      <c r="F397" t="s">
        <v>79</v>
      </c>
      <c r="G397" t="s">
        <v>45</v>
      </c>
      <c r="H397" t="s">
        <v>23</v>
      </c>
      <c r="I397" t="s">
        <v>62</v>
      </c>
      <c r="J397" t="s">
        <v>25</v>
      </c>
      <c r="K397" t="s">
        <v>59</v>
      </c>
      <c r="L397" t="s">
        <v>60</v>
      </c>
      <c r="M397">
        <v>77</v>
      </c>
      <c r="N397">
        <v>45</v>
      </c>
      <c r="O397">
        <v>3118.5</v>
      </c>
      <c r="P397">
        <v>2079</v>
      </c>
      <c r="Q397">
        <v>1039.5</v>
      </c>
      <c r="R397">
        <v>0.1</v>
      </c>
      <c r="S397" t="s">
        <v>28</v>
      </c>
      <c r="T397">
        <v>139.74</v>
      </c>
    </row>
    <row r="398" spans="1:20" x14ac:dyDescent="0.25">
      <c r="A398">
        <v>100397</v>
      </c>
      <c r="B398" s="6">
        <v>44972</v>
      </c>
      <c r="C398">
        <v>2023</v>
      </c>
      <c r="D398" t="s">
        <v>63</v>
      </c>
      <c r="E398">
        <v>2</v>
      </c>
      <c r="F398" t="s">
        <v>81</v>
      </c>
      <c r="G398" t="s">
        <v>35</v>
      </c>
      <c r="H398" t="s">
        <v>23</v>
      </c>
      <c r="I398" t="s">
        <v>80</v>
      </c>
      <c r="J398" t="s">
        <v>25</v>
      </c>
      <c r="K398" t="s">
        <v>26</v>
      </c>
      <c r="L398" t="s">
        <v>82</v>
      </c>
      <c r="M398">
        <v>83</v>
      </c>
      <c r="N398">
        <v>105</v>
      </c>
      <c r="O398">
        <v>8715</v>
      </c>
      <c r="P398">
        <v>5063</v>
      </c>
      <c r="Q398">
        <v>3652</v>
      </c>
      <c r="R398">
        <v>0</v>
      </c>
      <c r="S398" t="s">
        <v>28</v>
      </c>
      <c r="T398">
        <v>338.55</v>
      </c>
    </row>
    <row r="399" spans="1:20" x14ac:dyDescent="0.25">
      <c r="A399">
        <v>100398</v>
      </c>
      <c r="B399" s="6">
        <v>45293</v>
      </c>
      <c r="C399">
        <v>2024</v>
      </c>
      <c r="D399" t="s">
        <v>63</v>
      </c>
      <c r="E399">
        <v>1</v>
      </c>
      <c r="F399" t="s">
        <v>79</v>
      </c>
      <c r="G399" t="s">
        <v>22</v>
      </c>
      <c r="H399" t="s">
        <v>23</v>
      </c>
      <c r="I399" t="s">
        <v>65</v>
      </c>
      <c r="J399" t="s">
        <v>68</v>
      </c>
      <c r="K399" t="s">
        <v>51</v>
      </c>
      <c r="L399" t="s">
        <v>92</v>
      </c>
      <c r="M399">
        <v>101</v>
      </c>
      <c r="N399">
        <v>50</v>
      </c>
      <c r="O399">
        <v>4797.5</v>
      </c>
      <c r="P399">
        <v>2929</v>
      </c>
      <c r="Q399">
        <v>1868.5</v>
      </c>
      <c r="R399">
        <v>0.05</v>
      </c>
      <c r="S399" t="s">
        <v>57</v>
      </c>
      <c r="T399">
        <v>240.22</v>
      </c>
    </row>
    <row r="400" spans="1:20" x14ac:dyDescent="0.25">
      <c r="A400">
        <v>100399</v>
      </c>
      <c r="B400" s="6">
        <v>44965</v>
      </c>
      <c r="C400">
        <v>2023</v>
      </c>
      <c r="D400" t="s">
        <v>63</v>
      </c>
      <c r="E400">
        <v>2</v>
      </c>
      <c r="F400" t="s">
        <v>81</v>
      </c>
      <c r="G400" t="s">
        <v>45</v>
      </c>
      <c r="H400" t="s">
        <v>23</v>
      </c>
      <c r="I400" t="s">
        <v>46</v>
      </c>
      <c r="J400" t="s">
        <v>66</v>
      </c>
      <c r="K400" t="s">
        <v>55</v>
      </c>
      <c r="L400" t="s">
        <v>56</v>
      </c>
      <c r="M400">
        <v>56</v>
      </c>
      <c r="N400">
        <v>320</v>
      </c>
      <c r="O400">
        <v>17920</v>
      </c>
      <c r="P400">
        <v>13160</v>
      </c>
      <c r="Q400">
        <v>4760</v>
      </c>
      <c r="R400">
        <v>0</v>
      </c>
      <c r="S400" t="s">
        <v>38</v>
      </c>
      <c r="T400">
        <v>619.65</v>
      </c>
    </row>
    <row r="401" spans="1:20" x14ac:dyDescent="0.25">
      <c r="A401">
        <v>100400</v>
      </c>
      <c r="B401" s="6">
        <v>45870</v>
      </c>
      <c r="C401">
        <v>2025</v>
      </c>
      <c r="D401" t="s">
        <v>39</v>
      </c>
      <c r="E401">
        <v>8</v>
      </c>
      <c r="F401" t="s">
        <v>58</v>
      </c>
      <c r="G401" t="s">
        <v>35</v>
      </c>
      <c r="H401" t="s">
        <v>23</v>
      </c>
      <c r="I401" t="s">
        <v>80</v>
      </c>
      <c r="J401" t="s">
        <v>68</v>
      </c>
      <c r="K401" t="s">
        <v>51</v>
      </c>
      <c r="L401" t="s">
        <v>76</v>
      </c>
      <c r="M401">
        <v>71</v>
      </c>
      <c r="N401">
        <v>40</v>
      </c>
      <c r="O401">
        <v>2698</v>
      </c>
      <c r="P401">
        <v>1633</v>
      </c>
      <c r="Q401">
        <v>1065</v>
      </c>
      <c r="R401">
        <v>0.05</v>
      </c>
      <c r="S401" t="s">
        <v>38</v>
      </c>
      <c r="T401">
        <v>140.32</v>
      </c>
    </row>
    <row r="402" spans="1:20" x14ac:dyDescent="0.25">
      <c r="A402">
        <v>100401</v>
      </c>
      <c r="B402" s="6">
        <v>45565</v>
      </c>
      <c r="C402">
        <v>2024</v>
      </c>
      <c r="D402" t="s">
        <v>39</v>
      </c>
      <c r="E402">
        <v>9</v>
      </c>
      <c r="F402" t="s">
        <v>40</v>
      </c>
      <c r="G402" t="s">
        <v>22</v>
      </c>
      <c r="H402" t="s">
        <v>23</v>
      </c>
      <c r="I402" t="s">
        <v>65</v>
      </c>
      <c r="J402" t="s">
        <v>31</v>
      </c>
      <c r="K402" t="s">
        <v>55</v>
      </c>
      <c r="L402" t="s">
        <v>93</v>
      </c>
      <c r="M402">
        <v>140</v>
      </c>
      <c r="N402">
        <v>60</v>
      </c>
      <c r="O402">
        <v>7980</v>
      </c>
      <c r="P402">
        <v>5880</v>
      </c>
      <c r="Q402">
        <v>2100</v>
      </c>
      <c r="R402">
        <v>0.05</v>
      </c>
      <c r="S402" t="s">
        <v>28</v>
      </c>
      <c r="T402">
        <v>445.75</v>
      </c>
    </row>
    <row r="403" spans="1:20" x14ac:dyDescent="0.25">
      <c r="A403">
        <v>100402</v>
      </c>
      <c r="B403" s="6">
        <v>45617</v>
      </c>
      <c r="C403">
        <v>2024</v>
      </c>
      <c r="D403" t="s">
        <v>43</v>
      </c>
      <c r="E403">
        <v>11</v>
      </c>
      <c r="F403" t="s">
        <v>87</v>
      </c>
      <c r="G403" t="s">
        <v>35</v>
      </c>
      <c r="H403" t="s">
        <v>23</v>
      </c>
      <c r="I403" t="s">
        <v>36</v>
      </c>
      <c r="J403" t="s">
        <v>50</v>
      </c>
      <c r="K403" t="s">
        <v>51</v>
      </c>
      <c r="L403" t="s">
        <v>92</v>
      </c>
      <c r="M403">
        <v>143</v>
      </c>
      <c r="N403">
        <v>50</v>
      </c>
      <c r="O403">
        <v>6792.5</v>
      </c>
      <c r="P403">
        <v>4147</v>
      </c>
      <c r="Q403">
        <v>2645.5</v>
      </c>
      <c r="R403">
        <v>0.05</v>
      </c>
      <c r="S403" t="s">
        <v>38</v>
      </c>
      <c r="T403">
        <v>226.52</v>
      </c>
    </row>
    <row r="404" spans="1:20" x14ac:dyDescent="0.25">
      <c r="A404">
        <v>100403</v>
      </c>
      <c r="B404" s="6">
        <v>45475</v>
      </c>
      <c r="C404">
        <v>2024</v>
      </c>
      <c r="D404" t="s">
        <v>39</v>
      </c>
      <c r="E404">
        <v>7</v>
      </c>
      <c r="F404" t="s">
        <v>75</v>
      </c>
      <c r="G404" t="s">
        <v>45</v>
      </c>
      <c r="H404" t="s">
        <v>23</v>
      </c>
      <c r="I404" t="s">
        <v>88</v>
      </c>
      <c r="J404" t="s">
        <v>50</v>
      </c>
      <c r="K404" t="s">
        <v>26</v>
      </c>
      <c r="L404" t="s">
        <v>27</v>
      </c>
      <c r="M404">
        <v>11</v>
      </c>
      <c r="N404">
        <v>110</v>
      </c>
      <c r="O404">
        <v>1149.5</v>
      </c>
      <c r="P404">
        <v>748</v>
      </c>
      <c r="Q404">
        <v>401.5</v>
      </c>
      <c r="R404">
        <v>0.05</v>
      </c>
      <c r="S404" t="s">
        <v>57</v>
      </c>
      <c r="T404">
        <v>32.950000000000003</v>
      </c>
    </row>
    <row r="405" spans="1:20" x14ac:dyDescent="0.25">
      <c r="A405">
        <v>100404</v>
      </c>
      <c r="B405" s="6">
        <v>45606</v>
      </c>
      <c r="C405">
        <v>2024</v>
      </c>
      <c r="D405" t="s">
        <v>43</v>
      </c>
      <c r="E405">
        <v>11</v>
      </c>
      <c r="F405" t="s">
        <v>87</v>
      </c>
      <c r="G405" t="s">
        <v>29</v>
      </c>
      <c r="H405" t="s">
        <v>23</v>
      </c>
      <c r="I405" t="s">
        <v>85</v>
      </c>
      <c r="J405" t="s">
        <v>66</v>
      </c>
      <c r="K405" t="s">
        <v>59</v>
      </c>
      <c r="L405" t="s">
        <v>60</v>
      </c>
      <c r="M405">
        <v>88</v>
      </c>
      <c r="N405">
        <v>45</v>
      </c>
      <c r="O405">
        <v>3960</v>
      </c>
      <c r="P405">
        <v>2376</v>
      </c>
      <c r="Q405">
        <v>1584</v>
      </c>
      <c r="R405">
        <v>0</v>
      </c>
      <c r="S405" t="s">
        <v>57</v>
      </c>
      <c r="T405">
        <v>239.03</v>
      </c>
    </row>
    <row r="406" spans="1:20" x14ac:dyDescent="0.25">
      <c r="A406">
        <v>100405</v>
      </c>
      <c r="B406" s="6">
        <v>45698</v>
      </c>
      <c r="C406">
        <v>2025</v>
      </c>
      <c r="D406" t="s">
        <v>63</v>
      </c>
      <c r="E406">
        <v>2</v>
      </c>
      <c r="F406" t="s">
        <v>81</v>
      </c>
      <c r="G406" t="s">
        <v>35</v>
      </c>
      <c r="H406" t="s">
        <v>23</v>
      </c>
      <c r="I406" t="s">
        <v>80</v>
      </c>
      <c r="J406" t="s">
        <v>42</v>
      </c>
      <c r="K406" t="s">
        <v>51</v>
      </c>
      <c r="L406" t="s">
        <v>52</v>
      </c>
      <c r="M406">
        <v>63</v>
      </c>
      <c r="N406">
        <v>75</v>
      </c>
      <c r="O406">
        <v>4725</v>
      </c>
      <c r="P406">
        <v>2772</v>
      </c>
      <c r="Q406">
        <v>1953</v>
      </c>
      <c r="R406">
        <v>0</v>
      </c>
      <c r="S406" t="s">
        <v>57</v>
      </c>
      <c r="T406">
        <v>125.46</v>
      </c>
    </row>
    <row r="407" spans="1:20" x14ac:dyDescent="0.25">
      <c r="A407">
        <v>100406</v>
      </c>
      <c r="B407" s="6">
        <v>45900</v>
      </c>
      <c r="C407">
        <v>2025</v>
      </c>
      <c r="D407" t="s">
        <v>39</v>
      </c>
      <c r="E407">
        <v>8</v>
      </c>
      <c r="F407" t="s">
        <v>58</v>
      </c>
      <c r="G407" t="s">
        <v>35</v>
      </c>
      <c r="H407" t="s">
        <v>23</v>
      </c>
      <c r="I407" t="s">
        <v>36</v>
      </c>
      <c r="J407" t="s">
        <v>42</v>
      </c>
      <c r="K407" t="s">
        <v>51</v>
      </c>
      <c r="L407" t="s">
        <v>76</v>
      </c>
      <c r="M407">
        <v>47</v>
      </c>
      <c r="N407">
        <v>40</v>
      </c>
      <c r="O407">
        <v>1880</v>
      </c>
      <c r="P407">
        <v>1081</v>
      </c>
      <c r="Q407">
        <v>799</v>
      </c>
      <c r="R407">
        <v>0</v>
      </c>
      <c r="S407" t="s">
        <v>38</v>
      </c>
      <c r="T407">
        <v>81.599999999999994</v>
      </c>
    </row>
    <row r="408" spans="1:20" x14ac:dyDescent="0.25">
      <c r="A408">
        <v>100407</v>
      </c>
      <c r="B408" s="6">
        <v>44947</v>
      </c>
      <c r="C408">
        <v>2023</v>
      </c>
      <c r="D408" t="s">
        <v>63</v>
      </c>
      <c r="E408">
        <v>1</v>
      </c>
      <c r="F408" t="s">
        <v>79</v>
      </c>
      <c r="G408" t="s">
        <v>35</v>
      </c>
      <c r="H408" t="s">
        <v>23</v>
      </c>
      <c r="I408" t="s">
        <v>53</v>
      </c>
      <c r="J408" t="s">
        <v>42</v>
      </c>
      <c r="K408" t="s">
        <v>26</v>
      </c>
      <c r="L408" t="s">
        <v>69</v>
      </c>
      <c r="M408">
        <v>93</v>
      </c>
      <c r="N408">
        <v>130</v>
      </c>
      <c r="O408">
        <v>11727.3</v>
      </c>
      <c r="P408">
        <v>7068</v>
      </c>
      <c r="Q408">
        <v>4659.3</v>
      </c>
      <c r="R408">
        <v>0.03</v>
      </c>
      <c r="S408" t="s">
        <v>38</v>
      </c>
      <c r="T408">
        <v>695.68</v>
      </c>
    </row>
    <row r="409" spans="1:20" x14ac:dyDescent="0.25">
      <c r="A409">
        <v>100408</v>
      </c>
      <c r="B409" s="6">
        <v>45209</v>
      </c>
      <c r="C409">
        <v>2023</v>
      </c>
      <c r="D409" t="s">
        <v>43</v>
      </c>
      <c r="E409">
        <v>10</v>
      </c>
      <c r="F409" t="s">
        <v>44</v>
      </c>
      <c r="G409" t="s">
        <v>29</v>
      </c>
      <c r="H409" t="s">
        <v>23</v>
      </c>
      <c r="I409" t="s">
        <v>85</v>
      </c>
      <c r="J409" t="s">
        <v>42</v>
      </c>
      <c r="K409" t="s">
        <v>59</v>
      </c>
      <c r="L409" t="s">
        <v>60</v>
      </c>
      <c r="M409">
        <v>70</v>
      </c>
      <c r="N409">
        <v>45</v>
      </c>
      <c r="O409">
        <v>3087</v>
      </c>
      <c r="P409">
        <v>1890</v>
      </c>
      <c r="Q409">
        <v>1197</v>
      </c>
      <c r="R409">
        <v>0.02</v>
      </c>
      <c r="S409" t="s">
        <v>57</v>
      </c>
      <c r="T409">
        <v>186.98</v>
      </c>
    </row>
    <row r="410" spans="1:20" x14ac:dyDescent="0.25">
      <c r="A410">
        <v>100409</v>
      </c>
      <c r="B410" s="6">
        <v>45470</v>
      </c>
      <c r="C410">
        <v>2024</v>
      </c>
      <c r="D410" t="s">
        <v>20</v>
      </c>
      <c r="E410">
        <v>6</v>
      </c>
      <c r="F410" t="s">
        <v>48</v>
      </c>
      <c r="G410" t="s">
        <v>22</v>
      </c>
      <c r="H410" t="s">
        <v>23</v>
      </c>
      <c r="I410" t="s">
        <v>65</v>
      </c>
      <c r="J410" t="s">
        <v>42</v>
      </c>
      <c r="K410" t="s">
        <v>26</v>
      </c>
      <c r="L410" t="s">
        <v>78</v>
      </c>
      <c r="M410">
        <v>115</v>
      </c>
      <c r="N410">
        <v>95</v>
      </c>
      <c r="O410">
        <v>10706.5</v>
      </c>
      <c r="P410">
        <v>6670</v>
      </c>
      <c r="Q410">
        <v>4036.5</v>
      </c>
      <c r="R410">
        <v>0.02</v>
      </c>
      <c r="S410" t="s">
        <v>38</v>
      </c>
      <c r="T410">
        <v>297.08999999999997</v>
      </c>
    </row>
    <row r="411" spans="1:20" x14ac:dyDescent="0.25">
      <c r="A411">
        <v>100410</v>
      </c>
      <c r="B411" s="6">
        <v>45063</v>
      </c>
      <c r="C411">
        <v>2023</v>
      </c>
      <c r="D411" t="s">
        <v>20</v>
      </c>
      <c r="E411">
        <v>5</v>
      </c>
      <c r="F411" t="s">
        <v>21</v>
      </c>
      <c r="G411" t="s">
        <v>35</v>
      </c>
      <c r="H411" t="s">
        <v>23</v>
      </c>
      <c r="I411" t="s">
        <v>53</v>
      </c>
      <c r="J411" t="s">
        <v>50</v>
      </c>
      <c r="K411" t="s">
        <v>26</v>
      </c>
      <c r="L411" t="s">
        <v>69</v>
      </c>
      <c r="M411">
        <v>127</v>
      </c>
      <c r="N411">
        <v>130</v>
      </c>
      <c r="O411">
        <v>15684.5</v>
      </c>
      <c r="P411">
        <v>9652</v>
      </c>
      <c r="Q411">
        <v>6032.5</v>
      </c>
      <c r="R411">
        <v>0.05</v>
      </c>
      <c r="S411" t="s">
        <v>28</v>
      </c>
      <c r="T411">
        <v>998.17</v>
      </c>
    </row>
    <row r="412" spans="1:20" x14ac:dyDescent="0.25">
      <c r="A412">
        <v>100411</v>
      </c>
      <c r="B412" s="6">
        <v>45340</v>
      </c>
      <c r="C412">
        <v>2024</v>
      </c>
      <c r="D412" t="s">
        <v>63</v>
      </c>
      <c r="E412">
        <v>2</v>
      </c>
      <c r="F412" t="s">
        <v>81</v>
      </c>
      <c r="G412" t="s">
        <v>45</v>
      </c>
      <c r="H412" t="s">
        <v>23</v>
      </c>
      <c r="I412" t="s">
        <v>90</v>
      </c>
      <c r="J412" t="s">
        <v>54</v>
      </c>
      <c r="K412" t="s">
        <v>59</v>
      </c>
      <c r="L412" t="s">
        <v>60</v>
      </c>
      <c r="M412">
        <v>96</v>
      </c>
      <c r="N412">
        <v>45</v>
      </c>
      <c r="O412">
        <v>4320</v>
      </c>
      <c r="P412">
        <v>2592</v>
      </c>
      <c r="Q412">
        <v>1728</v>
      </c>
      <c r="R412">
        <v>0</v>
      </c>
      <c r="S412" t="s">
        <v>70</v>
      </c>
      <c r="T412">
        <v>229.68</v>
      </c>
    </row>
    <row r="413" spans="1:20" x14ac:dyDescent="0.25">
      <c r="A413">
        <v>100412</v>
      </c>
      <c r="B413" s="6">
        <v>45995</v>
      </c>
      <c r="C413">
        <v>2025</v>
      </c>
      <c r="D413" t="s">
        <v>43</v>
      </c>
      <c r="E413">
        <v>12</v>
      </c>
      <c r="F413" t="s">
        <v>83</v>
      </c>
      <c r="G413" t="s">
        <v>45</v>
      </c>
      <c r="H413" t="s">
        <v>23</v>
      </c>
      <c r="I413" t="s">
        <v>90</v>
      </c>
      <c r="J413" t="s">
        <v>66</v>
      </c>
      <c r="K413" t="s">
        <v>32</v>
      </c>
      <c r="L413" t="s">
        <v>33</v>
      </c>
      <c r="M413">
        <v>143</v>
      </c>
      <c r="N413">
        <v>60</v>
      </c>
      <c r="O413">
        <v>8151</v>
      </c>
      <c r="P413">
        <v>5434</v>
      </c>
      <c r="Q413">
        <v>2717</v>
      </c>
      <c r="R413">
        <v>0.05</v>
      </c>
      <c r="S413" t="s">
        <v>38</v>
      </c>
      <c r="T413">
        <v>255.32</v>
      </c>
    </row>
    <row r="414" spans="1:20" x14ac:dyDescent="0.25">
      <c r="A414">
        <v>100413</v>
      </c>
      <c r="B414" s="6">
        <v>45647</v>
      </c>
      <c r="C414">
        <v>2024</v>
      </c>
      <c r="D414" t="s">
        <v>43</v>
      </c>
      <c r="E414">
        <v>12</v>
      </c>
      <c r="F414" t="s">
        <v>83</v>
      </c>
      <c r="G414" t="s">
        <v>35</v>
      </c>
      <c r="H414" t="s">
        <v>23</v>
      </c>
      <c r="I414" t="s">
        <v>53</v>
      </c>
      <c r="J414" t="s">
        <v>50</v>
      </c>
      <c r="K414" t="s">
        <v>26</v>
      </c>
      <c r="L414" t="s">
        <v>69</v>
      </c>
      <c r="M414">
        <v>131</v>
      </c>
      <c r="N414">
        <v>130</v>
      </c>
      <c r="O414">
        <v>16689.400000000001</v>
      </c>
      <c r="P414">
        <v>9956</v>
      </c>
      <c r="Q414">
        <v>6733.4</v>
      </c>
      <c r="R414">
        <v>0.02</v>
      </c>
      <c r="S414" t="s">
        <v>38</v>
      </c>
      <c r="T414">
        <v>347.04</v>
      </c>
    </row>
    <row r="415" spans="1:20" x14ac:dyDescent="0.25">
      <c r="A415">
        <v>100414</v>
      </c>
      <c r="B415" s="6">
        <v>45961</v>
      </c>
      <c r="C415">
        <v>2025</v>
      </c>
      <c r="D415" t="s">
        <v>43</v>
      </c>
      <c r="E415">
        <v>10</v>
      </c>
      <c r="F415" t="s">
        <v>44</v>
      </c>
      <c r="G415" t="s">
        <v>35</v>
      </c>
      <c r="H415" t="s">
        <v>23</v>
      </c>
      <c r="I415" t="s">
        <v>53</v>
      </c>
      <c r="J415" t="s">
        <v>50</v>
      </c>
      <c r="K415" t="s">
        <v>32</v>
      </c>
      <c r="L415" t="s">
        <v>33</v>
      </c>
      <c r="M415">
        <v>136</v>
      </c>
      <c r="N415">
        <v>60</v>
      </c>
      <c r="O415">
        <v>7996.8</v>
      </c>
      <c r="P415">
        <v>5168</v>
      </c>
      <c r="Q415">
        <v>2828.8</v>
      </c>
      <c r="R415">
        <v>0.02</v>
      </c>
      <c r="S415" t="s">
        <v>70</v>
      </c>
      <c r="T415">
        <v>216.52</v>
      </c>
    </row>
    <row r="416" spans="1:20" x14ac:dyDescent="0.25">
      <c r="A416">
        <v>100415</v>
      </c>
      <c r="B416" s="6">
        <v>45289</v>
      </c>
      <c r="C416">
        <v>2023</v>
      </c>
      <c r="D416" t="s">
        <v>43</v>
      </c>
      <c r="E416">
        <v>12</v>
      </c>
      <c r="F416" t="s">
        <v>83</v>
      </c>
      <c r="G416" t="s">
        <v>45</v>
      </c>
      <c r="H416" t="s">
        <v>23</v>
      </c>
      <c r="I416" t="s">
        <v>46</v>
      </c>
      <c r="J416" t="s">
        <v>68</v>
      </c>
      <c r="K416" t="s">
        <v>51</v>
      </c>
      <c r="L416" t="s">
        <v>76</v>
      </c>
      <c r="M416">
        <v>28</v>
      </c>
      <c r="N416">
        <v>40</v>
      </c>
      <c r="O416">
        <v>1064</v>
      </c>
      <c r="P416">
        <v>644</v>
      </c>
      <c r="Q416">
        <v>420</v>
      </c>
      <c r="R416">
        <v>0.05</v>
      </c>
      <c r="S416" t="s">
        <v>38</v>
      </c>
      <c r="T416">
        <v>40.06</v>
      </c>
    </row>
    <row r="417" spans="1:20" x14ac:dyDescent="0.25">
      <c r="A417">
        <v>100416</v>
      </c>
      <c r="B417" s="6">
        <v>45872</v>
      </c>
      <c r="C417">
        <v>2025</v>
      </c>
      <c r="D417" t="s">
        <v>39</v>
      </c>
      <c r="E417">
        <v>8</v>
      </c>
      <c r="F417" t="s">
        <v>58</v>
      </c>
      <c r="G417" t="s">
        <v>35</v>
      </c>
      <c r="H417" t="s">
        <v>23</v>
      </c>
      <c r="I417" t="s">
        <v>53</v>
      </c>
      <c r="J417" t="s">
        <v>42</v>
      </c>
      <c r="K417" t="s">
        <v>59</v>
      </c>
      <c r="L417" t="s">
        <v>60</v>
      </c>
      <c r="M417">
        <v>102</v>
      </c>
      <c r="N417">
        <v>45</v>
      </c>
      <c r="O417">
        <v>4452.3</v>
      </c>
      <c r="P417">
        <v>2754</v>
      </c>
      <c r="Q417">
        <v>1698.3</v>
      </c>
      <c r="R417">
        <v>0.03</v>
      </c>
      <c r="S417" t="s">
        <v>70</v>
      </c>
      <c r="T417">
        <v>95.04</v>
      </c>
    </row>
    <row r="418" spans="1:20" x14ac:dyDescent="0.25">
      <c r="A418">
        <v>100417</v>
      </c>
      <c r="B418" s="6">
        <v>45851</v>
      </c>
      <c r="C418">
        <v>2025</v>
      </c>
      <c r="D418" t="s">
        <v>39</v>
      </c>
      <c r="E418">
        <v>7</v>
      </c>
      <c r="F418" t="s">
        <v>75</v>
      </c>
      <c r="G418" t="s">
        <v>22</v>
      </c>
      <c r="H418" t="s">
        <v>23</v>
      </c>
      <c r="I418" t="s">
        <v>65</v>
      </c>
      <c r="J418" t="s">
        <v>25</v>
      </c>
      <c r="K418" t="s">
        <v>55</v>
      </c>
      <c r="L418" t="s">
        <v>93</v>
      </c>
      <c r="M418">
        <v>80</v>
      </c>
      <c r="N418">
        <v>60</v>
      </c>
      <c r="O418">
        <v>4800</v>
      </c>
      <c r="P418">
        <v>3360</v>
      </c>
      <c r="Q418">
        <v>1440</v>
      </c>
      <c r="R418">
        <v>0</v>
      </c>
      <c r="S418" t="s">
        <v>38</v>
      </c>
      <c r="T418">
        <v>273.91000000000003</v>
      </c>
    </row>
    <row r="419" spans="1:20" x14ac:dyDescent="0.25">
      <c r="A419">
        <v>100418</v>
      </c>
      <c r="B419" s="6">
        <v>45743</v>
      </c>
      <c r="C419">
        <v>2025</v>
      </c>
      <c r="D419" t="s">
        <v>63</v>
      </c>
      <c r="E419">
        <v>3</v>
      </c>
      <c r="F419" t="s">
        <v>64</v>
      </c>
      <c r="G419" t="s">
        <v>22</v>
      </c>
      <c r="H419" t="s">
        <v>23</v>
      </c>
      <c r="I419" t="s">
        <v>71</v>
      </c>
      <c r="J419" t="s">
        <v>25</v>
      </c>
      <c r="K419" t="s">
        <v>26</v>
      </c>
      <c r="L419" t="s">
        <v>78</v>
      </c>
      <c r="M419">
        <v>26</v>
      </c>
      <c r="N419">
        <v>95</v>
      </c>
      <c r="O419">
        <v>2272.4</v>
      </c>
      <c r="P419">
        <v>1508</v>
      </c>
      <c r="Q419">
        <v>764.4</v>
      </c>
      <c r="R419">
        <v>0.08</v>
      </c>
      <c r="S419" t="s">
        <v>70</v>
      </c>
      <c r="T419">
        <v>118.23</v>
      </c>
    </row>
    <row r="420" spans="1:20" x14ac:dyDescent="0.25">
      <c r="A420">
        <v>100419</v>
      </c>
      <c r="B420" s="6">
        <v>45342</v>
      </c>
      <c r="C420">
        <v>2024</v>
      </c>
      <c r="D420" t="s">
        <v>63</v>
      </c>
      <c r="E420">
        <v>2</v>
      </c>
      <c r="F420" t="s">
        <v>81</v>
      </c>
      <c r="G420" t="s">
        <v>35</v>
      </c>
      <c r="H420" t="s">
        <v>23</v>
      </c>
      <c r="I420" t="s">
        <v>80</v>
      </c>
      <c r="J420" t="s">
        <v>42</v>
      </c>
      <c r="K420" t="s">
        <v>55</v>
      </c>
      <c r="L420" t="s">
        <v>84</v>
      </c>
      <c r="M420">
        <v>82</v>
      </c>
      <c r="N420">
        <v>55</v>
      </c>
      <c r="O420">
        <v>4374.7</v>
      </c>
      <c r="P420">
        <v>3034</v>
      </c>
      <c r="Q420">
        <v>1340.7</v>
      </c>
      <c r="R420">
        <v>0.03</v>
      </c>
      <c r="S420" t="s">
        <v>28</v>
      </c>
      <c r="T420">
        <v>266.8</v>
      </c>
    </row>
    <row r="421" spans="1:20" x14ac:dyDescent="0.25">
      <c r="A421">
        <v>100420</v>
      </c>
      <c r="B421" s="6">
        <v>45351</v>
      </c>
      <c r="C421">
        <v>2024</v>
      </c>
      <c r="D421" t="s">
        <v>63</v>
      </c>
      <c r="E421">
        <v>2</v>
      </c>
      <c r="F421" t="s">
        <v>81</v>
      </c>
      <c r="G421" t="s">
        <v>22</v>
      </c>
      <c r="H421" t="s">
        <v>23</v>
      </c>
      <c r="I421" t="s">
        <v>65</v>
      </c>
      <c r="J421" t="s">
        <v>54</v>
      </c>
      <c r="K421" t="s">
        <v>51</v>
      </c>
      <c r="L421" t="s">
        <v>92</v>
      </c>
      <c r="M421">
        <v>92</v>
      </c>
      <c r="N421">
        <v>50</v>
      </c>
      <c r="O421">
        <v>4232</v>
      </c>
      <c r="P421">
        <v>2668</v>
      </c>
      <c r="Q421">
        <v>1564</v>
      </c>
      <c r="R421">
        <v>0.08</v>
      </c>
      <c r="S421" t="s">
        <v>70</v>
      </c>
      <c r="T421">
        <v>157.65</v>
      </c>
    </row>
    <row r="422" spans="1:20" x14ac:dyDescent="0.25">
      <c r="A422">
        <v>100421</v>
      </c>
      <c r="B422" s="6">
        <v>45868</v>
      </c>
      <c r="C422">
        <v>2025</v>
      </c>
      <c r="D422" t="s">
        <v>39</v>
      </c>
      <c r="E422">
        <v>7</v>
      </c>
      <c r="F422" t="s">
        <v>75</v>
      </c>
      <c r="G422" t="s">
        <v>35</v>
      </c>
      <c r="H422" t="s">
        <v>23</v>
      </c>
      <c r="I422" t="s">
        <v>77</v>
      </c>
      <c r="J422" t="s">
        <v>66</v>
      </c>
      <c r="K422" t="s">
        <v>26</v>
      </c>
      <c r="L422" t="s">
        <v>69</v>
      </c>
      <c r="M422">
        <v>137</v>
      </c>
      <c r="N422">
        <v>130</v>
      </c>
      <c r="O422">
        <v>17453.8</v>
      </c>
      <c r="P422">
        <v>10412</v>
      </c>
      <c r="Q422">
        <v>7041.8</v>
      </c>
      <c r="R422">
        <v>0.02</v>
      </c>
      <c r="S422" t="s">
        <v>70</v>
      </c>
      <c r="T422">
        <v>326.10000000000002</v>
      </c>
    </row>
    <row r="423" spans="1:20" x14ac:dyDescent="0.25">
      <c r="A423">
        <v>100422</v>
      </c>
      <c r="B423" s="6">
        <v>45677</v>
      </c>
      <c r="C423">
        <v>2025</v>
      </c>
      <c r="D423" t="s">
        <v>63</v>
      </c>
      <c r="E423">
        <v>1</v>
      </c>
      <c r="F423" t="s">
        <v>79</v>
      </c>
      <c r="G423" t="s">
        <v>45</v>
      </c>
      <c r="H423" t="s">
        <v>23</v>
      </c>
      <c r="I423" t="s">
        <v>62</v>
      </c>
      <c r="J423" t="s">
        <v>68</v>
      </c>
      <c r="K423" t="s">
        <v>55</v>
      </c>
      <c r="L423" t="s">
        <v>56</v>
      </c>
      <c r="M423">
        <v>125</v>
      </c>
      <c r="N423">
        <v>320</v>
      </c>
      <c r="O423">
        <v>38000</v>
      </c>
      <c r="P423">
        <v>29375</v>
      </c>
      <c r="Q423">
        <v>8625</v>
      </c>
      <c r="R423">
        <v>0.05</v>
      </c>
      <c r="S423" t="s">
        <v>70</v>
      </c>
      <c r="T423">
        <v>724.88</v>
      </c>
    </row>
    <row r="424" spans="1:20" x14ac:dyDescent="0.25">
      <c r="A424">
        <v>100423</v>
      </c>
      <c r="B424" s="6">
        <v>45261</v>
      </c>
      <c r="C424">
        <v>2023</v>
      </c>
      <c r="D424" t="s">
        <v>43</v>
      </c>
      <c r="E424">
        <v>12</v>
      </c>
      <c r="F424" t="s">
        <v>83</v>
      </c>
      <c r="G424" t="s">
        <v>29</v>
      </c>
      <c r="H424" t="s">
        <v>23</v>
      </c>
      <c r="I424" t="s">
        <v>49</v>
      </c>
      <c r="J424" t="s">
        <v>31</v>
      </c>
      <c r="K424" t="s">
        <v>55</v>
      </c>
      <c r="L424" t="s">
        <v>84</v>
      </c>
      <c r="M424">
        <v>76</v>
      </c>
      <c r="N424">
        <v>55</v>
      </c>
      <c r="O424">
        <v>4096.3999999999996</v>
      </c>
      <c r="P424">
        <v>2812</v>
      </c>
      <c r="Q424">
        <v>1284.4000000000001</v>
      </c>
      <c r="R424">
        <v>0.02</v>
      </c>
      <c r="S424" t="s">
        <v>70</v>
      </c>
      <c r="T424">
        <v>140.41999999999999</v>
      </c>
    </row>
    <row r="425" spans="1:20" x14ac:dyDescent="0.25">
      <c r="A425">
        <v>100424</v>
      </c>
      <c r="B425" s="6">
        <v>45877</v>
      </c>
      <c r="C425">
        <v>2025</v>
      </c>
      <c r="D425" t="s">
        <v>39</v>
      </c>
      <c r="E425">
        <v>8</v>
      </c>
      <c r="F425" t="s">
        <v>58</v>
      </c>
      <c r="G425" t="s">
        <v>35</v>
      </c>
      <c r="H425" t="s">
        <v>23</v>
      </c>
      <c r="I425" t="s">
        <v>80</v>
      </c>
      <c r="J425" t="s">
        <v>25</v>
      </c>
      <c r="K425" t="s">
        <v>59</v>
      </c>
      <c r="L425" t="s">
        <v>91</v>
      </c>
      <c r="M425">
        <v>84</v>
      </c>
      <c r="N425">
        <v>140</v>
      </c>
      <c r="O425">
        <v>11172</v>
      </c>
      <c r="P425">
        <v>6888</v>
      </c>
      <c r="Q425">
        <v>4284</v>
      </c>
      <c r="R425">
        <v>0.05</v>
      </c>
      <c r="S425" t="s">
        <v>38</v>
      </c>
      <c r="T425">
        <v>603.09</v>
      </c>
    </row>
    <row r="426" spans="1:20" x14ac:dyDescent="0.25">
      <c r="A426">
        <v>100425</v>
      </c>
      <c r="B426" s="6">
        <v>45824</v>
      </c>
      <c r="C426">
        <v>2025</v>
      </c>
      <c r="D426" t="s">
        <v>20</v>
      </c>
      <c r="E426">
        <v>6</v>
      </c>
      <c r="F426" t="s">
        <v>48</v>
      </c>
      <c r="G426" t="s">
        <v>35</v>
      </c>
      <c r="H426" t="s">
        <v>23</v>
      </c>
      <c r="I426" t="s">
        <v>80</v>
      </c>
      <c r="J426" t="s">
        <v>31</v>
      </c>
      <c r="K426" t="s">
        <v>59</v>
      </c>
      <c r="L426" t="s">
        <v>91</v>
      </c>
      <c r="M426">
        <v>133</v>
      </c>
      <c r="N426">
        <v>140</v>
      </c>
      <c r="O426">
        <v>18620</v>
      </c>
      <c r="P426">
        <v>10906</v>
      </c>
      <c r="Q426">
        <v>7714</v>
      </c>
      <c r="R426">
        <v>0</v>
      </c>
      <c r="S426" t="s">
        <v>38</v>
      </c>
      <c r="T426">
        <v>385.48</v>
      </c>
    </row>
    <row r="427" spans="1:20" x14ac:dyDescent="0.25">
      <c r="A427">
        <v>100426</v>
      </c>
      <c r="B427" s="6">
        <v>45176</v>
      </c>
      <c r="C427">
        <v>2023</v>
      </c>
      <c r="D427" t="s">
        <v>39</v>
      </c>
      <c r="E427">
        <v>9</v>
      </c>
      <c r="F427" t="s">
        <v>40</v>
      </c>
      <c r="G427" t="s">
        <v>35</v>
      </c>
      <c r="H427" t="s">
        <v>23</v>
      </c>
      <c r="I427" t="s">
        <v>77</v>
      </c>
      <c r="J427" t="s">
        <v>25</v>
      </c>
      <c r="K427" t="s">
        <v>59</v>
      </c>
      <c r="L427" t="s">
        <v>86</v>
      </c>
      <c r="M427">
        <v>48</v>
      </c>
      <c r="N427">
        <v>160</v>
      </c>
      <c r="O427">
        <v>7296</v>
      </c>
      <c r="P427">
        <v>4560</v>
      </c>
      <c r="Q427">
        <v>2736</v>
      </c>
      <c r="R427">
        <v>0.05</v>
      </c>
      <c r="S427" t="s">
        <v>57</v>
      </c>
      <c r="T427">
        <v>413.81</v>
      </c>
    </row>
    <row r="428" spans="1:20" x14ac:dyDescent="0.25">
      <c r="A428">
        <v>100427</v>
      </c>
      <c r="B428" s="6">
        <v>44970</v>
      </c>
      <c r="C428">
        <v>2023</v>
      </c>
      <c r="D428" t="s">
        <v>63</v>
      </c>
      <c r="E428">
        <v>2</v>
      </c>
      <c r="F428" t="s">
        <v>81</v>
      </c>
      <c r="G428" t="s">
        <v>45</v>
      </c>
      <c r="H428" t="s">
        <v>23</v>
      </c>
      <c r="I428" t="s">
        <v>90</v>
      </c>
      <c r="J428" t="s">
        <v>42</v>
      </c>
      <c r="K428" t="s">
        <v>32</v>
      </c>
      <c r="L428" t="s">
        <v>37</v>
      </c>
      <c r="M428">
        <v>136</v>
      </c>
      <c r="N428">
        <v>120</v>
      </c>
      <c r="O428">
        <v>15014.4</v>
      </c>
      <c r="P428">
        <v>10608</v>
      </c>
      <c r="Q428">
        <v>4406.3999999999996</v>
      </c>
      <c r="R428">
        <v>0.08</v>
      </c>
      <c r="S428" t="s">
        <v>38</v>
      </c>
      <c r="T428">
        <v>844.54</v>
      </c>
    </row>
    <row r="429" spans="1:20" x14ac:dyDescent="0.25">
      <c r="A429">
        <v>100428</v>
      </c>
      <c r="B429" s="6">
        <v>45917</v>
      </c>
      <c r="C429">
        <v>2025</v>
      </c>
      <c r="D429" t="s">
        <v>39</v>
      </c>
      <c r="E429">
        <v>9</v>
      </c>
      <c r="F429" t="s">
        <v>40</v>
      </c>
      <c r="G429" t="s">
        <v>22</v>
      </c>
      <c r="H429" t="s">
        <v>23</v>
      </c>
      <c r="I429" t="s">
        <v>71</v>
      </c>
      <c r="J429" t="s">
        <v>61</v>
      </c>
      <c r="K429" t="s">
        <v>59</v>
      </c>
      <c r="L429" t="s">
        <v>91</v>
      </c>
      <c r="M429">
        <v>71</v>
      </c>
      <c r="N429">
        <v>140</v>
      </c>
      <c r="O429">
        <v>9940</v>
      </c>
      <c r="P429">
        <v>5822</v>
      </c>
      <c r="Q429">
        <v>4118</v>
      </c>
      <c r="R429">
        <v>0</v>
      </c>
      <c r="S429" t="s">
        <v>57</v>
      </c>
      <c r="T429">
        <v>408.19</v>
      </c>
    </row>
    <row r="430" spans="1:20" x14ac:dyDescent="0.25">
      <c r="A430">
        <v>100429</v>
      </c>
      <c r="B430" s="6">
        <v>45454</v>
      </c>
      <c r="C430">
        <v>2024</v>
      </c>
      <c r="D430" t="s">
        <v>20</v>
      </c>
      <c r="E430">
        <v>6</v>
      </c>
      <c r="F430" t="s">
        <v>48</v>
      </c>
      <c r="G430" t="s">
        <v>29</v>
      </c>
      <c r="H430" t="s">
        <v>23</v>
      </c>
      <c r="I430" t="s">
        <v>49</v>
      </c>
      <c r="J430" t="s">
        <v>50</v>
      </c>
      <c r="K430" t="s">
        <v>51</v>
      </c>
      <c r="L430" t="s">
        <v>72</v>
      </c>
      <c r="M430">
        <v>139</v>
      </c>
      <c r="N430">
        <v>90</v>
      </c>
      <c r="O430">
        <v>12134.7</v>
      </c>
      <c r="P430">
        <v>7228</v>
      </c>
      <c r="Q430">
        <v>4906.7</v>
      </c>
      <c r="R430">
        <v>0.03</v>
      </c>
      <c r="S430" t="s">
        <v>57</v>
      </c>
      <c r="T430">
        <v>787.92</v>
      </c>
    </row>
    <row r="431" spans="1:20" x14ac:dyDescent="0.25">
      <c r="A431">
        <v>100430</v>
      </c>
      <c r="B431" s="6">
        <v>45519</v>
      </c>
      <c r="C431">
        <v>2024</v>
      </c>
      <c r="D431" t="s">
        <v>39</v>
      </c>
      <c r="E431">
        <v>8</v>
      </c>
      <c r="F431" t="s">
        <v>58</v>
      </c>
      <c r="G431" t="s">
        <v>35</v>
      </c>
      <c r="H431" t="s">
        <v>23</v>
      </c>
      <c r="I431" t="s">
        <v>36</v>
      </c>
      <c r="J431" t="s">
        <v>42</v>
      </c>
      <c r="K431" t="s">
        <v>32</v>
      </c>
      <c r="L431" t="s">
        <v>74</v>
      </c>
      <c r="M431">
        <v>99</v>
      </c>
      <c r="N431">
        <v>25</v>
      </c>
      <c r="O431">
        <v>2400.75</v>
      </c>
      <c r="P431">
        <v>1386</v>
      </c>
      <c r="Q431">
        <v>1014.75</v>
      </c>
      <c r="R431">
        <v>0.03</v>
      </c>
      <c r="S431" t="s">
        <v>38</v>
      </c>
      <c r="T431">
        <v>162.57</v>
      </c>
    </row>
    <row r="432" spans="1:20" x14ac:dyDescent="0.25">
      <c r="A432">
        <v>100431</v>
      </c>
      <c r="B432" s="6">
        <v>45431</v>
      </c>
      <c r="C432">
        <v>2024</v>
      </c>
      <c r="D432" t="s">
        <v>20</v>
      </c>
      <c r="E432">
        <v>5</v>
      </c>
      <c r="F432" t="s">
        <v>21</v>
      </c>
      <c r="G432" t="s">
        <v>22</v>
      </c>
      <c r="H432" t="s">
        <v>23</v>
      </c>
      <c r="I432" t="s">
        <v>24</v>
      </c>
      <c r="J432" t="s">
        <v>50</v>
      </c>
      <c r="K432" t="s">
        <v>55</v>
      </c>
      <c r="L432" t="s">
        <v>84</v>
      </c>
      <c r="M432">
        <v>70</v>
      </c>
      <c r="N432">
        <v>55</v>
      </c>
      <c r="O432">
        <v>3773</v>
      </c>
      <c r="P432">
        <v>2590</v>
      </c>
      <c r="Q432">
        <v>1183</v>
      </c>
      <c r="R432">
        <v>0.02</v>
      </c>
      <c r="S432" t="s">
        <v>70</v>
      </c>
      <c r="T432">
        <v>112.52</v>
      </c>
    </row>
    <row r="433" spans="1:20" x14ac:dyDescent="0.25">
      <c r="A433">
        <v>100432</v>
      </c>
      <c r="B433" s="6">
        <v>45849</v>
      </c>
      <c r="C433">
        <v>2025</v>
      </c>
      <c r="D433" t="s">
        <v>39</v>
      </c>
      <c r="E433">
        <v>7</v>
      </c>
      <c r="F433" t="s">
        <v>75</v>
      </c>
      <c r="G433" t="s">
        <v>29</v>
      </c>
      <c r="H433" t="s">
        <v>23</v>
      </c>
      <c r="I433" t="s">
        <v>30</v>
      </c>
      <c r="J433" t="s">
        <v>31</v>
      </c>
      <c r="K433" t="s">
        <v>51</v>
      </c>
      <c r="L433" t="s">
        <v>52</v>
      </c>
      <c r="M433">
        <v>141</v>
      </c>
      <c r="N433">
        <v>75</v>
      </c>
      <c r="O433">
        <v>10257.75</v>
      </c>
      <c r="P433">
        <v>6204</v>
      </c>
      <c r="Q433">
        <v>4053.75</v>
      </c>
      <c r="R433">
        <v>0.03</v>
      </c>
      <c r="S433" t="s">
        <v>38</v>
      </c>
      <c r="T433">
        <v>708.62</v>
      </c>
    </row>
    <row r="434" spans="1:20" x14ac:dyDescent="0.25">
      <c r="A434">
        <v>100433</v>
      </c>
      <c r="B434" s="6">
        <v>45266</v>
      </c>
      <c r="C434">
        <v>2023</v>
      </c>
      <c r="D434" t="s">
        <v>43</v>
      </c>
      <c r="E434">
        <v>12</v>
      </c>
      <c r="F434" t="s">
        <v>83</v>
      </c>
      <c r="G434" t="s">
        <v>29</v>
      </c>
      <c r="H434" t="s">
        <v>23</v>
      </c>
      <c r="I434" t="s">
        <v>73</v>
      </c>
      <c r="J434" t="s">
        <v>31</v>
      </c>
      <c r="K434" t="s">
        <v>51</v>
      </c>
      <c r="L434" t="s">
        <v>92</v>
      </c>
      <c r="M434">
        <v>72</v>
      </c>
      <c r="N434">
        <v>50</v>
      </c>
      <c r="O434">
        <v>3528</v>
      </c>
      <c r="P434">
        <v>2088</v>
      </c>
      <c r="Q434">
        <v>1440</v>
      </c>
      <c r="R434">
        <v>0.02</v>
      </c>
      <c r="S434" t="s">
        <v>38</v>
      </c>
      <c r="T434">
        <v>133.49</v>
      </c>
    </row>
    <row r="435" spans="1:20" x14ac:dyDescent="0.25">
      <c r="A435">
        <v>100434</v>
      </c>
      <c r="B435" s="6">
        <v>45754</v>
      </c>
      <c r="C435">
        <v>2025</v>
      </c>
      <c r="D435" t="s">
        <v>20</v>
      </c>
      <c r="E435">
        <v>4</v>
      </c>
      <c r="F435" t="s">
        <v>34</v>
      </c>
      <c r="G435" t="s">
        <v>29</v>
      </c>
      <c r="H435" t="s">
        <v>23</v>
      </c>
      <c r="I435" t="s">
        <v>85</v>
      </c>
      <c r="J435" t="s">
        <v>54</v>
      </c>
      <c r="K435" t="s">
        <v>26</v>
      </c>
      <c r="L435" t="s">
        <v>78</v>
      </c>
      <c r="M435">
        <v>65</v>
      </c>
      <c r="N435">
        <v>95</v>
      </c>
      <c r="O435">
        <v>6051.5</v>
      </c>
      <c r="P435">
        <v>3770</v>
      </c>
      <c r="Q435">
        <v>2281.5</v>
      </c>
      <c r="R435">
        <v>0.02</v>
      </c>
      <c r="S435" t="s">
        <v>28</v>
      </c>
      <c r="T435">
        <v>261.92</v>
      </c>
    </row>
    <row r="436" spans="1:20" x14ac:dyDescent="0.25">
      <c r="A436">
        <v>100435</v>
      </c>
      <c r="B436" s="6">
        <v>45030</v>
      </c>
      <c r="C436">
        <v>2023</v>
      </c>
      <c r="D436" t="s">
        <v>20</v>
      </c>
      <c r="E436">
        <v>4</v>
      </c>
      <c r="F436" t="s">
        <v>34</v>
      </c>
      <c r="G436" t="s">
        <v>45</v>
      </c>
      <c r="H436" t="s">
        <v>23</v>
      </c>
      <c r="I436" t="s">
        <v>88</v>
      </c>
      <c r="J436" t="s">
        <v>66</v>
      </c>
      <c r="K436" t="s">
        <v>32</v>
      </c>
      <c r="L436" t="s">
        <v>47</v>
      </c>
      <c r="M436">
        <v>84</v>
      </c>
      <c r="N436">
        <v>180</v>
      </c>
      <c r="O436">
        <v>13910.4</v>
      </c>
      <c r="P436">
        <v>9660</v>
      </c>
      <c r="Q436">
        <v>4250.3999999999996</v>
      </c>
      <c r="R436">
        <v>0.08</v>
      </c>
      <c r="S436" t="s">
        <v>38</v>
      </c>
      <c r="T436">
        <v>749.44</v>
      </c>
    </row>
    <row r="437" spans="1:20" x14ac:dyDescent="0.25">
      <c r="A437">
        <v>100436</v>
      </c>
      <c r="B437" s="6">
        <v>45225</v>
      </c>
      <c r="C437">
        <v>2023</v>
      </c>
      <c r="D437" t="s">
        <v>43</v>
      </c>
      <c r="E437">
        <v>10</v>
      </c>
      <c r="F437" t="s">
        <v>44</v>
      </c>
      <c r="G437" t="s">
        <v>45</v>
      </c>
      <c r="H437" t="s">
        <v>23</v>
      </c>
      <c r="I437" t="s">
        <v>90</v>
      </c>
      <c r="J437" t="s">
        <v>31</v>
      </c>
      <c r="K437" t="s">
        <v>26</v>
      </c>
      <c r="L437" t="s">
        <v>27</v>
      </c>
      <c r="M437">
        <v>118</v>
      </c>
      <c r="N437">
        <v>110</v>
      </c>
      <c r="O437">
        <v>12590.6</v>
      </c>
      <c r="P437">
        <v>8024</v>
      </c>
      <c r="Q437">
        <v>4566.6000000000004</v>
      </c>
      <c r="R437">
        <v>0.03</v>
      </c>
      <c r="S437" t="s">
        <v>70</v>
      </c>
      <c r="T437">
        <v>584.38</v>
      </c>
    </row>
    <row r="438" spans="1:20" x14ac:dyDescent="0.25">
      <c r="A438">
        <v>100437</v>
      </c>
      <c r="B438" s="6">
        <v>45729</v>
      </c>
      <c r="C438">
        <v>2025</v>
      </c>
      <c r="D438" t="s">
        <v>63</v>
      </c>
      <c r="E438">
        <v>3</v>
      </c>
      <c r="F438" t="s">
        <v>64</v>
      </c>
      <c r="G438" t="s">
        <v>29</v>
      </c>
      <c r="H438" t="s">
        <v>23</v>
      </c>
      <c r="I438" t="s">
        <v>30</v>
      </c>
      <c r="J438" t="s">
        <v>54</v>
      </c>
      <c r="K438" t="s">
        <v>51</v>
      </c>
      <c r="L438" t="s">
        <v>52</v>
      </c>
      <c r="M438">
        <v>57</v>
      </c>
      <c r="N438">
        <v>75</v>
      </c>
      <c r="O438">
        <v>4189.5</v>
      </c>
      <c r="P438">
        <v>2508</v>
      </c>
      <c r="Q438">
        <v>1681.5</v>
      </c>
      <c r="R438">
        <v>0.02</v>
      </c>
      <c r="S438" t="s">
        <v>57</v>
      </c>
      <c r="T438">
        <v>66.47</v>
      </c>
    </row>
    <row r="439" spans="1:20" x14ac:dyDescent="0.25">
      <c r="A439">
        <v>100438</v>
      </c>
      <c r="B439" s="6">
        <v>45040</v>
      </c>
      <c r="C439">
        <v>2023</v>
      </c>
      <c r="D439" t="s">
        <v>20</v>
      </c>
      <c r="E439">
        <v>4</v>
      </c>
      <c r="F439" t="s">
        <v>34</v>
      </c>
      <c r="G439" t="s">
        <v>45</v>
      </c>
      <c r="H439" t="s">
        <v>23</v>
      </c>
      <c r="I439" t="s">
        <v>62</v>
      </c>
      <c r="J439" t="s">
        <v>61</v>
      </c>
      <c r="K439" t="s">
        <v>51</v>
      </c>
      <c r="L439" t="s">
        <v>52</v>
      </c>
      <c r="M439">
        <v>108</v>
      </c>
      <c r="N439">
        <v>75</v>
      </c>
      <c r="O439">
        <v>7290</v>
      </c>
      <c r="P439">
        <v>4752</v>
      </c>
      <c r="Q439">
        <v>2538</v>
      </c>
      <c r="R439">
        <v>0.1</v>
      </c>
      <c r="S439" t="s">
        <v>70</v>
      </c>
      <c r="T439">
        <v>275.67</v>
      </c>
    </row>
    <row r="440" spans="1:20" x14ac:dyDescent="0.25">
      <c r="A440">
        <v>100439</v>
      </c>
      <c r="B440" s="6">
        <v>45463</v>
      </c>
      <c r="C440">
        <v>2024</v>
      </c>
      <c r="D440" t="s">
        <v>20</v>
      </c>
      <c r="E440">
        <v>6</v>
      </c>
      <c r="F440" t="s">
        <v>48</v>
      </c>
      <c r="G440" t="s">
        <v>29</v>
      </c>
      <c r="H440" t="s">
        <v>23</v>
      </c>
      <c r="I440" t="s">
        <v>73</v>
      </c>
      <c r="J440" t="s">
        <v>31</v>
      </c>
      <c r="K440" t="s">
        <v>59</v>
      </c>
      <c r="L440" t="s">
        <v>67</v>
      </c>
      <c r="M440">
        <v>83</v>
      </c>
      <c r="N440">
        <v>95</v>
      </c>
      <c r="O440">
        <v>7885</v>
      </c>
      <c r="P440">
        <v>4648</v>
      </c>
      <c r="Q440">
        <v>3237</v>
      </c>
      <c r="R440">
        <v>0</v>
      </c>
      <c r="S440" t="s">
        <v>70</v>
      </c>
      <c r="T440">
        <v>369.3</v>
      </c>
    </row>
    <row r="441" spans="1:20" x14ac:dyDescent="0.25">
      <c r="A441">
        <v>100440</v>
      </c>
      <c r="B441" s="6">
        <v>45577</v>
      </c>
      <c r="C441">
        <v>2024</v>
      </c>
      <c r="D441" t="s">
        <v>43</v>
      </c>
      <c r="E441">
        <v>10</v>
      </c>
      <c r="F441" t="s">
        <v>44</v>
      </c>
      <c r="G441" t="s">
        <v>35</v>
      </c>
      <c r="H441" t="s">
        <v>23</v>
      </c>
      <c r="I441" t="s">
        <v>36</v>
      </c>
      <c r="J441" t="s">
        <v>68</v>
      </c>
      <c r="K441" t="s">
        <v>51</v>
      </c>
      <c r="L441" t="s">
        <v>92</v>
      </c>
      <c r="M441">
        <v>68</v>
      </c>
      <c r="N441">
        <v>50</v>
      </c>
      <c r="O441">
        <v>3298</v>
      </c>
      <c r="P441">
        <v>1972</v>
      </c>
      <c r="Q441">
        <v>1326</v>
      </c>
      <c r="R441">
        <v>0.03</v>
      </c>
      <c r="S441" t="s">
        <v>70</v>
      </c>
      <c r="T441">
        <v>129.84</v>
      </c>
    </row>
    <row r="442" spans="1:20" x14ac:dyDescent="0.25">
      <c r="A442">
        <v>100441</v>
      </c>
      <c r="B442" s="6">
        <v>45096</v>
      </c>
      <c r="C442">
        <v>2023</v>
      </c>
      <c r="D442" t="s">
        <v>20</v>
      </c>
      <c r="E442">
        <v>6</v>
      </c>
      <c r="F442" t="s">
        <v>48</v>
      </c>
      <c r="G442" t="s">
        <v>29</v>
      </c>
      <c r="H442" t="s">
        <v>23</v>
      </c>
      <c r="I442" t="s">
        <v>85</v>
      </c>
      <c r="J442" t="s">
        <v>54</v>
      </c>
      <c r="K442" t="s">
        <v>59</v>
      </c>
      <c r="L442" t="s">
        <v>67</v>
      </c>
      <c r="M442">
        <v>41</v>
      </c>
      <c r="N442">
        <v>95</v>
      </c>
      <c r="O442">
        <v>3778.15</v>
      </c>
      <c r="P442">
        <v>2296</v>
      </c>
      <c r="Q442">
        <v>1482.15</v>
      </c>
      <c r="R442">
        <v>0.03</v>
      </c>
      <c r="S442" t="s">
        <v>28</v>
      </c>
      <c r="T442">
        <v>196.89</v>
      </c>
    </row>
    <row r="443" spans="1:20" x14ac:dyDescent="0.25">
      <c r="A443">
        <v>100442</v>
      </c>
      <c r="B443" s="6">
        <v>45814</v>
      </c>
      <c r="C443">
        <v>2025</v>
      </c>
      <c r="D443" t="s">
        <v>20</v>
      </c>
      <c r="E443">
        <v>6</v>
      </c>
      <c r="F443" t="s">
        <v>48</v>
      </c>
      <c r="G443" t="s">
        <v>22</v>
      </c>
      <c r="H443" t="s">
        <v>23</v>
      </c>
      <c r="I443" t="s">
        <v>24</v>
      </c>
      <c r="J443" t="s">
        <v>42</v>
      </c>
      <c r="K443" t="s">
        <v>32</v>
      </c>
      <c r="L443" t="s">
        <v>37</v>
      </c>
      <c r="M443">
        <v>96</v>
      </c>
      <c r="N443">
        <v>120</v>
      </c>
      <c r="O443">
        <v>10944</v>
      </c>
      <c r="P443">
        <v>7488</v>
      </c>
      <c r="Q443">
        <v>3456</v>
      </c>
      <c r="R443">
        <v>0.05</v>
      </c>
      <c r="S443" t="s">
        <v>38</v>
      </c>
      <c r="T443">
        <v>583.78</v>
      </c>
    </row>
    <row r="444" spans="1:20" x14ac:dyDescent="0.25">
      <c r="A444">
        <v>100443</v>
      </c>
      <c r="B444" s="6">
        <v>45844</v>
      </c>
      <c r="C444">
        <v>2025</v>
      </c>
      <c r="D444" t="s">
        <v>39</v>
      </c>
      <c r="E444">
        <v>7</v>
      </c>
      <c r="F444" t="s">
        <v>75</v>
      </c>
      <c r="G444" t="s">
        <v>22</v>
      </c>
      <c r="H444" t="s">
        <v>23</v>
      </c>
      <c r="I444" t="s">
        <v>71</v>
      </c>
      <c r="J444" t="s">
        <v>54</v>
      </c>
      <c r="K444" t="s">
        <v>59</v>
      </c>
      <c r="L444" t="s">
        <v>91</v>
      </c>
      <c r="M444">
        <v>113</v>
      </c>
      <c r="N444">
        <v>140</v>
      </c>
      <c r="O444">
        <v>15029</v>
      </c>
      <c r="P444">
        <v>9266</v>
      </c>
      <c r="Q444">
        <v>5763</v>
      </c>
      <c r="R444">
        <v>0.05</v>
      </c>
      <c r="S444" t="s">
        <v>70</v>
      </c>
      <c r="T444">
        <v>601.67999999999995</v>
      </c>
    </row>
    <row r="445" spans="1:20" x14ac:dyDescent="0.25">
      <c r="A445">
        <v>100444</v>
      </c>
      <c r="B445" s="6">
        <v>45356</v>
      </c>
      <c r="C445">
        <v>2024</v>
      </c>
      <c r="D445" t="s">
        <v>63</v>
      </c>
      <c r="E445">
        <v>3</v>
      </c>
      <c r="F445" t="s">
        <v>64</v>
      </c>
      <c r="G445" t="s">
        <v>35</v>
      </c>
      <c r="H445" t="s">
        <v>23</v>
      </c>
      <c r="I445" t="s">
        <v>36</v>
      </c>
      <c r="J445" t="s">
        <v>31</v>
      </c>
      <c r="K445" t="s">
        <v>32</v>
      </c>
      <c r="L445" t="s">
        <v>47</v>
      </c>
      <c r="M445">
        <v>128</v>
      </c>
      <c r="N445">
        <v>180</v>
      </c>
      <c r="O445">
        <v>23040</v>
      </c>
      <c r="P445">
        <v>14720</v>
      </c>
      <c r="Q445">
        <v>8320</v>
      </c>
      <c r="R445">
        <v>0</v>
      </c>
      <c r="S445" t="s">
        <v>57</v>
      </c>
      <c r="T445">
        <v>920.38</v>
      </c>
    </row>
    <row r="446" spans="1:20" x14ac:dyDescent="0.25">
      <c r="A446">
        <v>100445</v>
      </c>
      <c r="B446" s="6">
        <v>45092</v>
      </c>
      <c r="C446">
        <v>2023</v>
      </c>
      <c r="D446" t="s">
        <v>20</v>
      </c>
      <c r="E446">
        <v>6</v>
      </c>
      <c r="F446" t="s">
        <v>48</v>
      </c>
      <c r="G446" t="s">
        <v>22</v>
      </c>
      <c r="H446" t="s">
        <v>23</v>
      </c>
      <c r="I446" t="s">
        <v>65</v>
      </c>
      <c r="J446" t="s">
        <v>66</v>
      </c>
      <c r="K446" t="s">
        <v>59</v>
      </c>
      <c r="L446" t="s">
        <v>86</v>
      </c>
      <c r="M446">
        <v>22</v>
      </c>
      <c r="N446">
        <v>160</v>
      </c>
      <c r="O446">
        <v>3520</v>
      </c>
      <c r="P446">
        <v>2090</v>
      </c>
      <c r="Q446">
        <v>1430</v>
      </c>
      <c r="R446">
        <v>0</v>
      </c>
      <c r="S446" t="s">
        <v>70</v>
      </c>
      <c r="T446">
        <v>163.66</v>
      </c>
    </row>
    <row r="447" spans="1:20" x14ac:dyDescent="0.25">
      <c r="A447">
        <v>100446</v>
      </c>
      <c r="B447" s="6">
        <v>45802</v>
      </c>
      <c r="C447">
        <v>2025</v>
      </c>
      <c r="D447" t="s">
        <v>20</v>
      </c>
      <c r="E447">
        <v>5</v>
      </c>
      <c r="F447" t="s">
        <v>21</v>
      </c>
      <c r="G447" t="s">
        <v>29</v>
      </c>
      <c r="H447" t="s">
        <v>23</v>
      </c>
      <c r="I447" t="s">
        <v>30</v>
      </c>
      <c r="J447" t="s">
        <v>31</v>
      </c>
      <c r="K447" t="s">
        <v>32</v>
      </c>
      <c r="L447" t="s">
        <v>47</v>
      </c>
      <c r="M447">
        <v>38</v>
      </c>
      <c r="N447">
        <v>180</v>
      </c>
      <c r="O447">
        <v>6634.8</v>
      </c>
      <c r="P447">
        <v>4370</v>
      </c>
      <c r="Q447">
        <v>2264.8000000000002</v>
      </c>
      <c r="R447">
        <v>0.03</v>
      </c>
      <c r="S447" t="s">
        <v>70</v>
      </c>
      <c r="T447">
        <v>130.38</v>
      </c>
    </row>
    <row r="448" spans="1:20" x14ac:dyDescent="0.25">
      <c r="A448">
        <v>100447</v>
      </c>
      <c r="B448" s="6">
        <v>45365</v>
      </c>
      <c r="C448">
        <v>2024</v>
      </c>
      <c r="D448" t="s">
        <v>63</v>
      </c>
      <c r="E448">
        <v>3</v>
      </c>
      <c r="F448" t="s">
        <v>64</v>
      </c>
      <c r="G448" t="s">
        <v>29</v>
      </c>
      <c r="H448" t="s">
        <v>23</v>
      </c>
      <c r="I448" t="s">
        <v>85</v>
      </c>
      <c r="J448" t="s">
        <v>25</v>
      </c>
      <c r="K448" t="s">
        <v>59</v>
      </c>
      <c r="L448" t="s">
        <v>67</v>
      </c>
      <c r="M448">
        <v>54</v>
      </c>
      <c r="N448">
        <v>95</v>
      </c>
      <c r="O448">
        <v>4617</v>
      </c>
      <c r="P448">
        <v>3024</v>
      </c>
      <c r="Q448">
        <v>1593</v>
      </c>
      <c r="R448">
        <v>0.1</v>
      </c>
      <c r="S448" t="s">
        <v>57</v>
      </c>
      <c r="T448">
        <v>242.81</v>
      </c>
    </row>
    <row r="449" spans="1:20" x14ac:dyDescent="0.25">
      <c r="A449">
        <v>100448</v>
      </c>
      <c r="B449" s="6">
        <v>45014</v>
      </c>
      <c r="C449">
        <v>2023</v>
      </c>
      <c r="D449" t="s">
        <v>63</v>
      </c>
      <c r="E449">
        <v>3</v>
      </c>
      <c r="F449" t="s">
        <v>64</v>
      </c>
      <c r="G449" t="s">
        <v>29</v>
      </c>
      <c r="H449" t="s">
        <v>23</v>
      </c>
      <c r="I449" t="s">
        <v>30</v>
      </c>
      <c r="J449" t="s">
        <v>54</v>
      </c>
      <c r="K449" t="s">
        <v>32</v>
      </c>
      <c r="L449" t="s">
        <v>74</v>
      </c>
      <c r="M449">
        <v>46</v>
      </c>
      <c r="N449">
        <v>25</v>
      </c>
      <c r="O449">
        <v>1058</v>
      </c>
      <c r="P449">
        <v>644</v>
      </c>
      <c r="Q449">
        <v>414</v>
      </c>
      <c r="R449">
        <v>0.08</v>
      </c>
      <c r="S449" t="s">
        <v>70</v>
      </c>
      <c r="T449">
        <v>52.1</v>
      </c>
    </row>
    <row r="450" spans="1:20" x14ac:dyDescent="0.25">
      <c r="A450">
        <v>100449</v>
      </c>
      <c r="B450" s="6">
        <v>45533</v>
      </c>
      <c r="C450">
        <v>2024</v>
      </c>
      <c r="D450" t="s">
        <v>39</v>
      </c>
      <c r="E450">
        <v>8</v>
      </c>
      <c r="F450" t="s">
        <v>58</v>
      </c>
      <c r="G450" t="s">
        <v>45</v>
      </c>
      <c r="H450" t="s">
        <v>23</v>
      </c>
      <c r="I450" t="s">
        <v>88</v>
      </c>
      <c r="J450" t="s">
        <v>31</v>
      </c>
      <c r="K450" t="s">
        <v>32</v>
      </c>
      <c r="L450" t="s">
        <v>47</v>
      </c>
      <c r="M450">
        <v>62</v>
      </c>
      <c r="N450">
        <v>180</v>
      </c>
      <c r="O450">
        <v>10044</v>
      </c>
      <c r="P450">
        <v>7130</v>
      </c>
      <c r="Q450">
        <v>2914</v>
      </c>
      <c r="R450">
        <v>0.1</v>
      </c>
      <c r="S450" t="s">
        <v>28</v>
      </c>
      <c r="T450">
        <v>601.97</v>
      </c>
    </row>
    <row r="451" spans="1:20" x14ac:dyDescent="0.25">
      <c r="A451">
        <v>100450</v>
      </c>
      <c r="B451" s="6">
        <v>45851</v>
      </c>
      <c r="C451">
        <v>2025</v>
      </c>
      <c r="D451" t="s">
        <v>39</v>
      </c>
      <c r="E451">
        <v>7</v>
      </c>
      <c r="F451" t="s">
        <v>75</v>
      </c>
      <c r="G451" t="s">
        <v>22</v>
      </c>
      <c r="H451" t="s">
        <v>23</v>
      </c>
      <c r="I451" t="s">
        <v>41</v>
      </c>
      <c r="J451" t="s">
        <v>50</v>
      </c>
      <c r="K451" t="s">
        <v>51</v>
      </c>
      <c r="L451" t="s">
        <v>76</v>
      </c>
      <c r="M451">
        <v>80</v>
      </c>
      <c r="N451">
        <v>40</v>
      </c>
      <c r="O451">
        <v>3136</v>
      </c>
      <c r="P451">
        <v>1840</v>
      </c>
      <c r="Q451">
        <v>1296</v>
      </c>
      <c r="R451">
        <v>0.02</v>
      </c>
      <c r="S451" t="s">
        <v>38</v>
      </c>
      <c r="T451">
        <v>86.6</v>
      </c>
    </row>
    <row r="452" spans="1:20" x14ac:dyDescent="0.25">
      <c r="A452">
        <v>100451</v>
      </c>
      <c r="B452" s="6">
        <v>45654</v>
      </c>
      <c r="C452">
        <v>2024</v>
      </c>
      <c r="D452" t="s">
        <v>43</v>
      </c>
      <c r="E452">
        <v>12</v>
      </c>
      <c r="F452" t="s">
        <v>83</v>
      </c>
      <c r="G452" t="s">
        <v>35</v>
      </c>
      <c r="H452" t="s">
        <v>23</v>
      </c>
      <c r="I452" t="s">
        <v>80</v>
      </c>
      <c r="J452" t="s">
        <v>31</v>
      </c>
      <c r="K452" t="s">
        <v>32</v>
      </c>
      <c r="L452" t="s">
        <v>37</v>
      </c>
      <c r="M452">
        <v>93</v>
      </c>
      <c r="N452">
        <v>120</v>
      </c>
      <c r="O452">
        <v>10044</v>
      </c>
      <c r="P452">
        <v>7254</v>
      </c>
      <c r="Q452">
        <v>2790</v>
      </c>
      <c r="R452">
        <v>0.1</v>
      </c>
      <c r="S452" t="s">
        <v>38</v>
      </c>
      <c r="T452">
        <v>570.11</v>
      </c>
    </row>
    <row r="453" spans="1:20" x14ac:dyDescent="0.25">
      <c r="A453">
        <v>100452</v>
      </c>
      <c r="B453" s="6">
        <v>45162</v>
      </c>
      <c r="C453">
        <v>2023</v>
      </c>
      <c r="D453" t="s">
        <v>39</v>
      </c>
      <c r="E453">
        <v>8</v>
      </c>
      <c r="F453" t="s">
        <v>58</v>
      </c>
      <c r="G453" t="s">
        <v>29</v>
      </c>
      <c r="H453" t="s">
        <v>23</v>
      </c>
      <c r="I453" t="s">
        <v>30</v>
      </c>
      <c r="J453" t="s">
        <v>68</v>
      </c>
      <c r="K453" t="s">
        <v>26</v>
      </c>
      <c r="L453" t="s">
        <v>78</v>
      </c>
      <c r="M453">
        <v>145</v>
      </c>
      <c r="N453">
        <v>95</v>
      </c>
      <c r="O453">
        <v>13499.5</v>
      </c>
      <c r="P453">
        <v>8410</v>
      </c>
      <c r="Q453">
        <v>5089.5</v>
      </c>
      <c r="R453">
        <v>0.02</v>
      </c>
      <c r="S453" t="s">
        <v>38</v>
      </c>
      <c r="T453">
        <v>217.73</v>
      </c>
    </row>
    <row r="454" spans="1:20" x14ac:dyDescent="0.25">
      <c r="A454">
        <v>100453</v>
      </c>
      <c r="B454" s="6">
        <v>45999</v>
      </c>
      <c r="C454">
        <v>2025</v>
      </c>
      <c r="D454" t="s">
        <v>43</v>
      </c>
      <c r="E454">
        <v>12</v>
      </c>
      <c r="F454" t="s">
        <v>83</v>
      </c>
      <c r="G454" t="s">
        <v>29</v>
      </c>
      <c r="H454" t="s">
        <v>23</v>
      </c>
      <c r="I454" t="s">
        <v>73</v>
      </c>
      <c r="J454" t="s">
        <v>68</v>
      </c>
      <c r="K454" t="s">
        <v>51</v>
      </c>
      <c r="L454" t="s">
        <v>72</v>
      </c>
      <c r="M454">
        <v>110</v>
      </c>
      <c r="N454">
        <v>90</v>
      </c>
      <c r="O454">
        <v>9900</v>
      </c>
      <c r="P454">
        <v>5720</v>
      </c>
      <c r="Q454">
        <v>4180</v>
      </c>
      <c r="R454">
        <v>0</v>
      </c>
      <c r="S454" t="s">
        <v>38</v>
      </c>
      <c r="T454">
        <v>637.59</v>
      </c>
    </row>
    <row r="455" spans="1:20" x14ac:dyDescent="0.25">
      <c r="A455">
        <v>100454</v>
      </c>
      <c r="B455" s="6">
        <v>45309</v>
      </c>
      <c r="C455">
        <v>2024</v>
      </c>
      <c r="D455" t="s">
        <v>63</v>
      </c>
      <c r="E455">
        <v>1</v>
      </c>
      <c r="F455" t="s">
        <v>79</v>
      </c>
      <c r="G455" t="s">
        <v>29</v>
      </c>
      <c r="H455" t="s">
        <v>23</v>
      </c>
      <c r="I455" t="s">
        <v>30</v>
      </c>
      <c r="J455" t="s">
        <v>66</v>
      </c>
      <c r="K455" t="s">
        <v>51</v>
      </c>
      <c r="L455" t="s">
        <v>76</v>
      </c>
      <c r="M455">
        <v>139</v>
      </c>
      <c r="N455">
        <v>40</v>
      </c>
      <c r="O455">
        <v>5115.2</v>
      </c>
      <c r="P455">
        <v>3197</v>
      </c>
      <c r="Q455">
        <v>1918.2</v>
      </c>
      <c r="R455">
        <v>0.08</v>
      </c>
      <c r="S455" t="s">
        <v>57</v>
      </c>
      <c r="T455">
        <v>275.54000000000002</v>
      </c>
    </row>
    <row r="456" spans="1:20" x14ac:dyDescent="0.25">
      <c r="A456">
        <v>100455</v>
      </c>
      <c r="B456" s="6">
        <v>45379</v>
      </c>
      <c r="C456">
        <v>2024</v>
      </c>
      <c r="D456" t="s">
        <v>63</v>
      </c>
      <c r="E456">
        <v>3</v>
      </c>
      <c r="F456" t="s">
        <v>64</v>
      </c>
      <c r="G456" t="s">
        <v>29</v>
      </c>
      <c r="H456" t="s">
        <v>23</v>
      </c>
      <c r="I456" t="s">
        <v>85</v>
      </c>
      <c r="J456" t="s">
        <v>54</v>
      </c>
      <c r="K456" t="s">
        <v>26</v>
      </c>
      <c r="L456" t="s">
        <v>82</v>
      </c>
      <c r="M456">
        <v>108</v>
      </c>
      <c r="N456">
        <v>105</v>
      </c>
      <c r="O456">
        <v>11340</v>
      </c>
      <c r="P456">
        <v>6588</v>
      </c>
      <c r="Q456">
        <v>4752</v>
      </c>
      <c r="R456">
        <v>0</v>
      </c>
      <c r="S456" t="s">
        <v>38</v>
      </c>
      <c r="T456">
        <v>278.77999999999997</v>
      </c>
    </row>
    <row r="457" spans="1:20" x14ac:dyDescent="0.25">
      <c r="A457">
        <v>100456</v>
      </c>
      <c r="B457" s="6">
        <v>45661</v>
      </c>
      <c r="C457">
        <v>2025</v>
      </c>
      <c r="D457" t="s">
        <v>63</v>
      </c>
      <c r="E457">
        <v>1</v>
      </c>
      <c r="F457" t="s">
        <v>79</v>
      </c>
      <c r="G457" t="s">
        <v>22</v>
      </c>
      <c r="H457" t="s">
        <v>23</v>
      </c>
      <c r="I457" t="s">
        <v>41</v>
      </c>
      <c r="J457" t="s">
        <v>68</v>
      </c>
      <c r="K457" t="s">
        <v>26</v>
      </c>
      <c r="L457" t="s">
        <v>78</v>
      </c>
      <c r="M457">
        <v>18</v>
      </c>
      <c r="N457">
        <v>95</v>
      </c>
      <c r="O457">
        <v>1675.8</v>
      </c>
      <c r="P457">
        <v>1044</v>
      </c>
      <c r="Q457">
        <v>631.79999999999995</v>
      </c>
      <c r="R457">
        <v>0.02</v>
      </c>
      <c r="S457" t="s">
        <v>57</v>
      </c>
      <c r="T457">
        <v>57.13</v>
      </c>
    </row>
    <row r="458" spans="1:20" x14ac:dyDescent="0.25">
      <c r="A458">
        <v>100457</v>
      </c>
      <c r="B458" s="6">
        <v>45862</v>
      </c>
      <c r="C458">
        <v>2025</v>
      </c>
      <c r="D458" t="s">
        <v>39</v>
      </c>
      <c r="E458">
        <v>7</v>
      </c>
      <c r="F458" t="s">
        <v>75</v>
      </c>
      <c r="G458" t="s">
        <v>45</v>
      </c>
      <c r="H458" t="s">
        <v>23</v>
      </c>
      <c r="I458" t="s">
        <v>90</v>
      </c>
      <c r="J458" t="s">
        <v>31</v>
      </c>
      <c r="K458" t="s">
        <v>32</v>
      </c>
      <c r="L458" t="s">
        <v>74</v>
      </c>
      <c r="M458">
        <v>72</v>
      </c>
      <c r="N458">
        <v>25</v>
      </c>
      <c r="O458">
        <v>1800</v>
      </c>
      <c r="P458">
        <v>1008</v>
      </c>
      <c r="Q458">
        <v>792</v>
      </c>
      <c r="R458">
        <v>0</v>
      </c>
      <c r="S458" t="s">
        <v>28</v>
      </c>
      <c r="T458">
        <v>82.69</v>
      </c>
    </row>
    <row r="459" spans="1:20" x14ac:dyDescent="0.25">
      <c r="A459">
        <v>100458</v>
      </c>
      <c r="B459" s="6">
        <v>45586</v>
      </c>
      <c r="C459">
        <v>2024</v>
      </c>
      <c r="D459" t="s">
        <v>43</v>
      </c>
      <c r="E459">
        <v>10</v>
      </c>
      <c r="F459" t="s">
        <v>44</v>
      </c>
      <c r="G459" t="s">
        <v>35</v>
      </c>
      <c r="H459" t="s">
        <v>23</v>
      </c>
      <c r="I459" t="s">
        <v>53</v>
      </c>
      <c r="J459" t="s">
        <v>54</v>
      </c>
      <c r="K459" t="s">
        <v>59</v>
      </c>
      <c r="L459" t="s">
        <v>60</v>
      </c>
      <c r="M459">
        <v>85</v>
      </c>
      <c r="N459">
        <v>45</v>
      </c>
      <c r="O459">
        <v>3710.25</v>
      </c>
      <c r="P459">
        <v>2295</v>
      </c>
      <c r="Q459">
        <v>1415.25</v>
      </c>
      <c r="R459">
        <v>0.03</v>
      </c>
      <c r="S459" t="s">
        <v>38</v>
      </c>
      <c r="T459">
        <v>226.71</v>
      </c>
    </row>
    <row r="460" spans="1:20" x14ac:dyDescent="0.25">
      <c r="A460">
        <v>100459</v>
      </c>
      <c r="B460" s="6">
        <v>44974</v>
      </c>
      <c r="C460">
        <v>2023</v>
      </c>
      <c r="D460" t="s">
        <v>63</v>
      </c>
      <c r="E460">
        <v>2</v>
      </c>
      <c r="F460" t="s">
        <v>81</v>
      </c>
      <c r="G460" t="s">
        <v>35</v>
      </c>
      <c r="H460" t="s">
        <v>23</v>
      </c>
      <c r="I460" t="s">
        <v>80</v>
      </c>
      <c r="J460" t="s">
        <v>61</v>
      </c>
      <c r="K460" t="s">
        <v>51</v>
      </c>
      <c r="L460" t="s">
        <v>72</v>
      </c>
      <c r="M460">
        <v>98</v>
      </c>
      <c r="N460">
        <v>90</v>
      </c>
      <c r="O460">
        <v>8555.4</v>
      </c>
      <c r="P460">
        <v>5096</v>
      </c>
      <c r="Q460">
        <v>3459.4</v>
      </c>
      <c r="R460">
        <v>0.03</v>
      </c>
      <c r="S460" t="s">
        <v>28</v>
      </c>
      <c r="T460">
        <v>553.38</v>
      </c>
    </row>
    <row r="461" spans="1:20" x14ac:dyDescent="0.25">
      <c r="A461">
        <v>100460</v>
      </c>
      <c r="B461" s="6">
        <v>45905</v>
      </c>
      <c r="C461">
        <v>2025</v>
      </c>
      <c r="D461" t="s">
        <v>39</v>
      </c>
      <c r="E461">
        <v>9</v>
      </c>
      <c r="F461" t="s">
        <v>40</v>
      </c>
      <c r="G461" t="s">
        <v>45</v>
      </c>
      <c r="H461" t="s">
        <v>23</v>
      </c>
      <c r="I461" t="s">
        <v>46</v>
      </c>
      <c r="J461" t="s">
        <v>31</v>
      </c>
      <c r="K461" t="s">
        <v>59</v>
      </c>
      <c r="L461" t="s">
        <v>86</v>
      </c>
      <c r="M461">
        <v>104</v>
      </c>
      <c r="N461">
        <v>160</v>
      </c>
      <c r="O461">
        <v>16140.8</v>
      </c>
      <c r="P461">
        <v>9880</v>
      </c>
      <c r="Q461">
        <v>6260.8</v>
      </c>
      <c r="R461">
        <v>0.03</v>
      </c>
      <c r="S461" t="s">
        <v>38</v>
      </c>
      <c r="T461">
        <v>1103.43</v>
      </c>
    </row>
    <row r="462" spans="1:20" x14ac:dyDescent="0.25">
      <c r="A462">
        <v>100461</v>
      </c>
      <c r="B462" s="6">
        <v>45412</v>
      </c>
      <c r="C462">
        <v>2024</v>
      </c>
      <c r="D462" t="s">
        <v>20</v>
      </c>
      <c r="E462">
        <v>4</v>
      </c>
      <c r="F462" t="s">
        <v>34</v>
      </c>
      <c r="G462" t="s">
        <v>22</v>
      </c>
      <c r="H462" t="s">
        <v>23</v>
      </c>
      <c r="I462" t="s">
        <v>41</v>
      </c>
      <c r="J462" t="s">
        <v>66</v>
      </c>
      <c r="K462" t="s">
        <v>55</v>
      </c>
      <c r="L462" t="s">
        <v>93</v>
      </c>
      <c r="M462">
        <v>140</v>
      </c>
      <c r="N462">
        <v>60</v>
      </c>
      <c r="O462">
        <v>8232</v>
      </c>
      <c r="P462">
        <v>5880</v>
      </c>
      <c r="Q462">
        <v>2352</v>
      </c>
      <c r="R462">
        <v>0.02</v>
      </c>
      <c r="S462" t="s">
        <v>70</v>
      </c>
      <c r="T462">
        <v>497.33</v>
      </c>
    </row>
    <row r="463" spans="1:20" x14ac:dyDescent="0.25">
      <c r="A463">
        <v>100462</v>
      </c>
      <c r="B463" s="6">
        <v>45348</v>
      </c>
      <c r="C463">
        <v>2024</v>
      </c>
      <c r="D463" t="s">
        <v>63</v>
      </c>
      <c r="E463">
        <v>2</v>
      </c>
      <c r="F463" t="s">
        <v>81</v>
      </c>
      <c r="G463" t="s">
        <v>29</v>
      </c>
      <c r="H463" t="s">
        <v>23</v>
      </c>
      <c r="I463" t="s">
        <v>30</v>
      </c>
      <c r="J463" t="s">
        <v>25</v>
      </c>
      <c r="K463" t="s">
        <v>59</v>
      </c>
      <c r="L463" t="s">
        <v>60</v>
      </c>
      <c r="M463">
        <v>15</v>
      </c>
      <c r="N463">
        <v>45</v>
      </c>
      <c r="O463">
        <v>654.75</v>
      </c>
      <c r="P463">
        <v>405</v>
      </c>
      <c r="Q463">
        <v>249.75</v>
      </c>
      <c r="R463">
        <v>0.03</v>
      </c>
      <c r="S463" t="s">
        <v>28</v>
      </c>
      <c r="T463">
        <v>38.549999999999997</v>
      </c>
    </row>
    <row r="464" spans="1:20" x14ac:dyDescent="0.25">
      <c r="A464">
        <v>100463</v>
      </c>
      <c r="B464" s="6">
        <v>45753</v>
      </c>
      <c r="C464">
        <v>2025</v>
      </c>
      <c r="D464" t="s">
        <v>20</v>
      </c>
      <c r="E464">
        <v>4</v>
      </c>
      <c r="F464" t="s">
        <v>34</v>
      </c>
      <c r="G464" t="s">
        <v>22</v>
      </c>
      <c r="H464" t="s">
        <v>23</v>
      </c>
      <c r="I464" t="s">
        <v>71</v>
      </c>
      <c r="J464" t="s">
        <v>66</v>
      </c>
      <c r="K464" t="s">
        <v>26</v>
      </c>
      <c r="L464" t="s">
        <v>78</v>
      </c>
      <c r="M464">
        <v>61</v>
      </c>
      <c r="N464">
        <v>95</v>
      </c>
      <c r="O464">
        <v>5505.25</v>
      </c>
      <c r="P464">
        <v>3538</v>
      </c>
      <c r="Q464">
        <v>1967.25</v>
      </c>
      <c r="R464">
        <v>0.05</v>
      </c>
      <c r="S464" t="s">
        <v>70</v>
      </c>
      <c r="T464">
        <v>149.34</v>
      </c>
    </row>
    <row r="465" spans="1:20" x14ac:dyDescent="0.25">
      <c r="A465">
        <v>100464</v>
      </c>
      <c r="B465" s="6">
        <v>45309</v>
      </c>
      <c r="C465">
        <v>2024</v>
      </c>
      <c r="D465" t="s">
        <v>63</v>
      </c>
      <c r="E465">
        <v>1</v>
      </c>
      <c r="F465" t="s">
        <v>79</v>
      </c>
      <c r="G465" t="s">
        <v>35</v>
      </c>
      <c r="H465" t="s">
        <v>23</v>
      </c>
      <c r="I465" t="s">
        <v>80</v>
      </c>
      <c r="J465" t="s">
        <v>42</v>
      </c>
      <c r="K465" t="s">
        <v>32</v>
      </c>
      <c r="L465" t="s">
        <v>74</v>
      </c>
      <c r="M465">
        <v>123</v>
      </c>
      <c r="N465">
        <v>25</v>
      </c>
      <c r="O465">
        <v>3075</v>
      </c>
      <c r="P465">
        <v>1722</v>
      </c>
      <c r="Q465">
        <v>1353</v>
      </c>
      <c r="R465">
        <v>0</v>
      </c>
      <c r="S465" t="s">
        <v>38</v>
      </c>
      <c r="T465">
        <v>109.81</v>
      </c>
    </row>
    <row r="466" spans="1:20" x14ac:dyDescent="0.25">
      <c r="A466">
        <v>100465</v>
      </c>
      <c r="B466" s="6">
        <v>45407</v>
      </c>
      <c r="C466">
        <v>2024</v>
      </c>
      <c r="D466" t="s">
        <v>20</v>
      </c>
      <c r="E466">
        <v>4</v>
      </c>
      <c r="F466" t="s">
        <v>34</v>
      </c>
      <c r="G466" t="s">
        <v>45</v>
      </c>
      <c r="H466" t="s">
        <v>23</v>
      </c>
      <c r="I466" t="s">
        <v>90</v>
      </c>
      <c r="J466" t="s">
        <v>54</v>
      </c>
      <c r="K466" t="s">
        <v>32</v>
      </c>
      <c r="L466" t="s">
        <v>47</v>
      </c>
      <c r="M466">
        <v>67</v>
      </c>
      <c r="N466">
        <v>180</v>
      </c>
      <c r="O466">
        <v>11818.8</v>
      </c>
      <c r="P466">
        <v>7705</v>
      </c>
      <c r="Q466">
        <v>4113.8</v>
      </c>
      <c r="R466">
        <v>0.02</v>
      </c>
      <c r="S466" t="s">
        <v>38</v>
      </c>
      <c r="T466">
        <v>793.84</v>
      </c>
    </row>
    <row r="467" spans="1:20" x14ac:dyDescent="0.25">
      <c r="A467">
        <v>100466</v>
      </c>
      <c r="B467" s="6">
        <v>45241</v>
      </c>
      <c r="C467">
        <v>2023</v>
      </c>
      <c r="D467" t="s">
        <v>43</v>
      </c>
      <c r="E467">
        <v>11</v>
      </c>
      <c r="F467" t="s">
        <v>87</v>
      </c>
      <c r="G467" t="s">
        <v>35</v>
      </c>
      <c r="H467" t="s">
        <v>23</v>
      </c>
      <c r="I467" t="s">
        <v>53</v>
      </c>
      <c r="J467" t="s">
        <v>54</v>
      </c>
      <c r="K467" t="s">
        <v>55</v>
      </c>
      <c r="L467" t="s">
        <v>89</v>
      </c>
      <c r="M467">
        <v>25</v>
      </c>
      <c r="N467">
        <v>280</v>
      </c>
      <c r="O467">
        <v>6650</v>
      </c>
      <c r="P467">
        <v>5125</v>
      </c>
      <c r="Q467">
        <v>1525</v>
      </c>
      <c r="R467">
        <v>0.05</v>
      </c>
      <c r="S467" t="s">
        <v>70</v>
      </c>
      <c r="T467">
        <v>377.88</v>
      </c>
    </row>
    <row r="468" spans="1:20" x14ac:dyDescent="0.25">
      <c r="A468">
        <v>100467</v>
      </c>
      <c r="B468" s="6">
        <v>45797</v>
      </c>
      <c r="C468">
        <v>2025</v>
      </c>
      <c r="D468" t="s">
        <v>20</v>
      </c>
      <c r="E468">
        <v>5</v>
      </c>
      <c r="F468" t="s">
        <v>21</v>
      </c>
      <c r="G468" t="s">
        <v>45</v>
      </c>
      <c r="H468" t="s">
        <v>23</v>
      </c>
      <c r="I468" t="s">
        <v>62</v>
      </c>
      <c r="J468" t="s">
        <v>66</v>
      </c>
      <c r="K468" t="s">
        <v>51</v>
      </c>
      <c r="L468" t="s">
        <v>76</v>
      </c>
      <c r="M468">
        <v>103</v>
      </c>
      <c r="N468">
        <v>40</v>
      </c>
      <c r="O468">
        <v>3996.4</v>
      </c>
      <c r="P468">
        <v>2369</v>
      </c>
      <c r="Q468">
        <v>1627.4</v>
      </c>
      <c r="R468">
        <v>0.03</v>
      </c>
      <c r="S468" t="s">
        <v>38</v>
      </c>
      <c r="T468">
        <v>208.18</v>
      </c>
    </row>
    <row r="469" spans="1:20" x14ac:dyDescent="0.25">
      <c r="A469">
        <v>100468</v>
      </c>
      <c r="B469" s="6">
        <v>45775</v>
      </c>
      <c r="C469">
        <v>2025</v>
      </c>
      <c r="D469" t="s">
        <v>20</v>
      </c>
      <c r="E469">
        <v>4</v>
      </c>
      <c r="F469" t="s">
        <v>34</v>
      </c>
      <c r="G469" t="s">
        <v>29</v>
      </c>
      <c r="H469" t="s">
        <v>23</v>
      </c>
      <c r="I469" t="s">
        <v>30</v>
      </c>
      <c r="J469" t="s">
        <v>50</v>
      </c>
      <c r="K469" t="s">
        <v>59</v>
      </c>
      <c r="L469" t="s">
        <v>60</v>
      </c>
      <c r="M469">
        <v>117</v>
      </c>
      <c r="N469">
        <v>45</v>
      </c>
      <c r="O469">
        <v>5107.05</v>
      </c>
      <c r="P469">
        <v>3159</v>
      </c>
      <c r="Q469">
        <v>1948.05</v>
      </c>
      <c r="R469">
        <v>0.03</v>
      </c>
      <c r="S469" t="s">
        <v>38</v>
      </c>
      <c r="T469">
        <v>90.72</v>
      </c>
    </row>
    <row r="470" spans="1:20" x14ac:dyDescent="0.25">
      <c r="A470">
        <v>100469</v>
      </c>
      <c r="B470" s="6">
        <v>45234</v>
      </c>
      <c r="C470">
        <v>2023</v>
      </c>
      <c r="D470" t="s">
        <v>43</v>
      </c>
      <c r="E470">
        <v>11</v>
      </c>
      <c r="F470" t="s">
        <v>87</v>
      </c>
      <c r="G470" t="s">
        <v>45</v>
      </c>
      <c r="H470" t="s">
        <v>23</v>
      </c>
      <c r="I470" t="s">
        <v>88</v>
      </c>
      <c r="J470" t="s">
        <v>54</v>
      </c>
      <c r="K470" t="s">
        <v>55</v>
      </c>
      <c r="L470" t="s">
        <v>56</v>
      </c>
      <c r="M470">
        <v>84</v>
      </c>
      <c r="N470">
        <v>320</v>
      </c>
      <c r="O470">
        <v>26073.599999999999</v>
      </c>
      <c r="P470">
        <v>19740</v>
      </c>
      <c r="Q470">
        <v>6333.6</v>
      </c>
      <c r="R470">
        <v>0.03</v>
      </c>
      <c r="S470" t="s">
        <v>70</v>
      </c>
      <c r="T470">
        <v>731.66</v>
      </c>
    </row>
    <row r="471" spans="1:20" x14ac:dyDescent="0.25">
      <c r="A471">
        <v>100470</v>
      </c>
      <c r="B471" s="6">
        <v>45900</v>
      </c>
      <c r="C471">
        <v>2025</v>
      </c>
      <c r="D471" t="s">
        <v>39</v>
      </c>
      <c r="E471">
        <v>8</v>
      </c>
      <c r="F471" t="s">
        <v>58</v>
      </c>
      <c r="G471" t="s">
        <v>45</v>
      </c>
      <c r="H471" t="s">
        <v>23</v>
      </c>
      <c r="I471" t="s">
        <v>46</v>
      </c>
      <c r="J471" t="s">
        <v>66</v>
      </c>
      <c r="K471" t="s">
        <v>32</v>
      </c>
      <c r="L471" t="s">
        <v>74</v>
      </c>
      <c r="M471">
        <v>21</v>
      </c>
      <c r="N471">
        <v>25</v>
      </c>
      <c r="O471">
        <v>509.25</v>
      </c>
      <c r="P471">
        <v>294</v>
      </c>
      <c r="Q471">
        <v>215.25</v>
      </c>
      <c r="R471">
        <v>0.03</v>
      </c>
      <c r="S471" t="s">
        <v>38</v>
      </c>
      <c r="T471">
        <v>30.09</v>
      </c>
    </row>
    <row r="472" spans="1:20" x14ac:dyDescent="0.25">
      <c r="A472">
        <v>100471</v>
      </c>
      <c r="B472" s="6">
        <v>45541</v>
      </c>
      <c r="C472">
        <v>2024</v>
      </c>
      <c r="D472" t="s">
        <v>39</v>
      </c>
      <c r="E472">
        <v>9</v>
      </c>
      <c r="F472" t="s">
        <v>40</v>
      </c>
      <c r="G472" t="s">
        <v>22</v>
      </c>
      <c r="H472" t="s">
        <v>23</v>
      </c>
      <c r="I472" t="s">
        <v>24</v>
      </c>
      <c r="J472" t="s">
        <v>66</v>
      </c>
      <c r="K472" t="s">
        <v>26</v>
      </c>
      <c r="L472" t="s">
        <v>82</v>
      </c>
      <c r="M472">
        <v>94</v>
      </c>
      <c r="N472">
        <v>105</v>
      </c>
      <c r="O472">
        <v>9080.4</v>
      </c>
      <c r="P472">
        <v>5734</v>
      </c>
      <c r="Q472">
        <v>3346.4</v>
      </c>
      <c r="R472">
        <v>0.08</v>
      </c>
      <c r="S472" t="s">
        <v>38</v>
      </c>
      <c r="T472">
        <v>599.35</v>
      </c>
    </row>
    <row r="473" spans="1:20" x14ac:dyDescent="0.25">
      <c r="A473">
        <v>100472</v>
      </c>
      <c r="B473" s="6">
        <v>45419</v>
      </c>
      <c r="C473">
        <v>2024</v>
      </c>
      <c r="D473" t="s">
        <v>20</v>
      </c>
      <c r="E473">
        <v>5</v>
      </c>
      <c r="F473" t="s">
        <v>21</v>
      </c>
      <c r="G473" t="s">
        <v>29</v>
      </c>
      <c r="H473" t="s">
        <v>23</v>
      </c>
      <c r="I473" t="s">
        <v>30</v>
      </c>
      <c r="J473" t="s">
        <v>25</v>
      </c>
      <c r="K473" t="s">
        <v>59</v>
      </c>
      <c r="L473" t="s">
        <v>60</v>
      </c>
      <c r="M473">
        <v>124</v>
      </c>
      <c r="N473">
        <v>45</v>
      </c>
      <c r="O473">
        <v>5468.4</v>
      </c>
      <c r="P473">
        <v>3348</v>
      </c>
      <c r="Q473">
        <v>2120.4</v>
      </c>
      <c r="R473">
        <v>0.02</v>
      </c>
      <c r="S473" t="s">
        <v>38</v>
      </c>
      <c r="T473">
        <v>91.08</v>
      </c>
    </row>
    <row r="474" spans="1:20" x14ac:dyDescent="0.25">
      <c r="A474">
        <v>100473</v>
      </c>
      <c r="B474" s="6">
        <v>45030</v>
      </c>
      <c r="C474">
        <v>2023</v>
      </c>
      <c r="D474" t="s">
        <v>20</v>
      </c>
      <c r="E474">
        <v>4</v>
      </c>
      <c r="F474" t="s">
        <v>34</v>
      </c>
      <c r="G474" t="s">
        <v>22</v>
      </c>
      <c r="H474" t="s">
        <v>23</v>
      </c>
      <c r="I474" t="s">
        <v>24</v>
      </c>
      <c r="J474" t="s">
        <v>68</v>
      </c>
      <c r="K474" t="s">
        <v>51</v>
      </c>
      <c r="L474" t="s">
        <v>92</v>
      </c>
      <c r="M474">
        <v>15</v>
      </c>
      <c r="N474">
        <v>50</v>
      </c>
      <c r="O474">
        <v>712.5</v>
      </c>
      <c r="P474">
        <v>435</v>
      </c>
      <c r="Q474">
        <v>277.5</v>
      </c>
      <c r="R474">
        <v>0.05</v>
      </c>
      <c r="S474" t="s">
        <v>70</v>
      </c>
      <c r="T474">
        <v>23.13</v>
      </c>
    </row>
    <row r="475" spans="1:20" x14ac:dyDescent="0.25">
      <c r="A475">
        <v>100474</v>
      </c>
      <c r="B475" s="6">
        <v>45219</v>
      </c>
      <c r="C475">
        <v>2023</v>
      </c>
      <c r="D475" t="s">
        <v>43</v>
      </c>
      <c r="E475">
        <v>10</v>
      </c>
      <c r="F475" t="s">
        <v>44</v>
      </c>
      <c r="G475" t="s">
        <v>22</v>
      </c>
      <c r="H475" t="s">
        <v>23</v>
      </c>
      <c r="I475" t="s">
        <v>65</v>
      </c>
      <c r="J475" t="s">
        <v>68</v>
      </c>
      <c r="K475" t="s">
        <v>26</v>
      </c>
      <c r="L475" t="s">
        <v>78</v>
      </c>
      <c r="M475">
        <v>52</v>
      </c>
      <c r="N475">
        <v>95</v>
      </c>
      <c r="O475">
        <v>4841.2</v>
      </c>
      <c r="P475">
        <v>3016</v>
      </c>
      <c r="Q475">
        <v>1825.2</v>
      </c>
      <c r="R475">
        <v>0.02</v>
      </c>
      <c r="S475" t="s">
        <v>57</v>
      </c>
      <c r="T475">
        <v>193.93</v>
      </c>
    </row>
    <row r="476" spans="1:20" x14ac:dyDescent="0.25">
      <c r="A476">
        <v>100475</v>
      </c>
      <c r="B476" s="6">
        <v>45626</v>
      </c>
      <c r="C476">
        <v>2024</v>
      </c>
      <c r="D476" t="s">
        <v>43</v>
      </c>
      <c r="E476">
        <v>11</v>
      </c>
      <c r="F476" t="s">
        <v>87</v>
      </c>
      <c r="G476" t="s">
        <v>35</v>
      </c>
      <c r="H476" t="s">
        <v>23</v>
      </c>
      <c r="I476" t="s">
        <v>53</v>
      </c>
      <c r="J476" t="s">
        <v>68</v>
      </c>
      <c r="K476" t="s">
        <v>51</v>
      </c>
      <c r="L476" t="s">
        <v>52</v>
      </c>
      <c r="M476">
        <v>113</v>
      </c>
      <c r="N476">
        <v>75</v>
      </c>
      <c r="O476">
        <v>8305.5</v>
      </c>
      <c r="P476">
        <v>4972</v>
      </c>
      <c r="Q476">
        <v>3333.5</v>
      </c>
      <c r="R476">
        <v>0.02</v>
      </c>
      <c r="S476" t="s">
        <v>38</v>
      </c>
      <c r="T476">
        <v>512.65</v>
      </c>
    </row>
    <row r="477" spans="1:20" x14ac:dyDescent="0.25">
      <c r="A477">
        <v>100476</v>
      </c>
      <c r="B477" s="6">
        <v>45535</v>
      </c>
      <c r="C477">
        <v>2024</v>
      </c>
      <c r="D477" t="s">
        <v>39</v>
      </c>
      <c r="E477">
        <v>8</v>
      </c>
      <c r="F477" t="s">
        <v>58</v>
      </c>
      <c r="G477" t="s">
        <v>22</v>
      </c>
      <c r="H477" t="s">
        <v>23</v>
      </c>
      <c r="I477" t="s">
        <v>65</v>
      </c>
      <c r="J477" t="s">
        <v>42</v>
      </c>
      <c r="K477" t="s">
        <v>32</v>
      </c>
      <c r="L477" t="s">
        <v>47</v>
      </c>
      <c r="M477">
        <v>123</v>
      </c>
      <c r="N477">
        <v>180</v>
      </c>
      <c r="O477">
        <v>19926</v>
      </c>
      <c r="P477">
        <v>14145</v>
      </c>
      <c r="Q477">
        <v>5781</v>
      </c>
      <c r="R477">
        <v>0.1</v>
      </c>
      <c r="S477" t="s">
        <v>38</v>
      </c>
      <c r="T477">
        <v>366.63</v>
      </c>
    </row>
    <row r="478" spans="1:20" x14ac:dyDescent="0.25">
      <c r="A478">
        <v>100477</v>
      </c>
      <c r="B478" s="6">
        <v>45110</v>
      </c>
      <c r="C478">
        <v>2023</v>
      </c>
      <c r="D478" t="s">
        <v>39</v>
      </c>
      <c r="E478">
        <v>7</v>
      </c>
      <c r="F478" t="s">
        <v>75</v>
      </c>
      <c r="G478" t="s">
        <v>29</v>
      </c>
      <c r="H478" t="s">
        <v>23</v>
      </c>
      <c r="I478" t="s">
        <v>30</v>
      </c>
      <c r="J478" t="s">
        <v>31</v>
      </c>
      <c r="K478" t="s">
        <v>32</v>
      </c>
      <c r="L478" t="s">
        <v>33</v>
      </c>
      <c r="M478">
        <v>34</v>
      </c>
      <c r="N478">
        <v>60</v>
      </c>
      <c r="O478">
        <v>1876.8</v>
      </c>
      <c r="P478">
        <v>1292</v>
      </c>
      <c r="Q478">
        <v>584.79999999999995</v>
      </c>
      <c r="R478">
        <v>0.08</v>
      </c>
      <c r="S478" t="s">
        <v>70</v>
      </c>
      <c r="T478">
        <v>47.7</v>
      </c>
    </row>
    <row r="479" spans="1:20" x14ac:dyDescent="0.25">
      <c r="A479">
        <v>100478</v>
      </c>
      <c r="B479" s="6">
        <v>45928</v>
      </c>
      <c r="C479">
        <v>2025</v>
      </c>
      <c r="D479" t="s">
        <v>39</v>
      </c>
      <c r="E479">
        <v>9</v>
      </c>
      <c r="F479" t="s">
        <v>40</v>
      </c>
      <c r="G479" t="s">
        <v>45</v>
      </c>
      <c r="H479" t="s">
        <v>23</v>
      </c>
      <c r="I479" t="s">
        <v>88</v>
      </c>
      <c r="J479" t="s">
        <v>25</v>
      </c>
      <c r="K479" t="s">
        <v>59</v>
      </c>
      <c r="L479" t="s">
        <v>91</v>
      </c>
      <c r="M479">
        <v>19</v>
      </c>
      <c r="N479">
        <v>140</v>
      </c>
      <c r="O479">
        <v>2660</v>
      </c>
      <c r="P479">
        <v>1558</v>
      </c>
      <c r="Q479">
        <v>1102</v>
      </c>
      <c r="R479">
        <v>0</v>
      </c>
      <c r="S479" t="s">
        <v>57</v>
      </c>
      <c r="T479">
        <v>82.95</v>
      </c>
    </row>
    <row r="480" spans="1:20" x14ac:dyDescent="0.25">
      <c r="A480">
        <v>100479</v>
      </c>
      <c r="B480" s="6">
        <v>45390</v>
      </c>
      <c r="C480">
        <v>2024</v>
      </c>
      <c r="D480" t="s">
        <v>20</v>
      </c>
      <c r="E480">
        <v>4</v>
      </c>
      <c r="F480" t="s">
        <v>34</v>
      </c>
      <c r="G480" t="s">
        <v>45</v>
      </c>
      <c r="H480" t="s">
        <v>23</v>
      </c>
      <c r="I480" t="s">
        <v>90</v>
      </c>
      <c r="J480" t="s">
        <v>54</v>
      </c>
      <c r="K480" t="s">
        <v>59</v>
      </c>
      <c r="L480" t="s">
        <v>60</v>
      </c>
      <c r="M480">
        <v>53</v>
      </c>
      <c r="N480">
        <v>45</v>
      </c>
      <c r="O480">
        <v>2313.4499999999998</v>
      </c>
      <c r="P480">
        <v>1431</v>
      </c>
      <c r="Q480">
        <v>882.45</v>
      </c>
      <c r="R480">
        <v>0.03</v>
      </c>
      <c r="S480" t="s">
        <v>38</v>
      </c>
      <c r="T480">
        <v>85.9</v>
      </c>
    </row>
    <row r="481" spans="1:20" x14ac:dyDescent="0.25">
      <c r="A481">
        <v>100480</v>
      </c>
      <c r="B481" s="6">
        <v>45066</v>
      </c>
      <c r="C481">
        <v>2023</v>
      </c>
      <c r="D481" t="s">
        <v>20</v>
      </c>
      <c r="E481">
        <v>5</v>
      </c>
      <c r="F481" t="s">
        <v>21</v>
      </c>
      <c r="G481" t="s">
        <v>22</v>
      </c>
      <c r="H481" t="s">
        <v>23</v>
      </c>
      <c r="I481" t="s">
        <v>65</v>
      </c>
      <c r="J481" t="s">
        <v>66</v>
      </c>
      <c r="K481" t="s">
        <v>51</v>
      </c>
      <c r="L481" t="s">
        <v>52</v>
      </c>
      <c r="M481">
        <v>121</v>
      </c>
      <c r="N481">
        <v>75</v>
      </c>
      <c r="O481">
        <v>8893.5</v>
      </c>
      <c r="P481">
        <v>5324</v>
      </c>
      <c r="Q481">
        <v>3569.5</v>
      </c>
      <c r="R481">
        <v>0.02</v>
      </c>
      <c r="S481" t="s">
        <v>28</v>
      </c>
      <c r="T481">
        <v>226.64</v>
      </c>
    </row>
    <row r="482" spans="1:20" x14ac:dyDescent="0.25">
      <c r="A482">
        <v>100481</v>
      </c>
      <c r="B482" s="6">
        <v>45075</v>
      </c>
      <c r="C482">
        <v>2023</v>
      </c>
      <c r="D482" t="s">
        <v>20</v>
      </c>
      <c r="E482">
        <v>5</v>
      </c>
      <c r="F482" t="s">
        <v>21</v>
      </c>
      <c r="G482" t="s">
        <v>45</v>
      </c>
      <c r="H482" t="s">
        <v>23</v>
      </c>
      <c r="I482" t="s">
        <v>62</v>
      </c>
      <c r="J482" t="s">
        <v>68</v>
      </c>
      <c r="K482" t="s">
        <v>26</v>
      </c>
      <c r="L482" t="s">
        <v>78</v>
      </c>
      <c r="M482">
        <v>125</v>
      </c>
      <c r="N482">
        <v>95</v>
      </c>
      <c r="O482">
        <v>11637.5</v>
      </c>
      <c r="P482">
        <v>7250</v>
      </c>
      <c r="Q482">
        <v>4387.5</v>
      </c>
      <c r="R482">
        <v>0.02</v>
      </c>
      <c r="S482" t="s">
        <v>38</v>
      </c>
      <c r="T482">
        <v>490</v>
      </c>
    </row>
    <row r="483" spans="1:20" x14ac:dyDescent="0.25">
      <c r="A483">
        <v>100482</v>
      </c>
      <c r="B483" s="6">
        <v>45901</v>
      </c>
      <c r="C483">
        <v>2025</v>
      </c>
      <c r="D483" t="s">
        <v>39</v>
      </c>
      <c r="E483">
        <v>9</v>
      </c>
      <c r="F483" t="s">
        <v>40</v>
      </c>
      <c r="G483" t="s">
        <v>35</v>
      </c>
      <c r="H483" t="s">
        <v>23</v>
      </c>
      <c r="I483" t="s">
        <v>77</v>
      </c>
      <c r="J483" t="s">
        <v>31</v>
      </c>
      <c r="K483" t="s">
        <v>32</v>
      </c>
      <c r="L483" t="s">
        <v>37</v>
      </c>
      <c r="M483">
        <v>131</v>
      </c>
      <c r="N483">
        <v>120</v>
      </c>
      <c r="O483">
        <v>15248.4</v>
      </c>
      <c r="P483">
        <v>10218</v>
      </c>
      <c r="Q483">
        <v>5030.3999999999996</v>
      </c>
      <c r="R483">
        <v>0.03</v>
      </c>
      <c r="S483" t="s">
        <v>38</v>
      </c>
      <c r="T483">
        <v>985.55</v>
      </c>
    </row>
    <row r="484" spans="1:20" x14ac:dyDescent="0.25">
      <c r="A484">
        <v>100483</v>
      </c>
      <c r="B484" s="6">
        <v>45397</v>
      </c>
      <c r="C484">
        <v>2024</v>
      </c>
      <c r="D484" t="s">
        <v>20</v>
      </c>
      <c r="E484">
        <v>4</v>
      </c>
      <c r="F484" t="s">
        <v>34</v>
      </c>
      <c r="G484" t="s">
        <v>29</v>
      </c>
      <c r="H484" t="s">
        <v>23</v>
      </c>
      <c r="I484" t="s">
        <v>30</v>
      </c>
      <c r="J484" t="s">
        <v>68</v>
      </c>
      <c r="K484" t="s">
        <v>55</v>
      </c>
      <c r="L484" t="s">
        <v>56</v>
      </c>
      <c r="M484">
        <v>113</v>
      </c>
      <c r="N484">
        <v>320</v>
      </c>
      <c r="O484">
        <v>34352</v>
      </c>
      <c r="P484">
        <v>26555</v>
      </c>
      <c r="Q484">
        <v>7797</v>
      </c>
      <c r="R484">
        <v>0.05</v>
      </c>
      <c r="S484" t="s">
        <v>70</v>
      </c>
      <c r="T484">
        <v>2212.66</v>
      </c>
    </row>
    <row r="485" spans="1:20" x14ac:dyDescent="0.25">
      <c r="A485">
        <v>100484</v>
      </c>
      <c r="B485" s="6">
        <v>45935</v>
      </c>
      <c r="C485">
        <v>2025</v>
      </c>
      <c r="D485" t="s">
        <v>43</v>
      </c>
      <c r="E485">
        <v>10</v>
      </c>
      <c r="F485" t="s">
        <v>44</v>
      </c>
      <c r="G485" t="s">
        <v>29</v>
      </c>
      <c r="H485" t="s">
        <v>23</v>
      </c>
      <c r="I485" t="s">
        <v>30</v>
      </c>
      <c r="J485" t="s">
        <v>61</v>
      </c>
      <c r="K485" t="s">
        <v>51</v>
      </c>
      <c r="L485" t="s">
        <v>72</v>
      </c>
      <c r="M485">
        <v>14</v>
      </c>
      <c r="N485">
        <v>90</v>
      </c>
      <c r="O485">
        <v>1260</v>
      </c>
      <c r="P485">
        <v>728</v>
      </c>
      <c r="Q485">
        <v>532</v>
      </c>
      <c r="R485">
        <v>0</v>
      </c>
      <c r="S485" t="s">
        <v>38</v>
      </c>
      <c r="T485">
        <v>24.14</v>
      </c>
    </row>
    <row r="486" spans="1:20" x14ac:dyDescent="0.25">
      <c r="A486">
        <v>100485</v>
      </c>
      <c r="B486" s="6">
        <v>45796</v>
      </c>
      <c r="C486">
        <v>2025</v>
      </c>
      <c r="D486" t="s">
        <v>20</v>
      </c>
      <c r="E486">
        <v>5</v>
      </c>
      <c r="F486" t="s">
        <v>21</v>
      </c>
      <c r="G486" t="s">
        <v>45</v>
      </c>
      <c r="H486" t="s">
        <v>23</v>
      </c>
      <c r="I486" t="s">
        <v>46</v>
      </c>
      <c r="J486" t="s">
        <v>66</v>
      </c>
      <c r="K486" t="s">
        <v>32</v>
      </c>
      <c r="L486" t="s">
        <v>47</v>
      </c>
      <c r="M486">
        <v>11</v>
      </c>
      <c r="N486">
        <v>180</v>
      </c>
      <c r="O486">
        <v>1881</v>
      </c>
      <c r="P486">
        <v>1265</v>
      </c>
      <c r="Q486">
        <v>616</v>
      </c>
      <c r="R486">
        <v>0.05</v>
      </c>
      <c r="S486" t="s">
        <v>28</v>
      </c>
      <c r="T486">
        <v>31.57</v>
      </c>
    </row>
    <row r="487" spans="1:20" x14ac:dyDescent="0.25">
      <c r="A487">
        <v>100486</v>
      </c>
      <c r="B487" s="6">
        <v>45034</v>
      </c>
      <c r="C487">
        <v>2023</v>
      </c>
      <c r="D487" t="s">
        <v>20</v>
      </c>
      <c r="E487">
        <v>4</v>
      </c>
      <c r="F487" t="s">
        <v>34</v>
      </c>
      <c r="G487" t="s">
        <v>29</v>
      </c>
      <c r="H487" t="s">
        <v>23</v>
      </c>
      <c r="I487" t="s">
        <v>30</v>
      </c>
      <c r="J487" t="s">
        <v>42</v>
      </c>
      <c r="K487" t="s">
        <v>32</v>
      </c>
      <c r="L487" t="s">
        <v>74</v>
      </c>
      <c r="M487">
        <v>134</v>
      </c>
      <c r="N487">
        <v>25</v>
      </c>
      <c r="O487">
        <v>3082</v>
      </c>
      <c r="P487">
        <v>1876</v>
      </c>
      <c r="Q487">
        <v>1206</v>
      </c>
      <c r="R487">
        <v>0.08</v>
      </c>
      <c r="S487" t="s">
        <v>38</v>
      </c>
      <c r="T487">
        <v>212.95</v>
      </c>
    </row>
    <row r="488" spans="1:20" x14ac:dyDescent="0.25">
      <c r="A488">
        <v>100487</v>
      </c>
      <c r="B488" s="6">
        <v>45624</v>
      </c>
      <c r="C488">
        <v>2024</v>
      </c>
      <c r="D488" t="s">
        <v>43</v>
      </c>
      <c r="E488">
        <v>11</v>
      </c>
      <c r="F488" t="s">
        <v>87</v>
      </c>
      <c r="G488" t="s">
        <v>45</v>
      </c>
      <c r="H488" t="s">
        <v>23</v>
      </c>
      <c r="I488" t="s">
        <v>62</v>
      </c>
      <c r="J488" t="s">
        <v>54</v>
      </c>
      <c r="K488" t="s">
        <v>51</v>
      </c>
      <c r="L488" t="s">
        <v>52</v>
      </c>
      <c r="M488">
        <v>40</v>
      </c>
      <c r="N488">
        <v>75</v>
      </c>
      <c r="O488">
        <v>3000</v>
      </c>
      <c r="P488">
        <v>1760</v>
      </c>
      <c r="Q488">
        <v>1240</v>
      </c>
      <c r="R488">
        <v>0</v>
      </c>
      <c r="S488" t="s">
        <v>38</v>
      </c>
      <c r="T488">
        <v>159.18</v>
      </c>
    </row>
    <row r="489" spans="1:20" x14ac:dyDescent="0.25">
      <c r="A489">
        <v>100488</v>
      </c>
      <c r="B489" s="6">
        <v>45037</v>
      </c>
      <c r="C489">
        <v>2023</v>
      </c>
      <c r="D489" t="s">
        <v>20</v>
      </c>
      <c r="E489">
        <v>4</v>
      </c>
      <c r="F489" t="s">
        <v>34</v>
      </c>
      <c r="G489" t="s">
        <v>45</v>
      </c>
      <c r="H489" t="s">
        <v>23</v>
      </c>
      <c r="I489" t="s">
        <v>46</v>
      </c>
      <c r="J489" t="s">
        <v>61</v>
      </c>
      <c r="K489" t="s">
        <v>32</v>
      </c>
      <c r="L489" t="s">
        <v>33</v>
      </c>
      <c r="M489">
        <v>88</v>
      </c>
      <c r="N489">
        <v>60</v>
      </c>
      <c r="O489">
        <v>4857.6000000000004</v>
      </c>
      <c r="P489">
        <v>3344</v>
      </c>
      <c r="Q489">
        <v>1513.6</v>
      </c>
      <c r="R489">
        <v>0.08</v>
      </c>
      <c r="S489" t="s">
        <v>57</v>
      </c>
      <c r="T489">
        <v>200.4</v>
      </c>
    </row>
    <row r="490" spans="1:20" x14ac:dyDescent="0.25">
      <c r="A490">
        <v>100489</v>
      </c>
      <c r="B490" s="6">
        <v>45628</v>
      </c>
      <c r="C490">
        <v>2024</v>
      </c>
      <c r="D490" t="s">
        <v>43</v>
      </c>
      <c r="E490">
        <v>12</v>
      </c>
      <c r="F490" t="s">
        <v>83</v>
      </c>
      <c r="G490" t="s">
        <v>22</v>
      </c>
      <c r="H490" t="s">
        <v>23</v>
      </c>
      <c r="I490" t="s">
        <v>71</v>
      </c>
      <c r="J490" t="s">
        <v>66</v>
      </c>
      <c r="K490" t="s">
        <v>51</v>
      </c>
      <c r="L490" t="s">
        <v>76</v>
      </c>
      <c r="M490">
        <v>150</v>
      </c>
      <c r="N490">
        <v>40</v>
      </c>
      <c r="O490">
        <v>6000</v>
      </c>
      <c r="P490">
        <v>3450</v>
      </c>
      <c r="Q490">
        <v>2550</v>
      </c>
      <c r="R490">
        <v>0</v>
      </c>
      <c r="S490" t="s">
        <v>28</v>
      </c>
      <c r="T490">
        <v>244.01</v>
      </c>
    </row>
    <row r="491" spans="1:20" x14ac:dyDescent="0.25">
      <c r="A491">
        <v>100490</v>
      </c>
      <c r="B491" s="6">
        <v>45089</v>
      </c>
      <c r="C491">
        <v>2023</v>
      </c>
      <c r="D491" t="s">
        <v>20</v>
      </c>
      <c r="E491">
        <v>6</v>
      </c>
      <c r="F491" t="s">
        <v>48</v>
      </c>
      <c r="G491" t="s">
        <v>35</v>
      </c>
      <c r="H491" t="s">
        <v>23</v>
      </c>
      <c r="I491" t="s">
        <v>36</v>
      </c>
      <c r="J491" t="s">
        <v>54</v>
      </c>
      <c r="K491" t="s">
        <v>51</v>
      </c>
      <c r="L491" t="s">
        <v>92</v>
      </c>
      <c r="M491">
        <v>63</v>
      </c>
      <c r="N491">
        <v>50</v>
      </c>
      <c r="O491">
        <v>2992.5</v>
      </c>
      <c r="P491">
        <v>1827</v>
      </c>
      <c r="Q491">
        <v>1165.5</v>
      </c>
      <c r="R491">
        <v>0.05</v>
      </c>
      <c r="S491" t="s">
        <v>38</v>
      </c>
      <c r="T491">
        <v>173.51</v>
      </c>
    </row>
    <row r="492" spans="1:20" x14ac:dyDescent="0.25">
      <c r="A492">
        <v>100491</v>
      </c>
      <c r="B492" s="6">
        <v>45601</v>
      </c>
      <c r="C492">
        <v>2024</v>
      </c>
      <c r="D492" t="s">
        <v>43</v>
      </c>
      <c r="E492">
        <v>11</v>
      </c>
      <c r="F492" t="s">
        <v>87</v>
      </c>
      <c r="G492" t="s">
        <v>29</v>
      </c>
      <c r="H492" t="s">
        <v>23</v>
      </c>
      <c r="I492" t="s">
        <v>85</v>
      </c>
      <c r="J492" t="s">
        <v>54</v>
      </c>
      <c r="K492" t="s">
        <v>26</v>
      </c>
      <c r="L492" t="s">
        <v>78</v>
      </c>
      <c r="M492">
        <v>58</v>
      </c>
      <c r="N492">
        <v>95</v>
      </c>
      <c r="O492">
        <v>5344.7</v>
      </c>
      <c r="P492">
        <v>3364</v>
      </c>
      <c r="Q492">
        <v>1980.7</v>
      </c>
      <c r="R492">
        <v>0.03</v>
      </c>
      <c r="S492" t="s">
        <v>70</v>
      </c>
      <c r="T492">
        <v>257.04000000000002</v>
      </c>
    </row>
    <row r="493" spans="1:20" x14ac:dyDescent="0.25">
      <c r="A493">
        <v>100492</v>
      </c>
      <c r="B493" s="6">
        <v>45316</v>
      </c>
      <c r="C493">
        <v>2024</v>
      </c>
      <c r="D493" t="s">
        <v>63</v>
      </c>
      <c r="E493">
        <v>1</v>
      </c>
      <c r="F493" t="s">
        <v>79</v>
      </c>
      <c r="G493" t="s">
        <v>35</v>
      </c>
      <c r="H493" t="s">
        <v>23</v>
      </c>
      <c r="I493" t="s">
        <v>53</v>
      </c>
      <c r="J493" t="s">
        <v>61</v>
      </c>
      <c r="K493" t="s">
        <v>59</v>
      </c>
      <c r="L493" t="s">
        <v>86</v>
      </c>
      <c r="M493">
        <v>141</v>
      </c>
      <c r="N493">
        <v>160</v>
      </c>
      <c r="O493">
        <v>21432</v>
      </c>
      <c r="P493">
        <v>13395</v>
      </c>
      <c r="Q493">
        <v>8037</v>
      </c>
      <c r="R493">
        <v>0.05</v>
      </c>
      <c r="S493" t="s">
        <v>38</v>
      </c>
      <c r="T493">
        <v>1164</v>
      </c>
    </row>
    <row r="494" spans="1:20" x14ac:dyDescent="0.25">
      <c r="A494">
        <v>100493</v>
      </c>
      <c r="B494" s="6">
        <v>45482</v>
      </c>
      <c r="C494">
        <v>2024</v>
      </c>
      <c r="D494" t="s">
        <v>39</v>
      </c>
      <c r="E494">
        <v>7</v>
      </c>
      <c r="F494" t="s">
        <v>75</v>
      </c>
      <c r="G494" t="s">
        <v>22</v>
      </c>
      <c r="H494" t="s">
        <v>23</v>
      </c>
      <c r="I494" t="s">
        <v>24</v>
      </c>
      <c r="J494" t="s">
        <v>25</v>
      </c>
      <c r="K494" t="s">
        <v>59</v>
      </c>
      <c r="L494" t="s">
        <v>67</v>
      </c>
      <c r="M494">
        <v>90</v>
      </c>
      <c r="N494">
        <v>95</v>
      </c>
      <c r="O494">
        <v>8122.5</v>
      </c>
      <c r="P494">
        <v>5040</v>
      </c>
      <c r="Q494">
        <v>3082.5</v>
      </c>
      <c r="R494">
        <v>0.05</v>
      </c>
      <c r="S494" t="s">
        <v>70</v>
      </c>
      <c r="T494">
        <v>225.25</v>
      </c>
    </row>
    <row r="495" spans="1:20" x14ac:dyDescent="0.25">
      <c r="A495">
        <v>100494</v>
      </c>
      <c r="B495" s="6">
        <v>45358</v>
      </c>
      <c r="C495">
        <v>2024</v>
      </c>
      <c r="D495" t="s">
        <v>63</v>
      </c>
      <c r="E495">
        <v>3</v>
      </c>
      <c r="F495" t="s">
        <v>64</v>
      </c>
      <c r="G495" t="s">
        <v>29</v>
      </c>
      <c r="H495" t="s">
        <v>23</v>
      </c>
      <c r="I495" t="s">
        <v>49</v>
      </c>
      <c r="J495" t="s">
        <v>31</v>
      </c>
      <c r="K495" t="s">
        <v>51</v>
      </c>
      <c r="L495" t="s">
        <v>92</v>
      </c>
      <c r="M495">
        <v>80</v>
      </c>
      <c r="N495">
        <v>50</v>
      </c>
      <c r="O495">
        <v>3920</v>
      </c>
      <c r="P495">
        <v>2320</v>
      </c>
      <c r="Q495">
        <v>1600</v>
      </c>
      <c r="R495">
        <v>0.02</v>
      </c>
      <c r="S495" t="s">
        <v>57</v>
      </c>
      <c r="T495">
        <v>81.63</v>
      </c>
    </row>
    <row r="496" spans="1:20" x14ac:dyDescent="0.25">
      <c r="A496">
        <v>100495</v>
      </c>
      <c r="B496" s="6">
        <v>45752</v>
      </c>
      <c r="C496">
        <v>2025</v>
      </c>
      <c r="D496" t="s">
        <v>20</v>
      </c>
      <c r="E496">
        <v>4</v>
      </c>
      <c r="F496" t="s">
        <v>34</v>
      </c>
      <c r="G496" t="s">
        <v>29</v>
      </c>
      <c r="H496" t="s">
        <v>23</v>
      </c>
      <c r="I496" t="s">
        <v>85</v>
      </c>
      <c r="J496" t="s">
        <v>31</v>
      </c>
      <c r="K496" t="s">
        <v>51</v>
      </c>
      <c r="L496" t="s">
        <v>52</v>
      </c>
      <c r="M496">
        <v>77</v>
      </c>
      <c r="N496">
        <v>75</v>
      </c>
      <c r="O496">
        <v>5601.75</v>
      </c>
      <c r="P496">
        <v>3388</v>
      </c>
      <c r="Q496">
        <v>2213.75</v>
      </c>
      <c r="R496">
        <v>0.03</v>
      </c>
      <c r="S496" t="s">
        <v>38</v>
      </c>
      <c r="T496">
        <v>93.01</v>
      </c>
    </row>
    <row r="497" spans="1:20" x14ac:dyDescent="0.25">
      <c r="A497">
        <v>100496</v>
      </c>
      <c r="B497" s="6">
        <v>45355</v>
      </c>
      <c r="C497">
        <v>2024</v>
      </c>
      <c r="D497" t="s">
        <v>63</v>
      </c>
      <c r="E497">
        <v>3</v>
      </c>
      <c r="F497" t="s">
        <v>64</v>
      </c>
      <c r="G497" t="s">
        <v>35</v>
      </c>
      <c r="H497" t="s">
        <v>23</v>
      </c>
      <c r="I497" t="s">
        <v>80</v>
      </c>
      <c r="J497" t="s">
        <v>54</v>
      </c>
      <c r="K497" t="s">
        <v>59</v>
      </c>
      <c r="L497" t="s">
        <v>86</v>
      </c>
      <c r="M497">
        <v>40</v>
      </c>
      <c r="N497">
        <v>160</v>
      </c>
      <c r="O497">
        <v>6400</v>
      </c>
      <c r="P497">
        <v>3800</v>
      </c>
      <c r="Q497">
        <v>2600</v>
      </c>
      <c r="R497">
        <v>0</v>
      </c>
      <c r="S497" t="s">
        <v>57</v>
      </c>
      <c r="T497">
        <v>207.83</v>
      </c>
    </row>
    <row r="498" spans="1:20" x14ac:dyDescent="0.25">
      <c r="A498">
        <v>100497</v>
      </c>
      <c r="B498" s="6">
        <v>45127</v>
      </c>
      <c r="C498">
        <v>2023</v>
      </c>
      <c r="D498" t="s">
        <v>39</v>
      </c>
      <c r="E498">
        <v>7</v>
      </c>
      <c r="F498" t="s">
        <v>75</v>
      </c>
      <c r="G498" t="s">
        <v>22</v>
      </c>
      <c r="H498" t="s">
        <v>23</v>
      </c>
      <c r="I498" t="s">
        <v>71</v>
      </c>
      <c r="J498" t="s">
        <v>42</v>
      </c>
      <c r="K498" t="s">
        <v>26</v>
      </c>
      <c r="L498" t="s">
        <v>69</v>
      </c>
      <c r="M498">
        <v>117</v>
      </c>
      <c r="N498">
        <v>130</v>
      </c>
      <c r="O498">
        <v>13993.2</v>
      </c>
      <c r="P498">
        <v>8892</v>
      </c>
      <c r="Q498">
        <v>5101.2</v>
      </c>
      <c r="R498">
        <v>0.08</v>
      </c>
      <c r="S498" t="s">
        <v>38</v>
      </c>
      <c r="T498">
        <v>698.93</v>
      </c>
    </row>
    <row r="499" spans="1:20" x14ac:dyDescent="0.25">
      <c r="A499">
        <v>100498</v>
      </c>
      <c r="B499" s="6">
        <v>45724</v>
      </c>
      <c r="C499">
        <v>2025</v>
      </c>
      <c r="D499" t="s">
        <v>63</v>
      </c>
      <c r="E499">
        <v>3</v>
      </c>
      <c r="F499" t="s">
        <v>64</v>
      </c>
      <c r="G499" t="s">
        <v>35</v>
      </c>
      <c r="H499" t="s">
        <v>23</v>
      </c>
      <c r="I499" t="s">
        <v>36</v>
      </c>
      <c r="J499" t="s">
        <v>25</v>
      </c>
      <c r="K499" t="s">
        <v>59</v>
      </c>
      <c r="L499" t="s">
        <v>60</v>
      </c>
      <c r="M499">
        <v>126</v>
      </c>
      <c r="N499">
        <v>45</v>
      </c>
      <c r="O499">
        <v>5499.9</v>
      </c>
      <c r="P499">
        <v>3402</v>
      </c>
      <c r="Q499">
        <v>2097.9</v>
      </c>
      <c r="R499">
        <v>0.03</v>
      </c>
      <c r="S499" t="s">
        <v>28</v>
      </c>
      <c r="T499">
        <v>303.77</v>
      </c>
    </row>
    <row r="500" spans="1:20" x14ac:dyDescent="0.25">
      <c r="A500">
        <v>100499</v>
      </c>
      <c r="B500" s="6">
        <v>45589</v>
      </c>
      <c r="C500">
        <v>2024</v>
      </c>
      <c r="D500" t="s">
        <v>43</v>
      </c>
      <c r="E500">
        <v>10</v>
      </c>
      <c r="F500" t="s">
        <v>44</v>
      </c>
      <c r="G500" t="s">
        <v>45</v>
      </c>
      <c r="H500" t="s">
        <v>23</v>
      </c>
      <c r="I500" t="s">
        <v>88</v>
      </c>
      <c r="J500" t="s">
        <v>31</v>
      </c>
      <c r="K500" t="s">
        <v>59</v>
      </c>
      <c r="L500" t="s">
        <v>86</v>
      </c>
      <c r="M500">
        <v>117</v>
      </c>
      <c r="N500">
        <v>160</v>
      </c>
      <c r="O500">
        <v>18158.400000000001</v>
      </c>
      <c r="P500">
        <v>11115</v>
      </c>
      <c r="Q500">
        <v>7043.4</v>
      </c>
      <c r="R500">
        <v>0.03</v>
      </c>
      <c r="S500" t="s">
        <v>70</v>
      </c>
      <c r="T500">
        <v>1186.26</v>
      </c>
    </row>
    <row r="501" spans="1:20" x14ac:dyDescent="0.25">
      <c r="A501">
        <v>100500</v>
      </c>
      <c r="B501" s="6">
        <v>45534</v>
      </c>
      <c r="C501">
        <v>2024</v>
      </c>
      <c r="D501" t="s">
        <v>39</v>
      </c>
      <c r="E501">
        <v>8</v>
      </c>
      <c r="F501" t="s">
        <v>58</v>
      </c>
      <c r="G501" t="s">
        <v>45</v>
      </c>
      <c r="H501" t="s">
        <v>23</v>
      </c>
      <c r="I501" t="s">
        <v>46</v>
      </c>
      <c r="J501" t="s">
        <v>68</v>
      </c>
      <c r="K501" t="s">
        <v>55</v>
      </c>
      <c r="L501" t="s">
        <v>84</v>
      </c>
      <c r="M501">
        <v>121</v>
      </c>
      <c r="N501">
        <v>55</v>
      </c>
      <c r="O501">
        <v>6122.6</v>
      </c>
      <c r="P501">
        <v>4477</v>
      </c>
      <c r="Q501">
        <v>1645.6</v>
      </c>
      <c r="R501">
        <v>0.08</v>
      </c>
      <c r="S501" t="s">
        <v>38</v>
      </c>
      <c r="T501">
        <v>280.20999999999998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topLeftCell="A6" workbookViewId="0">
      <selection activeCell="G14" sqref="G14"/>
    </sheetView>
  </sheetViews>
  <sheetFormatPr defaultRowHeight="15" x14ac:dyDescent="0.25"/>
  <cols>
    <col min="1" max="1" width="12.140625" customWidth="1"/>
    <col min="2" max="2" width="15.42578125" customWidth="1"/>
    <col min="3" max="3" width="17.28515625" bestFit="1" customWidth="1"/>
    <col min="4" max="4" width="12.5703125" customWidth="1"/>
  </cols>
  <sheetData>
    <row r="1" spans="1:7" x14ac:dyDescent="0.25">
      <c r="A1" s="11"/>
      <c r="B1" s="11"/>
      <c r="C1" s="4"/>
    </row>
    <row r="2" spans="1:7" x14ac:dyDescent="0.25">
      <c r="A2" s="12" t="s">
        <v>94</v>
      </c>
      <c r="B2" s="12" t="s">
        <v>95</v>
      </c>
    </row>
    <row r="3" spans="1:7" x14ac:dyDescent="0.25">
      <c r="A3" s="12" t="s">
        <v>96</v>
      </c>
      <c r="B3" s="14">
        <f>SUM(FMCG_Data!O2:O501)</f>
        <v>3778201.4499999997</v>
      </c>
    </row>
    <row r="4" spans="1:7" x14ac:dyDescent="0.25">
      <c r="A4" s="12" t="s">
        <v>97</v>
      </c>
      <c r="B4" s="14">
        <f>SUM(FMCG_Data!P4:P501)</f>
        <v>2448854</v>
      </c>
    </row>
    <row r="5" spans="1:7" x14ac:dyDescent="0.25">
      <c r="A5" s="12" t="s">
        <v>98</v>
      </c>
      <c r="B5" s="14">
        <f>SUM(FMCG_Data!Q2:Q501)</f>
        <v>1318045.4499999993</v>
      </c>
    </row>
    <row r="6" spans="1:7" ht="30" x14ac:dyDescent="0.25">
      <c r="A6" s="12" t="s">
        <v>99</v>
      </c>
      <c r="B6" s="14">
        <f>SUM(FMCG_Data!M2:M501)</f>
        <v>40048</v>
      </c>
    </row>
    <row r="7" spans="1:7" x14ac:dyDescent="0.25">
      <c r="A7" s="12" t="s">
        <v>100</v>
      </c>
      <c r="B7" s="12">
        <f>COUNTA(FMCG_Data!A2:A501)</f>
        <v>500</v>
      </c>
    </row>
    <row r="8" spans="1:7" ht="30" x14ac:dyDescent="0.25">
      <c r="A8" s="12" t="s">
        <v>101</v>
      </c>
      <c r="B8" s="14">
        <f>B3/B7</f>
        <v>7556.4028999999991</v>
      </c>
    </row>
    <row r="9" spans="1:7" ht="30" x14ac:dyDescent="0.25">
      <c r="A9" s="12" t="s">
        <v>102</v>
      </c>
      <c r="B9" s="13">
        <f>B5/B3</f>
        <v>0.34885526021911811</v>
      </c>
    </row>
    <row r="12" spans="1:7" x14ac:dyDescent="0.25">
      <c r="A12" t="s">
        <v>105</v>
      </c>
      <c r="B12" t="s">
        <v>154</v>
      </c>
      <c r="C12" t="s">
        <v>155</v>
      </c>
      <c r="D12" t="s">
        <v>106</v>
      </c>
      <c r="E12" t="s">
        <v>102</v>
      </c>
      <c r="G12" t="s">
        <v>147</v>
      </c>
    </row>
    <row r="13" spans="1:7" x14ac:dyDescent="0.25">
      <c r="A13" s="8">
        <v>3778201.4499999997</v>
      </c>
      <c r="B13" s="8">
        <v>40048</v>
      </c>
      <c r="C13" s="8">
        <v>500</v>
      </c>
      <c r="D13" s="8">
        <v>1318045.4499999993</v>
      </c>
      <c r="E13" s="30">
        <f>D13/A13</f>
        <v>0.34885526021911811</v>
      </c>
      <c r="G13">
        <f>A13/C13</f>
        <v>7556.4028999999991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zoomScaleNormal="100" workbookViewId="0">
      <selection activeCell="D10" sqref="D10"/>
    </sheetView>
  </sheetViews>
  <sheetFormatPr defaultRowHeight="15" x14ac:dyDescent="0.25"/>
  <cols>
    <col min="2" max="2" width="25.85546875" customWidth="1"/>
    <col min="3" max="3" width="23.42578125" customWidth="1"/>
    <col min="4" max="4" width="31.28515625" customWidth="1"/>
    <col min="5" max="5" width="9.7109375" customWidth="1"/>
    <col min="6" max="6" width="10.42578125" customWidth="1"/>
    <col min="7" max="7" width="17.7109375" customWidth="1"/>
  </cols>
  <sheetData>
    <row r="1" spans="1:10" ht="29.25" customHeight="1" x14ac:dyDescent="0.25">
      <c r="A1" s="22" t="s">
        <v>108</v>
      </c>
      <c r="B1" s="23" t="s">
        <v>109</v>
      </c>
      <c r="C1" s="23" t="s">
        <v>110</v>
      </c>
      <c r="D1" s="23" t="s">
        <v>111</v>
      </c>
      <c r="E1" s="23" t="s">
        <v>112</v>
      </c>
      <c r="F1" s="23" t="s">
        <v>134</v>
      </c>
      <c r="G1" s="24" t="s">
        <v>135</v>
      </c>
    </row>
    <row r="2" spans="1:10" ht="30" x14ac:dyDescent="0.25">
      <c r="A2" s="25" t="s">
        <v>6</v>
      </c>
      <c r="B2" s="26" t="s">
        <v>116</v>
      </c>
      <c r="C2" s="26" t="s">
        <v>117</v>
      </c>
      <c r="D2" s="26" t="s">
        <v>118</v>
      </c>
      <c r="E2" s="26" t="s">
        <v>113</v>
      </c>
      <c r="F2" s="26" t="s">
        <v>136</v>
      </c>
      <c r="G2" s="27" t="s">
        <v>137</v>
      </c>
    </row>
    <row r="3" spans="1:10" ht="45" x14ac:dyDescent="0.25">
      <c r="A3" s="25" t="s">
        <v>10</v>
      </c>
      <c r="B3" s="26" t="s">
        <v>119</v>
      </c>
      <c r="C3" s="26" t="s">
        <v>120</v>
      </c>
      <c r="D3" s="26" t="s">
        <v>121</v>
      </c>
      <c r="E3" s="26" t="s">
        <v>113</v>
      </c>
      <c r="F3" s="26" t="s">
        <v>138</v>
      </c>
      <c r="G3" s="27" t="s">
        <v>139</v>
      </c>
    </row>
    <row r="4" spans="1:10" ht="45" x14ac:dyDescent="0.25">
      <c r="A4" s="25" t="s">
        <v>10</v>
      </c>
      <c r="B4" s="26" t="s">
        <v>122</v>
      </c>
      <c r="C4" s="26" t="s">
        <v>123</v>
      </c>
      <c r="D4" s="26" t="s">
        <v>124</v>
      </c>
      <c r="E4" s="26" t="s">
        <v>113</v>
      </c>
      <c r="F4" s="26" t="s">
        <v>140</v>
      </c>
      <c r="G4" s="27" t="s">
        <v>141</v>
      </c>
    </row>
    <row r="5" spans="1:10" ht="30" x14ac:dyDescent="0.25">
      <c r="A5" s="25" t="s">
        <v>10</v>
      </c>
      <c r="B5" s="26" t="s">
        <v>125</v>
      </c>
      <c r="C5" s="26" t="s">
        <v>126</v>
      </c>
      <c r="D5" s="26" t="s">
        <v>127</v>
      </c>
      <c r="E5" s="26" t="s">
        <v>114</v>
      </c>
      <c r="F5" s="26" t="s">
        <v>142</v>
      </c>
      <c r="G5" s="27" t="s">
        <v>143</v>
      </c>
    </row>
    <row r="6" spans="1:10" ht="30" x14ac:dyDescent="0.25">
      <c r="A6" s="25" t="s">
        <v>6</v>
      </c>
      <c r="B6" s="26" t="s">
        <v>128</v>
      </c>
      <c r="C6" s="26" t="s">
        <v>129</v>
      </c>
      <c r="D6" s="26" t="s">
        <v>130</v>
      </c>
      <c r="E6" s="26" t="s">
        <v>114</v>
      </c>
      <c r="F6" s="26" t="s">
        <v>144</v>
      </c>
      <c r="G6" s="27" t="s">
        <v>145</v>
      </c>
      <c r="J6" s="18"/>
    </row>
    <row r="7" spans="1:10" x14ac:dyDescent="0.25">
      <c r="A7" s="28" t="s">
        <v>115</v>
      </c>
      <c r="B7" s="29" t="s">
        <v>131</v>
      </c>
      <c r="C7" s="29" t="s">
        <v>132</v>
      </c>
      <c r="D7" s="29" t="s">
        <v>133</v>
      </c>
      <c r="E7" s="29" t="s">
        <v>113</v>
      </c>
      <c r="F7" s="19"/>
      <c r="G7" s="20"/>
    </row>
    <row r="14" spans="1:10" x14ac:dyDescent="0.25">
      <c r="D14" s="21"/>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42"/>
  <sheetViews>
    <sheetView tabSelected="1" zoomScaleNormal="100" workbookViewId="0">
      <selection activeCell="P13" sqref="P13"/>
    </sheetView>
  </sheetViews>
  <sheetFormatPr defaultRowHeight="15" x14ac:dyDescent="0.25"/>
  <sheetData>
    <row r="2" spans="1:18" x14ac:dyDescent="0.25">
      <c r="A2" s="44" t="s">
        <v>107</v>
      </c>
      <c r="B2" s="44"/>
      <c r="C2" s="44"/>
      <c r="D2" s="44"/>
      <c r="E2" s="44"/>
      <c r="F2" s="44"/>
      <c r="G2" s="44"/>
      <c r="H2" s="44"/>
      <c r="I2" s="44"/>
      <c r="J2" s="44"/>
      <c r="K2" s="44"/>
      <c r="L2" s="44"/>
      <c r="M2" s="44"/>
      <c r="N2" s="44"/>
      <c r="O2" s="44"/>
      <c r="P2" s="44"/>
      <c r="Q2" s="44"/>
      <c r="R2" s="31"/>
    </row>
    <row r="3" spans="1:18" x14ac:dyDescent="0.25">
      <c r="A3" s="44"/>
      <c r="B3" s="44"/>
      <c r="C3" s="44"/>
      <c r="D3" s="44"/>
      <c r="E3" s="44"/>
      <c r="F3" s="44"/>
      <c r="G3" s="44"/>
      <c r="H3" s="44"/>
      <c r="I3" s="44"/>
      <c r="J3" s="44"/>
      <c r="K3" s="44"/>
      <c r="L3" s="44"/>
      <c r="M3" s="44"/>
      <c r="N3" s="44"/>
      <c r="O3" s="44"/>
      <c r="P3" s="44"/>
      <c r="Q3" s="44"/>
      <c r="R3" s="31"/>
    </row>
    <row r="4" spans="1:18" x14ac:dyDescent="0.25">
      <c r="A4" s="44"/>
      <c r="B4" s="44"/>
      <c r="C4" s="44"/>
      <c r="D4" s="44"/>
      <c r="E4" s="44"/>
      <c r="F4" s="44"/>
      <c r="G4" s="44"/>
      <c r="H4" s="44"/>
      <c r="I4" s="44"/>
      <c r="J4" s="44"/>
      <c r="K4" s="44"/>
      <c r="L4" s="44"/>
      <c r="M4" s="44"/>
      <c r="N4" s="44"/>
      <c r="O4" s="44"/>
      <c r="P4" s="44"/>
      <c r="Q4" s="44"/>
      <c r="R4" s="31"/>
    </row>
    <row r="5" spans="1:18" x14ac:dyDescent="0.25">
      <c r="A5" s="45" t="s">
        <v>146</v>
      </c>
      <c r="B5" s="45"/>
      <c r="C5" s="45"/>
      <c r="D5" s="45"/>
      <c r="E5" s="45"/>
      <c r="F5" s="45"/>
      <c r="G5" s="45"/>
      <c r="H5" s="45"/>
      <c r="I5" s="45"/>
      <c r="J5" s="45"/>
      <c r="K5" s="45"/>
      <c r="L5" s="45"/>
      <c r="M5" s="45"/>
      <c r="N5" s="45"/>
      <c r="O5" s="45"/>
      <c r="P5" s="45"/>
      <c r="Q5" s="45"/>
      <c r="R5" s="31"/>
    </row>
    <row r="6" spans="1:18" x14ac:dyDescent="0.25">
      <c r="A6" s="31"/>
      <c r="B6" s="31"/>
      <c r="C6" s="31"/>
      <c r="D6" s="31"/>
      <c r="E6" s="31"/>
      <c r="F6" s="31"/>
      <c r="G6" s="31"/>
      <c r="H6" s="31"/>
      <c r="I6" s="31"/>
      <c r="J6" s="31"/>
      <c r="K6" s="31"/>
      <c r="L6" s="31"/>
      <c r="M6" s="31"/>
      <c r="N6" s="31"/>
      <c r="O6" s="31"/>
      <c r="P6" s="31"/>
      <c r="Q6" s="31"/>
      <c r="R6" s="31"/>
    </row>
    <row r="7" spans="1:18" x14ac:dyDescent="0.25">
      <c r="A7" s="31"/>
      <c r="B7" s="31"/>
      <c r="C7" s="31"/>
      <c r="D7" s="31"/>
      <c r="E7" s="31"/>
      <c r="F7" s="31"/>
      <c r="G7" s="31"/>
      <c r="H7" s="31"/>
      <c r="I7" s="31"/>
      <c r="J7" s="31"/>
      <c r="K7" s="31"/>
      <c r="L7" s="31"/>
      <c r="M7" s="31"/>
      <c r="N7" s="31"/>
      <c r="O7" s="31"/>
      <c r="P7" s="31"/>
      <c r="Q7" s="31"/>
      <c r="R7" s="31"/>
    </row>
    <row r="8" spans="1:18" x14ac:dyDescent="0.25">
      <c r="A8" s="31"/>
      <c r="B8" s="31"/>
      <c r="C8" s="31"/>
      <c r="D8" s="31"/>
      <c r="E8" s="31"/>
      <c r="F8" s="31"/>
      <c r="G8" s="31"/>
      <c r="H8" s="31"/>
      <c r="I8" s="31"/>
      <c r="J8" s="31"/>
      <c r="K8" s="31"/>
      <c r="L8" s="31"/>
      <c r="M8" s="31"/>
      <c r="N8" s="31"/>
      <c r="O8" s="31"/>
      <c r="P8" s="31"/>
      <c r="Q8" s="31"/>
      <c r="R8" s="31"/>
    </row>
    <row r="9" spans="1:18" x14ac:dyDescent="0.25">
      <c r="A9" s="31"/>
      <c r="B9" s="31"/>
      <c r="C9" s="31"/>
      <c r="D9" s="31"/>
      <c r="E9" s="31"/>
      <c r="F9" s="31"/>
      <c r="G9" s="31"/>
      <c r="H9" s="31"/>
      <c r="I9" s="31"/>
      <c r="J9" s="31"/>
      <c r="K9" s="31"/>
      <c r="L9" s="31"/>
      <c r="M9" s="31"/>
      <c r="N9" s="31"/>
      <c r="O9" s="31"/>
      <c r="P9" s="31"/>
      <c r="Q9" s="31"/>
      <c r="R9" s="31"/>
    </row>
    <row r="10" spans="1:18" x14ac:dyDescent="0.25">
      <c r="A10" s="31"/>
      <c r="B10" s="31"/>
      <c r="C10" s="31"/>
      <c r="D10" s="31"/>
      <c r="E10" s="31"/>
      <c r="F10" s="31"/>
      <c r="G10" s="31"/>
      <c r="H10" s="31"/>
      <c r="I10" s="31"/>
      <c r="J10" s="31"/>
      <c r="K10" s="31"/>
      <c r="L10" s="31"/>
      <c r="M10" s="31"/>
      <c r="N10" s="31"/>
      <c r="O10" s="31"/>
      <c r="P10" s="31"/>
      <c r="Q10" s="31"/>
      <c r="R10" s="31"/>
    </row>
    <row r="11" spans="1:18" x14ac:dyDescent="0.25">
      <c r="A11" s="31"/>
      <c r="B11" s="31"/>
      <c r="C11" s="31"/>
      <c r="D11" s="31"/>
      <c r="E11" s="31"/>
      <c r="F11" s="31"/>
      <c r="G11" s="31"/>
      <c r="H11" s="31"/>
      <c r="I11" s="31"/>
      <c r="J11" s="31"/>
      <c r="K11" s="31"/>
      <c r="L11" s="31"/>
      <c r="M11" s="31"/>
      <c r="N11" s="31"/>
      <c r="O11" s="31"/>
      <c r="P11" s="31"/>
      <c r="Q11" s="31"/>
      <c r="R11" s="31"/>
    </row>
    <row r="12" spans="1:18" x14ac:dyDescent="0.25">
      <c r="A12" s="31"/>
      <c r="B12" s="31"/>
      <c r="C12" s="31"/>
      <c r="D12" s="31"/>
      <c r="E12" s="31"/>
      <c r="F12" s="31"/>
      <c r="G12" s="31"/>
      <c r="H12" s="31"/>
      <c r="I12" s="31"/>
      <c r="J12" s="31"/>
      <c r="K12" s="31"/>
      <c r="L12" s="31"/>
      <c r="M12" s="31"/>
      <c r="N12" s="31"/>
      <c r="O12" s="31"/>
      <c r="P12" s="31"/>
      <c r="Q12" s="31"/>
      <c r="R12" s="31"/>
    </row>
    <row r="13" spans="1:18" x14ac:dyDescent="0.25">
      <c r="A13" s="31"/>
      <c r="B13" s="31"/>
      <c r="C13" s="31"/>
      <c r="D13" s="31"/>
      <c r="E13" s="31"/>
      <c r="F13" s="31"/>
      <c r="G13" s="31"/>
      <c r="H13" s="31"/>
      <c r="I13" s="31"/>
      <c r="J13" s="31"/>
      <c r="K13" s="31"/>
      <c r="L13" s="31"/>
      <c r="M13" s="31"/>
      <c r="N13" s="31"/>
      <c r="O13" s="31"/>
      <c r="P13" s="31"/>
      <c r="Q13" s="31"/>
      <c r="R13" s="31"/>
    </row>
    <row r="14" spans="1:18" ht="15.75" thickBot="1" x14ac:dyDescent="0.3">
      <c r="A14" s="31"/>
      <c r="B14" s="31"/>
      <c r="C14" s="31"/>
      <c r="D14" s="31"/>
      <c r="E14" s="31"/>
      <c r="F14" s="31"/>
      <c r="G14" s="31"/>
      <c r="H14" s="31"/>
      <c r="I14" s="31"/>
      <c r="J14" s="31"/>
      <c r="K14" s="31"/>
      <c r="L14" s="31"/>
      <c r="M14" s="31"/>
      <c r="N14" s="31"/>
      <c r="O14" s="31"/>
      <c r="P14" s="31"/>
      <c r="Q14" s="31"/>
      <c r="R14" s="31"/>
    </row>
    <row r="15" spans="1:18" ht="18.75" x14ac:dyDescent="0.25">
      <c r="A15" s="46" t="s">
        <v>96</v>
      </c>
      <c r="B15" s="47"/>
      <c r="C15" s="31"/>
      <c r="D15" s="31"/>
      <c r="E15" s="46" t="s">
        <v>98</v>
      </c>
      <c r="F15" s="47"/>
      <c r="G15" s="31"/>
      <c r="H15" s="31"/>
      <c r="I15" s="46" t="s">
        <v>102</v>
      </c>
      <c r="J15" s="47"/>
      <c r="K15" s="31"/>
      <c r="L15" s="31"/>
      <c r="M15" s="46" t="s">
        <v>147</v>
      </c>
      <c r="N15" s="47"/>
      <c r="O15" s="31"/>
      <c r="P15" s="31"/>
      <c r="Q15" s="31"/>
      <c r="R15" s="31"/>
    </row>
    <row r="16" spans="1:18" ht="15.75" customHeight="1" x14ac:dyDescent="0.25">
      <c r="A16" s="36">
        <f>KPI_Analysis!A13</f>
        <v>3778201.4499999997</v>
      </c>
      <c r="B16" s="37"/>
      <c r="C16" s="31"/>
      <c r="D16" s="31"/>
      <c r="E16" s="36">
        <f>KPI_Analysis!B13</f>
        <v>40048</v>
      </c>
      <c r="F16" s="37"/>
      <c r="G16" s="31"/>
      <c r="H16" s="31"/>
      <c r="I16" s="40">
        <f>KPI_Analysis!E13</f>
        <v>0.34885526021911811</v>
      </c>
      <c r="J16" s="41"/>
      <c r="K16" s="31"/>
      <c r="L16" s="31"/>
      <c r="M16" s="36">
        <f>KPI_Analysis!G13</f>
        <v>7556.4028999999991</v>
      </c>
      <c r="N16" s="37"/>
      <c r="O16" s="31"/>
      <c r="P16" s="31"/>
      <c r="Q16" s="31"/>
      <c r="R16" s="31"/>
    </row>
    <row r="17" spans="1:18" ht="15.75" thickBot="1" x14ac:dyDescent="0.3">
      <c r="A17" s="38"/>
      <c r="B17" s="39"/>
      <c r="C17" s="31"/>
      <c r="D17" s="31"/>
      <c r="E17" s="38"/>
      <c r="F17" s="39"/>
      <c r="G17" s="31"/>
      <c r="H17" s="31"/>
      <c r="I17" s="42"/>
      <c r="J17" s="43"/>
      <c r="K17" s="31"/>
      <c r="L17" s="31"/>
      <c r="M17" s="38"/>
      <c r="N17" s="39"/>
      <c r="O17" s="31"/>
      <c r="P17" s="31"/>
      <c r="Q17" s="31"/>
      <c r="R17" s="31"/>
    </row>
    <row r="18" spans="1:18" x14ac:dyDescent="0.25">
      <c r="A18" s="31"/>
      <c r="B18" s="31"/>
      <c r="C18" s="31"/>
      <c r="D18" s="31"/>
      <c r="E18" s="31"/>
      <c r="F18" s="31"/>
      <c r="G18" s="31"/>
      <c r="H18" s="31"/>
      <c r="I18" s="31"/>
      <c r="J18" s="31"/>
      <c r="K18" s="31"/>
      <c r="L18" s="31"/>
      <c r="M18" s="31"/>
      <c r="N18" s="31"/>
      <c r="O18" s="31"/>
      <c r="P18" s="31"/>
      <c r="Q18" s="31"/>
      <c r="R18" s="31"/>
    </row>
    <row r="19" spans="1:18" x14ac:dyDescent="0.25">
      <c r="A19" s="31"/>
      <c r="B19" s="31"/>
      <c r="C19" s="31"/>
      <c r="D19" s="31"/>
      <c r="E19" s="31"/>
      <c r="F19" s="31"/>
      <c r="G19" s="31"/>
      <c r="H19" s="31"/>
      <c r="I19" s="31"/>
      <c r="J19" s="31"/>
      <c r="K19" s="31"/>
      <c r="L19" s="31"/>
      <c r="M19" s="31"/>
      <c r="N19" s="31"/>
      <c r="O19" s="31"/>
      <c r="P19" s="31"/>
      <c r="Q19" s="31"/>
      <c r="R19" s="31"/>
    </row>
    <row r="20" spans="1:18" x14ac:dyDescent="0.25">
      <c r="A20" s="31"/>
      <c r="B20" s="31"/>
      <c r="C20" s="31"/>
      <c r="D20" s="31"/>
      <c r="E20" s="31"/>
      <c r="F20" s="31"/>
      <c r="G20" s="31"/>
      <c r="H20" s="31"/>
      <c r="I20" s="31"/>
      <c r="J20" s="31"/>
      <c r="K20" s="31"/>
      <c r="L20" s="31"/>
      <c r="M20" s="31"/>
      <c r="N20" s="31"/>
      <c r="O20" s="31"/>
      <c r="P20" s="31"/>
      <c r="Q20" s="31"/>
      <c r="R20" s="31"/>
    </row>
    <row r="21" spans="1:18" x14ac:dyDescent="0.25">
      <c r="A21" s="31"/>
      <c r="B21" s="31"/>
      <c r="C21" s="31"/>
      <c r="D21" s="31"/>
      <c r="E21" s="31"/>
      <c r="F21" s="31"/>
      <c r="G21" s="31"/>
      <c r="H21" s="31"/>
      <c r="I21" s="31"/>
      <c r="J21" s="31"/>
      <c r="K21" s="31"/>
      <c r="L21" s="31"/>
      <c r="M21" s="31"/>
      <c r="N21" s="31"/>
      <c r="O21" s="31"/>
      <c r="P21" s="31"/>
      <c r="Q21" s="31"/>
      <c r="R21" s="31"/>
    </row>
    <row r="22" spans="1:18" x14ac:dyDescent="0.25">
      <c r="A22" s="31"/>
      <c r="B22" s="31"/>
      <c r="C22" s="31"/>
      <c r="D22" s="31"/>
      <c r="E22" s="31"/>
      <c r="F22" s="31"/>
      <c r="G22" s="31"/>
      <c r="H22" s="31"/>
      <c r="I22" s="31"/>
      <c r="J22" s="31"/>
      <c r="K22" s="31"/>
      <c r="L22" s="31"/>
      <c r="M22" s="31"/>
      <c r="N22" s="31"/>
      <c r="O22" s="31"/>
      <c r="P22" s="31"/>
      <c r="Q22" s="31"/>
      <c r="R22" s="31"/>
    </row>
    <row r="23" spans="1:18" x14ac:dyDescent="0.25">
      <c r="A23" s="31"/>
      <c r="B23" s="31"/>
      <c r="C23" s="31"/>
      <c r="D23" s="31"/>
      <c r="E23" s="31"/>
      <c r="F23" s="31"/>
      <c r="G23" s="31"/>
      <c r="H23" s="31"/>
      <c r="I23" s="31"/>
      <c r="J23" s="31"/>
      <c r="K23" s="31"/>
      <c r="L23" s="31"/>
      <c r="M23" s="31"/>
      <c r="N23" s="31"/>
      <c r="O23" s="31"/>
      <c r="P23" s="31"/>
      <c r="Q23" s="31"/>
      <c r="R23" s="31"/>
    </row>
    <row r="24" spans="1:18" x14ac:dyDescent="0.25">
      <c r="A24" s="31"/>
      <c r="B24" s="31"/>
      <c r="C24" s="31"/>
      <c r="D24" s="31"/>
      <c r="E24" s="31"/>
      <c r="F24" s="31"/>
      <c r="G24" s="31"/>
      <c r="H24" s="31"/>
      <c r="I24" s="31"/>
      <c r="J24" s="31"/>
      <c r="K24" s="31"/>
      <c r="L24" s="31"/>
      <c r="M24" s="31"/>
      <c r="N24" s="31"/>
      <c r="O24" s="31"/>
      <c r="P24" s="31"/>
      <c r="Q24" s="31"/>
      <c r="R24" s="31"/>
    </row>
    <row r="25" spans="1:18" x14ac:dyDescent="0.25">
      <c r="A25" s="31"/>
      <c r="B25" s="31"/>
      <c r="C25" s="31"/>
      <c r="D25" s="31"/>
      <c r="E25" s="31"/>
      <c r="F25" s="31"/>
      <c r="G25" s="31"/>
      <c r="H25" s="31"/>
      <c r="I25" s="31"/>
      <c r="J25" s="31"/>
      <c r="K25" s="31"/>
      <c r="L25" s="31"/>
      <c r="M25" s="31"/>
      <c r="N25" s="31"/>
      <c r="O25" s="31"/>
      <c r="P25" s="31"/>
      <c r="Q25" s="31"/>
      <c r="R25" s="31"/>
    </row>
    <row r="26" spans="1:18" x14ac:dyDescent="0.25">
      <c r="A26" s="31"/>
      <c r="B26" s="31"/>
      <c r="C26" s="31"/>
      <c r="D26" s="31"/>
      <c r="E26" s="31"/>
      <c r="F26" s="31"/>
      <c r="G26" s="31"/>
      <c r="H26" s="31"/>
      <c r="I26" s="31"/>
      <c r="J26" s="31"/>
      <c r="K26" s="31"/>
      <c r="L26" s="31"/>
      <c r="M26" s="31"/>
      <c r="N26" s="31"/>
      <c r="O26" s="31"/>
      <c r="P26" s="31"/>
      <c r="Q26" s="31"/>
      <c r="R26" s="31"/>
    </row>
    <row r="27" spans="1:18" x14ac:dyDescent="0.25">
      <c r="A27" s="31"/>
      <c r="B27" s="31"/>
      <c r="C27" s="31"/>
      <c r="D27" s="31"/>
      <c r="E27" s="31"/>
      <c r="F27" s="31"/>
      <c r="G27" s="31"/>
      <c r="H27" s="31"/>
      <c r="I27" s="31"/>
      <c r="J27" s="31"/>
      <c r="K27" s="31"/>
      <c r="L27" s="31"/>
      <c r="M27" s="31"/>
      <c r="N27" s="31"/>
      <c r="O27" s="31"/>
      <c r="P27" s="31"/>
      <c r="Q27" s="31"/>
      <c r="R27" s="31"/>
    </row>
    <row r="28" spans="1:18" x14ac:dyDescent="0.25">
      <c r="A28" s="31"/>
      <c r="B28" s="31"/>
      <c r="C28" s="31"/>
      <c r="D28" s="31"/>
      <c r="E28" s="31"/>
      <c r="F28" s="31"/>
      <c r="G28" s="31"/>
      <c r="H28" s="31"/>
      <c r="I28" s="31"/>
      <c r="J28" s="31"/>
      <c r="K28" s="31"/>
      <c r="L28" s="31"/>
      <c r="M28" s="31"/>
      <c r="N28" s="31"/>
      <c r="O28" s="31"/>
      <c r="P28" s="31"/>
      <c r="Q28" s="31"/>
      <c r="R28" s="31"/>
    </row>
    <row r="29" spans="1:18" x14ac:dyDescent="0.25">
      <c r="A29" s="31"/>
      <c r="B29" s="31"/>
      <c r="C29" s="31"/>
      <c r="D29" s="31"/>
      <c r="E29" s="31"/>
      <c r="F29" s="31"/>
      <c r="G29" s="31"/>
      <c r="H29" s="31"/>
      <c r="I29" s="31"/>
      <c r="J29" s="31"/>
      <c r="K29" s="31"/>
      <c r="L29" s="31"/>
      <c r="M29" s="31"/>
      <c r="N29" s="31"/>
      <c r="O29" s="31"/>
      <c r="P29" s="31"/>
      <c r="Q29" s="31"/>
      <c r="R29" s="31"/>
    </row>
    <row r="30" spans="1:18" x14ac:dyDescent="0.25">
      <c r="A30" s="31"/>
      <c r="B30" s="31"/>
      <c r="C30" s="31"/>
      <c r="D30" s="31"/>
      <c r="E30" s="31"/>
      <c r="F30" s="31"/>
      <c r="G30" s="31"/>
      <c r="H30" s="31"/>
      <c r="I30" s="31"/>
      <c r="J30" s="31"/>
      <c r="K30" s="31"/>
      <c r="L30" s="31"/>
      <c r="M30" s="31"/>
      <c r="N30" s="31"/>
      <c r="O30" s="31"/>
      <c r="P30" s="31"/>
      <c r="Q30" s="31"/>
      <c r="R30" s="31"/>
    </row>
    <row r="31" spans="1:18" x14ac:dyDescent="0.25">
      <c r="A31" s="31"/>
      <c r="B31" s="31"/>
      <c r="C31" s="31"/>
      <c r="D31" s="31"/>
      <c r="E31" s="31"/>
      <c r="F31" s="31"/>
      <c r="G31" s="31"/>
      <c r="H31" s="31"/>
      <c r="I31" s="31"/>
      <c r="J31" s="31"/>
      <c r="K31" s="31"/>
      <c r="L31" s="31"/>
      <c r="M31" s="31"/>
      <c r="N31" s="31"/>
      <c r="O31" s="31"/>
      <c r="P31" s="31"/>
      <c r="Q31" s="31"/>
      <c r="R31" s="31"/>
    </row>
    <row r="32" spans="1:18" x14ac:dyDescent="0.25">
      <c r="A32" s="50" t="s">
        <v>148</v>
      </c>
      <c r="B32" s="51"/>
      <c r="C32" s="51"/>
      <c r="D32" s="51"/>
      <c r="E32" s="51"/>
      <c r="F32" s="51"/>
      <c r="G32" s="51"/>
      <c r="H32" s="51"/>
      <c r="I32" s="51"/>
      <c r="J32" s="51"/>
      <c r="K32" s="51"/>
      <c r="L32" s="31"/>
      <c r="M32" s="31"/>
      <c r="N32" s="31"/>
      <c r="O32" s="31"/>
      <c r="P32" s="31"/>
      <c r="Q32" s="31"/>
      <c r="R32" s="31"/>
    </row>
    <row r="33" spans="1:18" x14ac:dyDescent="0.25">
      <c r="A33" s="33"/>
      <c r="B33" s="33"/>
      <c r="C33" s="33"/>
      <c r="D33" s="33"/>
      <c r="E33" s="33"/>
      <c r="F33" s="33"/>
      <c r="G33" s="34"/>
      <c r="H33" s="35"/>
      <c r="I33" s="33"/>
      <c r="J33" s="33"/>
      <c r="K33" s="33"/>
      <c r="L33" s="31"/>
      <c r="M33" s="31"/>
      <c r="N33" s="31"/>
      <c r="O33" s="31"/>
      <c r="P33" s="31"/>
      <c r="Q33" s="31"/>
      <c r="R33" s="31"/>
    </row>
    <row r="34" spans="1:18" x14ac:dyDescent="0.25">
      <c r="A34" s="48" t="s">
        <v>149</v>
      </c>
      <c r="B34" s="49"/>
      <c r="C34" s="49"/>
      <c r="D34" s="49"/>
      <c r="E34" s="49"/>
      <c r="F34" s="49"/>
      <c r="G34" s="49"/>
      <c r="H34" s="49"/>
      <c r="I34" s="49"/>
      <c r="J34" s="49"/>
      <c r="K34" s="49"/>
      <c r="L34" s="31"/>
      <c r="M34" s="31"/>
      <c r="N34" s="31"/>
      <c r="O34" s="31"/>
      <c r="P34" s="31"/>
      <c r="Q34" s="31"/>
      <c r="R34" s="31"/>
    </row>
    <row r="35" spans="1:18" x14ac:dyDescent="0.25">
      <c r="A35" s="48" t="s">
        <v>150</v>
      </c>
      <c r="B35" s="49"/>
      <c r="C35" s="49"/>
      <c r="D35" s="49"/>
      <c r="E35" s="49"/>
      <c r="F35" s="49"/>
      <c r="G35" s="49"/>
      <c r="H35" s="49"/>
      <c r="I35" s="49"/>
      <c r="J35" s="49"/>
      <c r="K35" s="49"/>
      <c r="L35" s="31"/>
      <c r="M35" s="31"/>
      <c r="N35" s="31"/>
      <c r="O35" s="31"/>
      <c r="P35" s="31"/>
      <c r="Q35" s="31"/>
      <c r="R35" s="31"/>
    </row>
    <row r="36" spans="1:18" x14ac:dyDescent="0.25">
      <c r="A36" s="48" t="s">
        <v>151</v>
      </c>
      <c r="B36" s="49"/>
      <c r="C36" s="49"/>
      <c r="D36" s="49"/>
      <c r="E36" s="49"/>
      <c r="F36" s="49"/>
      <c r="G36" s="49"/>
      <c r="H36" s="49"/>
      <c r="I36" s="49"/>
      <c r="J36" s="49"/>
      <c r="K36" s="49"/>
      <c r="L36" s="31"/>
      <c r="M36" s="31"/>
      <c r="N36" s="31"/>
      <c r="O36" s="31"/>
      <c r="P36" s="31"/>
      <c r="Q36" s="31"/>
      <c r="R36" s="31"/>
    </row>
    <row r="37" spans="1:18" x14ac:dyDescent="0.25">
      <c r="A37" s="48" t="s">
        <v>152</v>
      </c>
      <c r="B37" s="49"/>
      <c r="C37" s="49"/>
      <c r="D37" s="49"/>
      <c r="E37" s="49"/>
      <c r="F37" s="49"/>
      <c r="G37" s="49"/>
      <c r="H37" s="49"/>
      <c r="I37" s="49"/>
      <c r="J37" s="49"/>
      <c r="K37" s="49"/>
      <c r="L37" s="31"/>
      <c r="M37" s="31"/>
      <c r="N37" s="31"/>
      <c r="O37" s="31"/>
      <c r="P37" s="31"/>
      <c r="Q37" s="31"/>
      <c r="R37" s="31"/>
    </row>
    <row r="38" spans="1:18" x14ac:dyDescent="0.25">
      <c r="A38" s="48" t="s">
        <v>153</v>
      </c>
      <c r="B38" s="49"/>
      <c r="C38" s="49"/>
      <c r="D38" s="49"/>
      <c r="E38" s="49"/>
      <c r="F38" s="49"/>
      <c r="G38" s="49"/>
      <c r="H38" s="49"/>
      <c r="I38" s="49"/>
      <c r="J38" s="49"/>
      <c r="K38" s="49"/>
      <c r="L38" s="31"/>
      <c r="M38" s="31"/>
      <c r="N38" s="31"/>
      <c r="O38" s="31"/>
      <c r="P38" s="31"/>
      <c r="Q38" s="31"/>
      <c r="R38" s="31"/>
    </row>
    <row r="39" spans="1:18" x14ac:dyDescent="0.25">
      <c r="A39" s="32"/>
      <c r="B39" s="32"/>
      <c r="C39" s="32"/>
      <c r="D39" s="32"/>
      <c r="E39" s="32"/>
      <c r="F39" s="32"/>
      <c r="G39" s="32"/>
      <c r="H39" s="32"/>
      <c r="I39" s="32"/>
      <c r="J39" s="32"/>
      <c r="K39" s="32"/>
      <c r="L39" s="31"/>
      <c r="M39" s="31"/>
      <c r="N39" s="31"/>
      <c r="O39" s="31"/>
      <c r="P39" s="31"/>
      <c r="Q39" s="31"/>
      <c r="R39" s="31"/>
    </row>
    <row r="40" spans="1:18" x14ac:dyDescent="0.25">
      <c r="A40" s="31"/>
      <c r="B40" s="31"/>
      <c r="C40" s="31"/>
      <c r="D40" s="31"/>
      <c r="E40" s="31"/>
      <c r="F40" s="31"/>
      <c r="G40" s="31"/>
      <c r="H40" s="31"/>
      <c r="I40" s="31"/>
      <c r="J40" s="31"/>
      <c r="K40" s="31"/>
      <c r="L40" s="31"/>
      <c r="M40" s="31"/>
      <c r="N40" s="31"/>
      <c r="O40" s="31"/>
      <c r="P40" s="31"/>
      <c r="Q40" s="31"/>
      <c r="R40" s="31"/>
    </row>
    <row r="41" spans="1:18" x14ac:dyDescent="0.25">
      <c r="A41" s="31"/>
      <c r="B41" s="31"/>
      <c r="C41" s="31"/>
      <c r="D41" s="31"/>
      <c r="E41" s="31"/>
      <c r="F41" s="31"/>
      <c r="G41" s="31"/>
      <c r="H41" s="31"/>
      <c r="I41" s="31"/>
      <c r="J41" s="31"/>
      <c r="K41" s="31"/>
      <c r="L41" s="31"/>
      <c r="M41" s="31"/>
      <c r="N41" s="31"/>
      <c r="O41" s="31"/>
      <c r="P41" s="31"/>
      <c r="Q41" s="31"/>
      <c r="R41" s="31"/>
    </row>
    <row r="42" spans="1:18" x14ac:dyDescent="0.25">
      <c r="A42" s="31"/>
      <c r="B42" s="31"/>
      <c r="C42" s="31"/>
      <c r="D42" s="31"/>
      <c r="E42" s="31"/>
      <c r="F42" s="31"/>
      <c r="G42" s="31"/>
      <c r="H42" s="31"/>
      <c r="I42" s="31"/>
      <c r="J42" s="31"/>
      <c r="K42" s="31"/>
      <c r="L42" s="31"/>
      <c r="M42" s="31"/>
      <c r="N42" s="31"/>
      <c r="O42" s="31"/>
      <c r="P42" s="31"/>
      <c r="Q42" s="31"/>
      <c r="R42" s="31"/>
    </row>
  </sheetData>
  <mergeCells count="16">
    <mergeCell ref="A38:K38"/>
    <mergeCell ref="A32:K32"/>
    <mergeCell ref="A34:K34"/>
    <mergeCell ref="A35:K35"/>
    <mergeCell ref="A36:K36"/>
    <mergeCell ref="A37:K37"/>
    <mergeCell ref="A16:B17"/>
    <mergeCell ref="E16:F17"/>
    <mergeCell ref="I16:J17"/>
    <mergeCell ref="M16:N17"/>
    <mergeCell ref="A2:Q4"/>
    <mergeCell ref="A5:Q5"/>
    <mergeCell ref="A15:B15"/>
    <mergeCell ref="E15:F15"/>
    <mergeCell ref="I15:J15"/>
    <mergeCell ref="M15:N1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Pivot_Region</vt:lpstr>
      <vt:lpstr>Pivot_Category</vt:lpstr>
      <vt:lpstr>Category_Profit</vt:lpstr>
      <vt:lpstr>Pivot_Product</vt:lpstr>
      <vt:lpstr>Pivot_Monthly</vt:lpstr>
      <vt:lpstr>FMCG_Data</vt:lpstr>
      <vt:lpstr>Sheet1</vt:lpstr>
      <vt:lpstr>Sheet2</vt:lpstr>
      <vt:lpstr>Sheet3</vt:lpstr>
      <vt:lpstr>KPI_Analysis</vt:lpstr>
      <vt:lpstr>Growth_Strategy</vt:lpstr>
      <vt:lpstr>dash</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2026-08-08T22:24:07Z</dcterms:created>
  <dcterms:modified xsi:type="dcterms:W3CDTF">2026-08-13T23:27:07Z</dcterms:modified>
</cp:coreProperties>
</file>